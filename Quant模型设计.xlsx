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tabRatio="448" activeTab="6"/>
  </bookViews>
  <sheets>
    <sheet name="T00" sheetId="1" r:id="rId1"/>
    <sheet name="Tinsight" sheetId="2" r:id="rId2"/>
    <sheet name="Tvantage" sheetId="3" r:id="rId3"/>
    <sheet name="TDX" sheetId="4" r:id="rId4"/>
    <sheet name="ODS_DWD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ODS_DWD!$H$50</definedName>
    <definedName name="个股的股东数">Tinsight!$B$40</definedName>
    <definedName name="华泰股票行业明细">Tinsight!$Q$27</definedName>
    <definedName name="汇总板块码表">ODS_DWD!$C$38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ODS_DWD!$C$50</definedName>
    <definedName name="股票基本面数据_资产数据">TDX!$C$38</definedName>
    <definedName name="股票基本面数据_所属交易所">ODS_DWD!$C$6</definedName>
    <definedName name="股票基础信息大宽表">ODS_DWD!$C$18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<sst xmlns="http://schemas.openxmlformats.org/spreadsheetml/2006/main" count="779" uniqueCount="387">
  <si>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</si>
  <si>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</si>
  <si>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</si>
  <si>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</si>
  <si>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</si>
  <si>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</si>
  <si>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</si>
  <si>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</si>
  <si>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</si>
  <si>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</si>
  <si>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</si>
  <si>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</si>
  <si>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</si>
  <si>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</si>
  <si>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</si>
  <si>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</si>
  <si>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</si>
  <si>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</si>
  <si>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</si>
  <si>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</si>
  <si>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</si>
  <si>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</si>
  <si>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</si>
  <si>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</si>
  <si>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</si>
  <si>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</si>
  <si>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</si>
  <si>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</si>
  <si>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</si>
  <si>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</si>
  <si>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</si>
  <si>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</si>
  <si>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</si>
  <si>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</si>
  <si>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</si>
  <si>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</si>
  <si>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</si>
  <si>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</si>
  <si>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</si>
  <si>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</si>
  <si>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</si>
  <si>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</si>
  <si>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</si>
  <si>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</si>
  <si>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</si>
  <si>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</si>
  <si>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</si>
  <si>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</si>
  <si>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</si>
  <si>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</si>
  <si>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</si>
  <si>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</si>
  <si>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</si>
  <si>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</si>
  <si>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</si>
  <si>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</si>
  <si>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</si>
  <si>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</si>
  <si>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</si>
  <si>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</si>
  <si>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</si>
  <si>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</si>
  <si>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</si>
  <si>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</si>
  <si>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</si>
  <si>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</si>
  <si>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</si>
  <si>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</si>
  <si>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</si>
  <si>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</si>
  <si>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</si>
  <si>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</si>
  <si>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</si>
  <si>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</si>
  <si>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</si>
  <si>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</si>
  <si>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</si>
  <si>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</si>
  <si>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</si>
  <si>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</si>
  <si>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</si>
  <si>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</si>
  <si>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</si>
  <si>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</si>
  <si>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</si>
  <si>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</si>
  <si>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</si>
  <si>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</si>
  <si>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</si>
  <si>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</si>
  <si>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</si>
  <si>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</si>
  <si>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</si>
  <si>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</si>
  <si>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</si>
  <si>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</si>
  <si>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</si>
  <si>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</si>
  <si>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</si>
  <si>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</si>
  <si>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</si>
  <si>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</si>
  <si>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</si>
  <si>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</si>
  <si>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</si>
  <si>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</si>
  <si>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</si>
  <si>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</si>
  <si>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</si>
  <si>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</si>
  <si>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</si>
  <si>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</si>
  <si>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</si>
  <si>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</si>
  <si>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</si>
  <si>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</si>
  <si>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</si>
  <si>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</si>
  <si>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</si>
  <si>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</si>
  <si>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</si>
  <si>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</si>
  <si>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</si>
  <si>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</si>
  <si>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</si>
  <si>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</si>
  <si>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</si>
  <si>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</si>
  <si>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</si>
  <si>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</si>
  <si>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</si>
  <si>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</si>
  <si>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</si>
  <si>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</si>
  <si>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</si>
  <si>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</si>
  <si>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</si>
  <si>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</si>
  <si>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</si>
  <si>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</si>
  <si>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</si>
  <si>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</si>
  <si>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</si>
  <si>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</si>
  <si>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</si>
  <si>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</si>
  <si>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</si>
  <si>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</si>
  <si>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</si>
  <si>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</si>
  <si>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</si>
  <si>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</si>
  <si>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</si>
  <si>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</si>
  <si>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</si>
  <si>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</si>
  <si>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</si>
  <si>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</si>
  <si>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</si>
  <si>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</si>
  <si>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</si>
  <si>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</si>
  <si>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</si>
  <si>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</si>
  <si>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</si>
  <si>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</si>
  <si>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</si>
  <si>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</si>
  <si>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</si>
  <si>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</si>
  <si>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</si>
  <si>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</si>
  <si>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</si>
  <si>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</si>
  <si>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</si>
  <si>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</si>
  <si>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</si>
  <si>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</si>
  <si>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</si>
  <si>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</si>
  <si>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</si>
  <si>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</si>
  <si>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</si>
  <si>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</si>
  <si>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</si>
  <si>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</si>
  <si>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</si>
  <si>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</si>
  <si>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</si>
  <si>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</si>
  <si>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</si>
  <si>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</si>
  <si>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</si>
  <si>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</si>
  <si>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</si>
  <si>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</si>
  <si>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</si>
  <si>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</si>
  <si>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</si>
  <si>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</si>
  <si>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</si>
  <si>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</si>
  <si>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</si>
  <si>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</si>
  <si>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</si>
  <si>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</si>
  <si>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</si>
  <si>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</si>
  <si>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</si>
  <si>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</si>
  <si>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</si>
  <si>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</si>
  <si>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</si>
  <si>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</si>
  <si>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</si>
  <si>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</si>
  <si>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</si>
  <si>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</si>
  <si>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</si>
  <si>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</si>
  <si>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</si>
  <si>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</si>
  <si>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</si>
  <si>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</si>
  <si>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</si>
  <si>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</si>
  <si>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</si>
  <si>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</si>
  <si>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</si>
  <si>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</si>
  <si>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</si>
  <si>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</si>
  <si>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</si>
  <si>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</si>
  <si>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</si>
  <si>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</si>
  <si>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</si>
  <si>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</si>
  <si>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</si>
  <si>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</si>
  <si>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</si>
  <si>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</si>
  <si>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</si>
  <si>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</si>
  <si>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</si>
  <si>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</si>
  <si>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</si>
  <si>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</si>
  <si>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</si>
  <si>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</si>
  <si>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</si>
  <si>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</si>
  <si>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</si>
  <si>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</si>
  <si>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</si>
  <si>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</si>
  <si>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</si>
  <si>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</si>
  <si>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</si>
  <si>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</si>
  <si>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</si>
  <si>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</si>
  <si>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</si>
  <si>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</si>
  <si>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</si>
  <si>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</si>
  <si>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</si>
  <si>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</si>
  <si>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</si>
  <si>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</si>
  <si>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</si>
  <si>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</si>
  <si>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</si>
  <si>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</si>
  <si>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</si>
  <si>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</si>
  <si>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</si>
  <si>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</si>
  <si>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</si>
  <si>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</si>
  <si>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</si>
  <si>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</si>
  <si>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</si>
  <si>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</si>
  <si>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</si>
  <si>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</si>
  <si>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</si>
  <si>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</si>
  <si>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</si>
  <si>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</si>
  <si>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</si>
  <si>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</si>
  <si>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</si>
  <si>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</si>
  <si>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</si>
  <si>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</si>
  <si>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</si>
  <si>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</si>
  <si>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</si>
  <si>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</si>
  <si>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</si>
  <si>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</si>
  <si>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</si>
  <si>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</si>
  <si>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</si>
  <si>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</si>
  <si>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</si>
  <si>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</si>
  <si>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</si>
  <si>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</si>
  <si>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</si>
  <si>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</si>
  <si>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</si>
  <si>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</si>
  <si>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</si>
  <si>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</si>
  <si>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</si>
  <si>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</si>
  <si>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</si>
  <si>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</si>
  <si>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</si>
  <si>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</si>
  <si>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</si>
  <si>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</si>
  <si>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</si>
  <si>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</si>
  <si>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</si>
  <si>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</si>
  <si>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</si>
  <si>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</si>
  <si>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</si>
  <si>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</si>
  <si>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</si>
  <si>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</si>
  <si>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</si>
  <si>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</si>
  <si>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</si>
  <si>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</si>
  <si>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</si>
  <si>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</si>
  <si>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</si>
  <si>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</si>
  <si>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</si>
  <si>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</si>
  <si>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</si>
  <si>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</si>
  <si>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</si>
  <si>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</si>
  <si>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</si>
  <si>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</si>
  <si>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</si>
  <si>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</si>
  <si>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</si>
  <si>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</si>
  <si>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</si>
  <si>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</si>
  <si>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</si>
  <si>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</si>
  <si>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</si>
  <si>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</si>
  <si>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</si>
  <si>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</si>
  <si>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</si>
  <si>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</si>
  <si>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</si>
  <si>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</si>
  <si>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</si>
  <si>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</si>
  <si>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</si>
  <si>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</si>
  <si>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</si>
  <si>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</si>
  <si>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</si>
  <si>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</si>
  <si>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</si>
  <si>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</si>
  <si>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</si>
  <si>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</si>
  <si>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</si>
  <si>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</si>
  <si>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</si>
  <si>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</si>
  <si>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</si>
  <si>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dwd_cal</t>
  </si>
  <si>
    <t>dmart_cal</t>
  </si>
  <si>
    <t>save_insight_history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</si>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</sst>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8" activePane="bottomLeft" state="frozen"/>
      <selection/>
      <selection pane="bottomLeft" activeCell="E40" sqref="E40"/>
    </sheetView>
  </sheetViews>
  <sheetFormatPr defaultColWidth="9" defaultRowHeight="14.4"/>
  <cols>
    <col min="1" max="2" width="9" style="3"/>
    <col min="3" max="3" width="12.1111111111111" style="3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5" t="s">
        <v>0</v>
      </c>
      <c r="B2" s="5" t="s">
        <v>1</v>
      </c>
      <c r="C2" s="5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7">
      <c r="A3" s="3">
        <v>1</v>
      </c>
      <c r="B3" s="3" t="s">
        <v>8</v>
      </c>
      <c r="C3" s="3" t="s">
        <v>9</v>
      </c>
      <c r="D3" t="s">
        <v>10</v>
      </c>
      <c r="E3" t="s">
        <v>11</v>
      </c>
      <c r="F3" s="10" t="str">
        <f>HYPERLINK("#当日已上市股票码表",当日已上市股票码表)</f>
        <v>当日已上市股票码表</v>
      </c>
      <c r="G3" t="s">
        <v>12</v>
      </c>
    </row>
    <row r="4" ht="19.95" customHeight="1" spans="1:7">
      <c r="A4" s="3">
        <v>2</v>
      </c>
      <c r="B4" s="3" t="s">
        <v>8</v>
      </c>
      <c r="C4" s="3" t="s">
        <v>9</v>
      </c>
      <c r="D4" t="s">
        <v>10</v>
      </c>
      <c r="E4" t="s">
        <v>13</v>
      </c>
      <c r="F4" s="10" t="str">
        <f>HYPERLINK("#A股的筹码分布数据",A股的筹码分布数据)</f>
        <v>A股的筹码分布数据</v>
      </c>
      <c r="G4" t="s">
        <v>12</v>
      </c>
    </row>
    <row r="5" ht="19.95" customHeight="1" spans="1:7">
      <c r="A5" s="3">
        <v>3</v>
      </c>
      <c r="B5" s="3" t="s">
        <v>8</v>
      </c>
      <c r="C5" s="3" t="s">
        <v>9</v>
      </c>
      <c r="D5" t="s">
        <v>10</v>
      </c>
      <c r="E5" t="s">
        <v>14</v>
      </c>
      <c r="F5" s="10" t="str">
        <f>HYPERLINK("#个股的股东数",个股的股东数)</f>
        <v>个股的股东数</v>
      </c>
      <c r="G5" t="s">
        <v>12</v>
      </c>
    </row>
    <row r="6" ht="19.95" customHeight="1" spans="1:7">
      <c r="A6" s="3">
        <v>4</v>
      </c>
      <c r="B6" s="3" t="s">
        <v>8</v>
      </c>
      <c r="C6" s="3" t="s">
        <v>9</v>
      </c>
      <c r="D6" t="s">
        <v>10</v>
      </c>
      <c r="E6" t="s">
        <v>15</v>
      </c>
      <c r="F6" s="10" t="str">
        <f>HYPERLINK("#北向持仓数据",北向持仓数据)</f>
        <v>北向持仓数据</v>
      </c>
      <c r="G6" t="s">
        <v>12</v>
      </c>
    </row>
    <row r="7" ht="19.95" customHeight="1" spans="1:8">
      <c r="A7" s="3">
        <v>5</v>
      </c>
      <c r="B7" s="3" t="s">
        <v>8</v>
      </c>
      <c r="C7" s="3" t="s">
        <v>9</v>
      </c>
      <c r="D7" s="8" t="s">
        <v>8</v>
      </c>
      <c r="E7" s="11" t="s">
        <v>16</v>
      </c>
      <c r="F7" s="10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7">
      <c r="A8" s="3">
        <v>6</v>
      </c>
      <c r="B8" s="3" t="s">
        <v>8</v>
      </c>
      <c r="C8" s="3" t="s">
        <v>9</v>
      </c>
      <c r="D8" t="s">
        <v>17</v>
      </c>
      <c r="E8" t="s">
        <v>18</v>
      </c>
      <c r="F8" s="10" t="str">
        <f>HYPERLINK("#股票基本面数据_资产数据",股票基本面数据_资产数据)</f>
        <v>股票基本面数据_资产数据</v>
      </c>
      <c r="G8" t="s">
        <v>12</v>
      </c>
    </row>
    <row r="9" ht="19.95" customHeight="1" spans="6:6">
      <c r="F9" s="10"/>
    </row>
    <row r="10" ht="19.95" customHeight="1" spans="6:6">
      <c r="F10" s="10"/>
    </row>
    <row r="11" ht="19.95" customHeight="1"/>
    <row r="12" ht="19.95" customHeight="1" spans="1:7">
      <c r="A12" s="3">
        <v>6</v>
      </c>
      <c r="B12" s="3" t="s">
        <v>8</v>
      </c>
      <c r="C12" s="3" t="s">
        <v>19</v>
      </c>
      <c r="D12" t="s">
        <v>10</v>
      </c>
      <c r="E12" t="s">
        <v>20</v>
      </c>
      <c r="F12" s="10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7">
      <c r="A13" s="3">
        <v>7</v>
      </c>
      <c r="B13" s="3" t="s">
        <v>8</v>
      </c>
      <c r="C13" s="3" t="s">
        <v>19</v>
      </c>
      <c r="D13" t="s">
        <v>10</v>
      </c>
      <c r="E13" t="s">
        <v>21</v>
      </c>
      <c r="F13" s="10" t="str">
        <f>HYPERLINK("#大A的主要指数日K",大A的主要指数日K)</f>
        <v>大A的主要指数日K</v>
      </c>
      <c r="G13" t="s">
        <v>12</v>
      </c>
    </row>
    <row r="14" ht="19.95" customHeight="1" spans="1:7">
      <c r="A14" s="3">
        <v>8</v>
      </c>
      <c r="B14" s="3" t="s">
        <v>8</v>
      </c>
      <c r="C14" s="3" t="s">
        <v>19</v>
      </c>
      <c r="D14" t="s">
        <v>10</v>
      </c>
      <c r="E14" t="s">
        <v>22</v>
      </c>
      <c r="F14" s="10" t="str">
        <f>HYPERLINK("#内盘主要期货数据日K",内盘主要期货数据日K)</f>
        <v>内盘主要期货数据日K</v>
      </c>
      <c r="G14" t="s">
        <v>12</v>
      </c>
    </row>
    <row r="15" ht="19.95" customHeight="1" spans="1:7">
      <c r="A15" s="3">
        <v>9</v>
      </c>
      <c r="B15" s="3" t="s">
        <v>8</v>
      </c>
      <c r="C15" s="3" t="s">
        <v>19</v>
      </c>
      <c r="D15" t="s">
        <v>23</v>
      </c>
      <c r="E15" t="s">
        <v>24</v>
      </c>
      <c r="F15" s="10" t="str">
        <f>HYPERLINK("#美股_日K",美股_日K)</f>
        <v>美股_日K</v>
      </c>
      <c r="G15" t="s">
        <v>12</v>
      </c>
    </row>
    <row r="16" ht="19.95" customHeight="1" spans="2:6">
      <c r="B16" s="3" t="s">
        <v>8</v>
      </c>
      <c r="C16" s="3" t="s">
        <v>19</v>
      </c>
      <c r="D16" t="s">
        <v>23</v>
      </c>
      <c r="E16" t="s">
        <v>25</v>
      </c>
      <c r="F16" s="10" t="s">
        <v>26</v>
      </c>
    </row>
    <row r="17" ht="19.95" customHeight="1" spans="2:6">
      <c r="B17" s="3" t="s">
        <v>8</v>
      </c>
      <c r="C17" s="3" t="s">
        <v>19</v>
      </c>
      <c r="D17" t="s">
        <v>23</v>
      </c>
      <c r="E17" t="s">
        <v>27</v>
      </c>
      <c r="F17" s="10" t="s">
        <v>28</v>
      </c>
    </row>
    <row r="18" ht="19.95" customHeight="1" spans="6:6">
      <c r="F18" s="10"/>
    </row>
    <row r="19" ht="19.95" customHeight="1" spans="6:6">
      <c r="F19" s="10"/>
    </row>
    <row r="20" ht="19.95" customHeight="1" spans="1:7">
      <c r="A20" s="3">
        <v>11</v>
      </c>
      <c r="B20" s="3" t="s">
        <v>8</v>
      </c>
      <c r="C20" s="3" t="s">
        <v>29</v>
      </c>
      <c r="D20" t="s">
        <v>10</v>
      </c>
      <c r="E20" t="s">
        <v>30</v>
      </c>
      <c r="F20" s="10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7">
      <c r="A22" s="3">
        <v>13</v>
      </c>
      <c r="B22" s="3" t="s">
        <v>8</v>
      </c>
      <c r="C22" s="3" t="s">
        <v>31</v>
      </c>
      <c r="D22" t="s">
        <v>10</v>
      </c>
      <c r="E22" t="s">
        <v>32</v>
      </c>
      <c r="F22" s="10" t="str">
        <f>HYPERLINK("#行业分类_申万三级分类",行业分类_申万三级分类)</f>
        <v>行业分类_申万三级分类</v>
      </c>
      <c r="G22" t="s">
        <v>12</v>
      </c>
    </row>
    <row r="23" ht="19.95" customHeight="1" spans="1:7">
      <c r="A23" s="3">
        <v>14</v>
      </c>
      <c r="B23" s="3" t="s">
        <v>8</v>
      </c>
      <c r="C23" s="3" t="s">
        <v>31</v>
      </c>
      <c r="D23" t="s">
        <v>10</v>
      </c>
      <c r="E23" t="s">
        <v>33</v>
      </c>
      <c r="F23" s="10" t="str">
        <f>HYPERLINK("#华泰股票行业明细",华泰股票行业明细)</f>
        <v>华泰股票行业明细</v>
      </c>
      <c r="G23" t="s">
        <v>12</v>
      </c>
    </row>
    <row r="24" ht="19.95" customHeight="1" spans="1:7">
      <c r="A24" s="3">
        <v>15</v>
      </c>
      <c r="B24" s="3" t="s">
        <v>8</v>
      </c>
      <c r="C24" s="3" t="s">
        <v>31</v>
      </c>
      <c r="D24" t="s">
        <v>17</v>
      </c>
      <c r="E24" t="s">
        <v>34</v>
      </c>
      <c r="F24" s="10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3">
        <v>16</v>
      </c>
      <c r="B25" s="3" t="s">
        <v>8</v>
      </c>
      <c r="C25" s="3" t="s">
        <v>31</v>
      </c>
      <c r="D25" t="s">
        <v>17</v>
      </c>
      <c r="E25" t="s">
        <v>35</v>
      </c>
      <c r="F25" s="10" t="str">
        <f>HYPERLINK("#通达信地区板块数据",通达信地区板块数据)</f>
        <v>通达信地区板块数据</v>
      </c>
      <c r="G25" t="s">
        <v>12</v>
      </c>
      <c r="K25" s="1" t="s">
        <v>36</v>
      </c>
      <c r="L25" s="10" t="str">
        <f>HYPERLINK("#汇总板块码表",汇总板块码表)</f>
        <v>汇总板块码表</v>
      </c>
    </row>
    <row r="26" ht="19.95" customHeight="1" spans="1:7">
      <c r="A26" s="3">
        <v>17</v>
      </c>
      <c r="B26" s="3" t="s">
        <v>8</v>
      </c>
      <c r="C26" s="3" t="s">
        <v>31</v>
      </c>
      <c r="D26" t="s">
        <v>17</v>
      </c>
      <c r="E26" t="s">
        <v>37</v>
      </c>
      <c r="F26" s="10" t="str">
        <f>HYPERLINK("#通达信行业板块数据",通达信行业板块数据)</f>
        <v>通达信行业板块数据</v>
      </c>
      <c r="G26" t="s">
        <v>12</v>
      </c>
    </row>
    <row r="27" ht="19.95" customHeight="1" spans="1:7">
      <c r="A27" s="3">
        <v>18</v>
      </c>
      <c r="B27" s="3" t="s">
        <v>8</v>
      </c>
      <c r="C27" s="3" t="s">
        <v>31</v>
      </c>
      <c r="D27" t="s">
        <v>17</v>
      </c>
      <c r="E27" t="s">
        <v>38</v>
      </c>
      <c r="F27" s="10" t="str">
        <f>HYPERLINK("#通达信风格板块数据",通达信风格板块数据)</f>
        <v>通达信风格板块数据</v>
      </c>
      <c r="G27" t="s">
        <v>12</v>
      </c>
    </row>
    <row r="28" ht="19.95" customHeight="1" spans="1:7">
      <c r="A28" s="3">
        <v>19</v>
      </c>
      <c r="B28" s="3" t="s">
        <v>8</v>
      </c>
      <c r="C28" s="3" t="s">
        <v>31</v>
      </c>
      <c r="D28" t="s">
        <v>17</v>
      </c>
      <c r="E28" t="s">
        <v>39</v>
      </c>
      <c r="F28" s="10" t="str">
        <f>HYPERLINK("#通达信指数板块数据",通达信指数板块数据)</f>
        <v>通达信指数板块数据</v>
      </c>
      <c r="G28" t="s">
        <v>12</v>
      </c>
    </row>
    <row r="29" ht="19.95" customHeight="1" spans="1:7">
      <c r="A29" s="3">
        <v>20</v>
      </c>
      <c r="B29" s="3" t="s">
        <v>8</v>
      </c>
      <c r="C29" s="3" t="s">
        <v>31</v>
      </c>
      <c r="D29" t="s">
        <v>40</v>
      </c>
      <c r="E29" t="s">
        <v>41</v>
      </c>
      <c r="F29" s="10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6:6">
      <c r="F30" s="10"/>
    </row>
    <row r="31" ht="19.95" customHeight="1" spans="6:6">
      <c r="F31" s="10"/>
    </row>
    <row r="32" ht="19.95" customHeight="1" spans="6:6">
      <c r="F32" s="10"/>
    </row>
    <row r="33" ht="105" customHeight="1" spans="1:8">
      <c r="A33" s="3">
        <v>26</v>
      </c>
      <c r="B33" s="3" t="s">
        <v>42</v>
      </c>
      <c r="C33" s="3" t="s">
        <v>31</v>
      </c>
      <c r="E33" s="1" t="s">
        <v>36</v>
      </c>
      <c r="F33" s="10" t="str">
        <f>HYPERLINK("#汇总板块码表",汇总板块码表)</f>
        <v>汇总板块码表</v>
      </c>
      <c r="H33" s="12" t="s">
        <v>43</v>
      </c>
    </row>
    <row r="34" ht="67" customHeight="1" spans="1:8">
      <c r="A34" s="3">
        <v>27</v>
      </c>
      <c r="B34" s="3" t="s">
        <v>42</v>
      </c>
      <c r="C34" s="3" t="s">
        <v>9</v>
      </c>
      <c r="E34" s="1" t="s">
        <v>44</v>
      </c>
      <c r="F34" s="10" t="str">
        <f>HYPERLINK("#股票基础信息大宽表",股票基础信息大宽表)</f>
        <v>股票基础信息大宽表</v>
      </c>
      <c r="H34" s="12" t="s">
        <v>45</v>
      </c>
    </row>
    <row r="35" ht="40" customHeight="1" spans="1:8">
      <c r="A35" s="3">
        <v>28</v>
      </c>
      <c r="B35" s="3" t="s">
        <v>42</v>
      </c>
      <c r="C35" s="3" t="s">
        <v>19</v>
      </c>
      <c r="E35" s="1" t="s">
        <v>46</v>
      </c>
      <c r="F35" s="10" t="str">
        <f>HYPERLINK("#涨停股票清单",涨停股票清单)</f>
        <v>涨停股票清单</v>
      </c>
      <c r="H35" s="12" t="s">
        <v>47</v>
      </c>
    </row>
    <row r="36" ht="42" customHeight="1" spans="1:8">
      <c r="A36" s="3">
        <v>29</v>
      </c>
      <c r="B36" s="3" t="s">
        <v>42</v>
      </c>
      <c r="C36" s="3" t="s">
        <v>19</v>
      </c>
      <c r="E36" s="1" t="s">
        <v>48</v>
      </c>
      <c r="F36" s="10" t="str">
        <f>HYPERLINK("#跌停股票清单",跌停股票清单)</f>
        <v>跌停股票清单</v>
      </c>
      <c r="H36" s="12" t="s">
        <v>47</v>
      </c>
    </row>
    <row r="37" ht="19.95" customHeight="1"/>
    <row r="38" ht="19.95" customHeight="1"/>
    <row r="39" ht="19.95" customHeight="1"/>
    <row r="40" ht="39" customHeight="1" spans="2:8">
      <c r="B40" s="3" t="s">
        <v>49</v>
      </c>
      <c r="C40" s="3" t="s">
        <v>19</v>
      </c>
      <c r="E40" s="1" t="s">
        <v>50</v>
      </c>
      <c r="F40" t="s">
        <v>51</v>
      </c>
      <c r="H40" s="12" t="s">
        <v>52</v>
      </c>
    </row>
    <row r="41" ht="19.95" customHeight="1"/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222222222222" style="3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2:2">
      <c r="B4" s="1" t="s">
        <v>53</v>
      </c>
    </row>
    <row r="5" customHeight="1" spans="2:2">
      <c r="B5" s="1" t="s">
        <v>54</v>
      </c>
    </row>
    <row r="6" customHeight="1" spans="1:3">
      <c r="A6" s="5" t="s">
        <v>0</v>
      </c>
      <c r="B6" s="1" t="s">
        <v>55</v>
      </c>
      <c r="C6" s="1" t="s">
        <v>56</v>
      </c>
    </row>
    <row r="7" customHeight="1" spans="1:3">
      <c r="A7" s="3">
        <v>1</v>
      </c>
      <c r="B7" s="9" t="s">
        <v>57</v>
      </c>
      <c r="C7" t="s">
        <v>58</v>
      </c>
    </row>
    <row r="8" customHeight="1" spans="1:3">
      <c r="A8" s="3">
        <v>2</v>
      </c>
      <c r="B8" s="9" t="s">
        <v>59</v>
      </c>
      <c r="C8" t="s">
        <v>60</v>
      </c>
    </row>
    <row r="9" customHeight="1" spans="1:3">
      <c r="A9" s="3">
        <v>3</v>
      </c>
      <c r="B9" t="s">
        <v>61</v>
      </c>
      <c r="C9" t="s">
        <v>62</v>
      </c>
    </row>
    <row r="10" customHeight="1" spans="1:3">
      <c r="A10" s="3">
        <v>4</v>
      </c>
      <c r="B10" t="s">
        <v>63</v>
      </c>
      <c r="C10" t="s">
        <v>64</v>
      </c>
    </row>
    <row r="13" customHeight="1" spans="2:12">
      <c r="B13" s="1" t="s">
        <v>65</v>
      </c>
      <c r="G13" s="1" t="s">
        <v>66</v>
      </c>
      <c r="L13" s="1" t="s">
        <v>67</v>
      </c>
    </row>
    <row r="14" customHeight="1" spans="2:12">
      <c r="B14" s="1" t="s">
        <v>68</v>
      </c>
      <c r="G14" s="1" t="s">
        <v>69</v>
      </c>
      <c r="L14" s="1" t="s">
        <v>70</v>
      </c>
    </row>
    <row r="15" customHeight="1" spans="1:13">
      <c r="A15" s="5" t="s">
        <v>0</v>
      </c>
      <c r="B15" s="1" t="s">
        <v>55</v>
      </c>
      <c r="C15" s="1" t="s">
        <v>56</v>
      </c>
      <c r="F15" s="5" t="s">
        <v>0</v>
      </c>
      <c r="G15" s="1" t="s">
        <v>55</v>
      </c>
      <c r="H15" s="1" t="s">
        <v>56</v>
      </c>
      <c r="K15" s="5" t="s">
        <v>0</v>
      </c>
      <c r="L15" s="1" t="s">
        <v>55</v>
      </c>
      <c r="M15" s="1" t="s">
        <v>56</v>
      </c>
    </row>
    <row r="16" customHeight="1" spans="1:13">
      <c r="A16" s="3">
        <v>1</v>
      </c>
      <c r="B16" s="9" t="s">
        <v>59</v>
      </c>
      <c r="C16" t="s">
        <v>60</v>
      </c>
      <c r="F16" s="3">
        <v>1</v>
      </c>
      <c r="G16" s="9" t="s">
        <v>71</v>
      </c>
      <c r="H16" t="s">
        <v>72</v>
      </c>
      <c r="K16" s="3">
        <v>1</v>
      </c>
      <c r="L16" s="9" t="s">
        <v>73</v>
      </c>
      <c r="M16" t="s">
        <v>74</v>
      </c>
    </row>
    <row r="17" customHeight="1" spans="1:13">
      <c r="A17" s="3">
        <v>2</v>
      </c>
      <c r="B17" s="9" t="s">
        <v>57</v>
      </c>
      <c r="C17" t="s">
        <v>58</v>
      </c>
      <c r="F17" s="3">
        <v>2</v>
      </c>
      <c r="G17" t="s">
        <v>75</v>
      </c>
      <c r="H17" t="s">
        <v>76</v>
      </c>
      <c r="K17" s="3">
        <v>2</v>
      </c>
      <c r="L17" s="9" t="s">
        <v>77</v>
      </c>
      <c r="M17" t="s">
        <v>78</v>
      </c>
    </row>
    <row r="18" customHeight="1" spans="1:13">
      <c r="A18" s="3">
        <v>3</v>
      </c>
      <c r="B18" t="s">
        <v>79</v>
      </c>
      <c r="C18" t="s">
        <v>80</v>
      </c>
      <c r="F18" s="3">
        <v>3</v>
      </c>
      <c r="G18" s="9" t="s">
        <v>81</v>
      </c>
      <c r="H18" t="s">
        <v>58</v>
      </c>
      <c r="K18" s="3">
        <v>3</v>
      </c>
      <c r="L18" t="s">
        <v>82</v>
      </c>
      <c r="M18" t="s">
        <v>83</v>
      </c>
    </row>
    <row r="19" customHeight="1" spans="1:13">
      <c r="A19" s="3">
        <v>4</v>
      </c>
      <c r="B19" t="s">
        <v>84</v>
      </c>
      <c r="C19" t="s">
        <v>85</v>
      </c>
      <c r="F19" s="3">
        <v>4</v>
      </c>
      <c r="G19" t="s">
        <v>86</v>
      </c>
      <c r="H19" t="s">
        <v>80</v>
      </c>
      <c r="K19" s="3">
        <v>4</v>
      </c>
      <c r="L19" t="s">
        <v>87</v>
      </c>
      <c r="M19" t="s">
        <v>88</v>
      </c>
    </row>
    <row r="20" customHeight="1" spans="1:13">
      <c r="A20" s="3">
        <v>5</v>
      </c>
      <c r="B20" t="s">
        <v>89</v>
      </c>
      <c r="C20" t="s">
        <v>90</v>
      </c>
      <c r="F20" s="3">
        <v>5</v>
      </c>
      <c r="G20" t="s">
        <v>91</v>
      </c>
      <c r="H20" t="s">
        <v>85</v>
      </c>
      <c r="K20" s="3">
        <v>5</v>
      </c>
      <c r="L20" t="s">
        <v>92</v>
      </c>
      <c r="M20" t="s">
        <v>93</v>
      </c>
    </row>
    <row r="21" customHeight="1" spans="1:13">
      <c r="A21" s="3">
        <v>6</v>
      </c>
      <c r="B21" t="s">
        <v>94</v>
      </c>
      <c r="C21" t="s">
        <v>95</v>
      </c>
      <c r="F21" s="3">
        <v>6</v>
      </c>
      <c r="G21" t="s">
        <v>96</v>
      </c>
      <c r="H21" t="s">
        <v>90</v>
      </c>
      <c r="K21" s="3">
        <v>6</v>
      </c>
      <c r="L21" t="s">
        <v>97</v>
      </c>
      <c r="M21" t="s">
        <v>98</v>
      </c>
    </row>
    <row r="22" customHeight="1" spans="1:13">
      <c r="A22" s="3">
        <v>7</v>
      </c>
      <c r="B22" t="s">
        <v>99</v>
      </c>
      <c r="C22" t="s">
        <v>100</v>
      </c>
      <c r="F22" s="3">
        <v>7</v>
      </c>
      <c r="G22" t="s">
        <v>101</v>
      </c>
      <c r="H22" t="s">
        <v>95</v>
      </c>
      <c r="K22" s="3">
        <v>7</v>
      </c>
      <c r="L22" t="s">
        <v>102</v>
      </c>
      <c r="M22" t="s">
        <v>103</v>
      </c>
    </row>
    <row r="23" customHeight="1" spans="1:8">
      <c r="A23" s="3">
        <v>8</v>
      </c>
      <c r="B23" t="s">
        <v>104</v>
      </c>
      <c r="C23" t="s">
        <v>105</v>
      </c>
      <c r="F23" s="3">
        <v>8</v>
      </c>
      <c r="G23" t="s">
        <v>106</v>
      </c>
      <c r="H23" t="s">
        <v>105</v>
      </c>
    </row>
    <row r="27" customHeight="1" spans="2:17">
      <c r="B27" s="1" t="s">
        <v>107</v>
      </c>
      <c r="G27" s="1" t="s">
        <v>108</v>
      </c>
      <c r="L27" s="1" t="s">
        <v>109</v>
      </c>
      <c r="Q27" s="1" t="s">
        <v>110</v>
      </c>
    </row>
    <row r="28" customHeight="1" spans="2:17">
      <c r="B28" s="1" t="s">
        <v>111</v>
      </c>
      <c r="G28" s="1" t="s">
        <v>112</v>
      </c>
      <c r="L28" s="1" t="s">
        <v>113</v>
      </c>
      <c r="Q28" s="1" t="s">
        <v>114</v>
      </c>
    </row>
    <row r="29" customHeight="1" spans="1:18">
      <c r="A29" s="5" t="s">
        <v>0</v>
      </c>
      <c r="B29" s="1" t="s">
        <v>55</v>
      </c>
      <c r="C29" s="1" t="s">
        <v>56</v>
      </c>
      <c r="F29" s="5" t="s">
        <v>0</v>
      </c>
      <c r="G29" s="1" t="s">
        <v>55</v>
      </c>
      <c r="H29" s="1" t="s">
        <v>56</v>
      </c>
      <c r="K29" s="5" t="s">
        <v>0</v>
      </c>
      <c r="L29" s="1" t="s">
        <v>55</v>
      </c>
      <c r="M29" s="1" t="s">
        <v>56</v>
      </c>
      <c r="P29" s="5" t="s">
        <v>0</v>
      </c>
      <c r="Q29" s="1" t="s">
        <v>55</v>
      </c>
      <c r="R29" s="1" t="s">
        <v>56</v>
      </c>
    </row>
    <row r="30" customHeight="1" spans="1:18">
      <c r="A30" s="3">
        <v>1</v>
      </c>
      <c r="B30" s="9" t="s">
        <v>115</v>
      </c>
      <c r="C30" t="s">
        <v>116</v>
      </c>
      <c r="F30" s="3">
        <v>1</v>
      </c>
      <c r="G30" s="9" t="s">
        <v>117</v>
      </c>
      <c r="H30" t="s">
        <v>118</v>
      </c>
      <c r="K30" s="3">
        <v>1</v>
      </c>
      <c r="L30" s="9" t="s">
        <v>119</v>
      </c>
      <c r="M30" t="s">
        <v>58</v>
      </c>
      <c r="P30" s="3">
        <v>1</v>
      </c>
      <c r="Q30" s="9" t="s">
        <v>120</v>
      </c>
      <c r="R30" t="s">
        <v>58</v>
      </c>
    </row>
    <row r="31" customHeight="1" spans="1:18">
      <c r="A31" s="3">
        <v>2</v>
      </c>
      <c r="B31" s="9" t="s">
        <v>121</v>
      </c>
      <c r="C31" t="s">
        <v>58</v>
      </c>
      <c r="F31" s="3">
        <v>2</v>
      </c>
      <c r="G31" s="9" t="s">
        <v>122</v>
      </c>
      <c r="H31" t="s">
        <v>123</v>
      </c>
      <c r="K31" s="3">
        <v>2</v>
      </c>
      <c r="L31" t="s">
        <v>124</v>
      </c>
      <c r="M31" t="s">
        <v>125</v>
      </c>
      <c r="P31" s="3">
        <v>2</v>
      </c>
      <c r="Q31" s="9" t="s">
        <v>126</v>
      </c>
      <c r="R31" t="s">
        <v>60</v>
      </c>
    </row>
    <row r="32" customHeight="1" spans="1:18">
      <c r="A32" s="3">
        <v>3</v>
      </c>
      <c r="B32" t="s">
        <v>127</v>
      </c>
      <c r="C32" t="s">
        <v>80</v>
      </c>
      <c r="F32" s="3">
        <v>3</v>
      </c>
      <c r="G32" t="s">
        <v>128</v>
      </c>
      <c r="H32" t="s">
        <v>129</v>
      </c>
      <c r="K32" s="3">
        <v>3</v>
      </c>
      <c r="L32" t="s">
        <v>130</v>
      </c>
      <c r="M32" t="s">
        <v>131</v>
      </c>
      <c r="P32" s="3">
        <v>3</v>
      </c>
      <c r="Q32" t="s">
        <v>132</v>
      </c>
      <c r="R32" t="s">
        <v>133</v>
      </c>
    </row>
    <row r="33" customHeight="1" spans="1:18">
      <c r="A33" s="3">
        <v>4</v>
      </c>
      <c r="B33" t="s">
        <v>134</v>
      </c>
      <c r="C33" t="s">
        <v>85</v>
      </c>
      <c r="F33" s="3">
        <v>4</v>
      </c>
      <c r="G33" t="s">
        <v>135</v>
      </c>
      <c r="H33" t="s">
        <v>136</v>
      </c>
      <c r="K33" s="3">
        <v>4</v>
      </c>
      <c r="L33" s="9" t="s">
        <v>137</v>
      </c>
      <c r="M33" t="s">
        <v>138</v>
      </c>
      <c r="P33" s="3">
        <v>4</v>
      </c>
      <c r="Q33" t="s">
        <v>139</v>
      </c>
      <c r="R33" t="s">
        <v>131</v>
      </c>
    </row>
    <row r="34" customHeight="1" spans="1:18">
      <c r="A34" s="3">
        <v>5</v>
      </c>
      <c r="B34" t="s">
        <v>140</v>
      </c>
      <c r="C34" t="s">
        <v>90</v>
      </c>
      <c r="F34" s="3">
        <v>5</v>
      </c>
      <c r="G34" t="s">
        <v>141</v>
      </c>
      <c r="H34" t="s">
        <v>142</v>
      </c>
      <c r="K34" s="3">
        <v>5</v>
      </c>
      <c r="L34" t="s">
        <v>143</v>
      </c>
      <c r="M34" t="s">
        <v>144</v>
      </c>
      <c r="P34" s="3">
        <v>5</v>
      </c>
      <c r="Q34" t="s">
        <v>145</v>
      </c>
      <c r="R34" t="s">
        <v>138</v>
      </c>
    </row>
    <row r="35" customHeight="1" spans="1:18">
      <c r="A35" s="3">
        <v>6</v>
      </c>
      <c r="B35" t="s">
        <v>146</v>
      </c>
      <c r="C35" t="s">
        <v>95</v>
      </c>
      <c r="F35" s="3">
        <v>6</v>
      </c>
      <c r="G35" t="s">
        <v>147</v>
      </c>
      <c r="H35" t="s">
        <v>148</v>
      </c>
      <c r="K35" s="3">
        <v>6</v>
      </c>
      <c r="L35" t="s">
        <v>149</v>
      </c>
      <c r="M35" t="s">
        <v>150</v>
      </c>
      <c r="P35" s="3">
        <v>6</v>
      </c>
      <c r="Q35" t="s">
        <v>151</v>
      </c>
      <c r="R35" t="s">
        <v>144</v>
      </c>
    </row>
    <row r="36" customHeight="1" spans="1:18">
      <c r="A36" s="3">
        <v>7</v>
      </c>
      <c r="B36" t="s">
        <v>152</v>
      </c>
      <c r="C36" t="s">
        <v>105</v>
      </c>
      <c r="F36" s="3">
        <v>7</v>
      </c>
      <c r="G36" t="s">
        <v>153</v>
      </c>
      <c r="H36" t="s">
        <v>154</v>
      </c>
      <c r="K36" s="3">
        <v>7</v>
      </c>
      <c r="L36" t="s">
        <v>155</v>
      </c>
      <c r="M36" t="s">
        <v>156</v>
      </c>
      <c r="P36" s="3">
        <v>7</v>
      </c>
      <c r="Q36" t="s">
        <v>157</v>
      </c>
      <c r="R36" t="s">
        <v>150</v>
      </c>
    </row>
    <row r="37" customHeight="1" spans="1:18">
      <c r="A37" s="3">
        <v>8</v>
      </c>
      <c r="B37" t="s">
        <v>158</v>
      </c>
      <c r="F37" s="3">
        <v>8</v>
      </c>
      <c r="G37" t="s">
        <v>159</v>
      </c>
      <c r="H37" t="s">
        <v>160</v>
      </c>
      <c r="K37" s="3">
        <v>8</v>
      </c>
      <c r="L37" t="s">
        <v>161</v>
      </c>
      <c r="M37" t="s">
        <v>162</v>
      </c>
      <c r="P37" s="3">
        <v>8</v>
      </c>
      <c r="Q37" t="s">
        <v>163</v>
      </c>
      <c r="R37" t="s">
        <v>156</v>
      </c>
    </row>
    <row r="38" customHeight="1" spans="1:18">
      <c r="A38" s="3">
        <v>9</v>
      </c>
      <c r="B38" t="s">
        <v>164</v>
      </c>
      <c r="F38" s="3">
        <v>9</v>
      </c>
      <c r="G38" t="s">
        <v>165</v>
      </c>
      <c r="H38" t="s">
        <v>166</v>
      </c>
      <c r="K38" s="3">
        <v>9</v>
      </c>
      <c r="L38" t="s">
        <v>167</v>
      </c>
      <c r="M38" t="s">
        <v>168</v>
      </c>
      <c r="P38" s="3">
        <v>9</v>
      </c>
      <c r="Q38" t="s">
        <v>169</v>
      </c>
      <c r="R38" t="s">
        <v>162</v>
      </c>
    </row>
    <row r="39" customHeight="1" spans="6:18">
      <c r="F39" s="3">
        <v>10</v>
      </c>
      <c r="G39" t="s">
        <v>170</v>
      </c>
      <c r="H39" t="s">
        <v>171</v>
      </c>
      <c r="K39" s="3">
        <v>10</v>
      </c>
      <c r="L39" t="s">
        <v>172</v>
      </c>
      <c r="M39" t="s">
        <v>173</v>
      </c>
      <c r="P39" s="3">
        <v>10</v>
      </c>
      <c r="Q39" t="s">
        <v>174</v>
      </c>
      <c r="R39" t="s">
        <v>168</v>
      </c>
    </row>
    <row r="40" customHeight="1" spans="2:18">
      <c r="B40" s="1" t="s">
        <v>175</v>
      </c>
      <c r="F40" s="3">
        <v>11</v>
      </c>
      <c r="G40" t="s">
        <v>176</v>
      </c>
      <c r="H40" t="s">
        <v>177</v>
      </c>
      <c r="P40" s="3">
        <v>11</v>
      </c>
      <c r="Q40" t="s">
        <v>178</v>
      </c>
      <c r="R40" t="s">
        <v>173</v>
      </c>
    </row>
    <row r="41" customHeight="1" spans="2:8">
      <c r="B41" s="1" t="s">
        <v>179</v>
      </c>
      <c r="F41" s="3">
        <v>12</v>
      </c>
      <c r="G41" t="s">
        <v>180</v>
      </c>
      <c r="H41" t="s">
        <v>181</v>
      </c>
    </row>
    <row r="42" customHeight="1" spans="1:8">
      <c r="A42" s="5" t="s">
        <v>0</v>
      </c>
      <c r="B42" s="1" t="s">
        <v>55</v>
      </c>
      <c r="C42" s="1" t="s">
        <v>56</v>
      </c>
      <c r="F42" s="3">
        <v>13</v>
      </c>
      <c r="G42" t="s">
        <v>182</v>
      </c>
      <c r="H42" t="s">
        <v>183</v>
      </c>
    </row>
    <row r="43" customHeight="1" spans="1:8">
      <c r="A43" s="3">
        <v>1</v>
      </c>
      <c r="B43" s="9" t="s">
        <v>184</v>
      </c>
      <c r="C43" t="s">
        <v>60</v>
      </c>
      <c r="F43" s="3">
        <v>14</v>
      </c>
      <c r="G43" t="s">
        <v>185</v>
      </c>
      <c r="H43" t="s">
        <v>186</v>
      </c>
    </row>
    <row r="44" customHeight="1" spans="1:8">
      <c r="A44" s="3">
        <v>2</v>
      </c>
      <c r="B44" t="s">
        <v>77</v>
      </c>
      <c r="C44" t="s">
        <v>133</v>
      </c>
      <c r="F44" s="3">
        <v>15</v>
      </c>
      <c r="G44" t="s">
        <v>187</v>
      </c>
      <c r="H44" t="s">
        <v>188</v>
      </c>
    </row>
    <row r="45" customHeight="1" spans="1:8">
      <c r="A45" s="3">
        <v>3</v>
      </c>
      <c r="B45" s="9" t="s">
        <v>73</v>
      </c>
      <c r="C45" t="s">
        <v>58</v>
      </c>
      <c r="F45" s="3">
        <v>16</v>
      </c>
      <c r="G45" t="s">
        <v>189</v>
      </c>
      <c r="H45" t="s">
        <v>190</v>
      </c>
    </row>
    <row r="46" customHeight="1" spans="1:8">
      <c r="A46" s="3">
        <v>4</v>
      </c>
      <c r="B46" t="s">
        <v>191</v>
      </c>
      <c r="C46" t="s">
        <v>192</v>
      </c>
      <c r="F46" s="3">
        <v>17</v>
      </c>
      <c r="G46" t="s">
        <v>193</v>
      </c>
      <c r="H46" t="s">
        <v>194</v>
      </c>
    </row>
    <row r="47" customHeight="1" spans="1:8">
      <c r="A47" s="3">
        <v>5</v>
      </c>
      <c r="B47" t="s">
        <v>195</v>
      </c>
      <c r="C47" t="s">
        <v>196</v>
      </c>
      <c r="F47" s="3">
        <v>18</v>
      </c>
      <c r="G47" t="s">
        <v>197</v>
      </c>
      <c r="H47" t="s">
        <v>198</v>
      </c>
    </row>
    <row r="48" customHeight="1" spans="1:8">
      <c r="A48" s="3">
        <v>6</v>
      </c>
      <c r="B48" t="s">
        <v>199</v>
      </c>
      <c r="C48" t="s">
        <v>200</v>
      </c>
      <c r="F48" s="3">
        <v>19</v>
      </c>
      <c r="G48" t="s">
        <v>201</v>
      </c>
      <c r="H48" t="s">
        <v>202</v>
      </c>
    </row>
    <row r="49" customHeight="1" spans="1:8">
      <c r="A49" s="3">
        <v>7</v>
      </c>
      <c r="B49" t="s">
        <v>203</v>
      </c>
      <c r="C49" t="s">
        <v>204</v>
      </c>
      <c r="F49" s="3">
        <v>20</v>
      </c>
      <c r="G49" t="s">
        <v>205</v>
      </c>
      <c r="H49" t="s">
        <v>206</v>
      </c>
    </row>
    <row r="50" customHeight="1" spans="6:8">
      <c r="F50" s="3">
        <v>21</v>
      </c>
      <c r="G50" t="s">
        <v>207</v>
      </c>
      <c r="H50" t="s">
        <v>208</v>
      </c>
    </row>
    <row r="51" customHeight="1" spans="6:8">
      <c r="F51" s="3">
        <v>22</v>
      </c>
      <c r="G51" t="s">
        <v>209</v>
      </c>
      <c r="H51" t="s">
        <v>210</v>
      </c>
    </row>
    <row r="52" customHeight="1" spans="6:8">
      <c r="F52" s="3">
        <v>23</v>
      </c>
      <c r="G52" t="s">
        <v>211</v>
      </c>
      <c r="H52" t="s">
        <v>212</v>
      </c>
    </row>
    <row r="53" customHeight="1" spans="2:8">
      <c r="B53" s="1" t="s">
        <v>213</v>
      </c>
      <c r="F53" s="3">
        <v>24</v>
      </c>
      <c r="G53" t="s">
        <v>214</v>
      </c>
      <c r="H53" t="s">
        <v>215</v>
      </c>
    </row>
    <row r="54" customHeight="1" spans="2:8">
      <c r="B54" s="1" t="s">
        <v>216</v>
      </c>
      <c r="F54" s="3">
        <v>25</v>
      </c>
      <c r="G54" t="s">
        <v>217</v>
      </c>
      <c r="H54" t="s">
        <v>218</v>
      </c>
    </row>
    <row r="55" customHeight="1" spans="1:8">
      <c r="A55" s="5" t="s">
        <v>0</v>
      </c>
      <c r="B55" s="1" t="s">
        <v>55</v>
      </c>
      <c r="C55" s="1" t="s">
        <v>56</v>
      </c>
      <c r="F55" s="3">
        <v>26</v>
      </c>
      <c r="G55" t="s">
        <v>219</v>
      </c>
      <c r="H55" t="s">
        <v>220</v>
      </c>
    </row>
    <row r="56" customHeight="1" spans="1:8">
      <c r="A56" s="3">
        <v>1</v>
      </c>
      <c r="B56" s="9" t="s">
        <v>126</v>
      </c>
      <c r="C56" t="s">
        <v>60</v>
      </c>
      <c r="F56" s="3">
        <v>27</v>
      </c>
      <c r="G56" t="s">
        <v>221</v>
      </c>
      <c r="H56" t="s">
        <v>222</v>
      </c>
    </row>
    <row r="57" customHeight="1" spans="1:6">
      <c r="A57" s="3">
        <v>2</v>
      </c>
      <c r="B57" s="9" t="s">
        <v>120</v>
      </c>
      <c r="C57" t="s">
        <v>58</v>
      </c>
      <c r="F57" s="3"/>
    </row>
    <row r="58" customHeight="1" spans="1:6">
      <c r="A58" s="3">
        <v>3</v>
      </c>
      <c r="B58" t="s">
        <v>223</v>
      </c>
      <c r="C58" t="s">
        <v>224</v>
      </c>
      <c r="F58" s="3"/>
    </row>
    <row r="59" customHeight="1" spans="1:6">
      <c r="A59" s="3">
        <v>4</v>
      </c>
      <c r="B59" t="s">
        <v>225</v>
      </c>
      <c r="C59" t="s">
        <v>226</v>
      </c>
      <c r="F59" s="3"/>
    </row>
    <row r="60" customHeight="1" spans="6:6">
      <c r="F60" s="3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3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3:3">
      <c r="C4" s="1" t="s">
        <v>227</v>
      </c>
    </row>
    <row r="5" customHeight="1" spans="3:3">
      <c r="C5" s="1" t="s">
        <v>24</v>
      </c>
    </row>
    <row r="6" customHeight="1" spans="2:4">
      <c r="B6" s="5" t="s">
        <v>0</v>
      </c>
      <c r="C6" s="1" t="s">
        <v>55</v>
      </c>
      <c r="D6" s="1" t="s">
        <v>56</v>
      </c>
    </row>
    <row r="7" customHeight="1" spans="2:4">
      <c r="B7" s="3">
        <v>1</v>
      </c>
      <c r="C7" s="9" t="s">
        <v>228</v>
      </c>
      <c r="D7" t="s">
        <v>229</v>
      </c>
    </row>
    <row r="8" customHeight="1" spans="2:4">
      <c r="B8" s="3">
        <v>2</v>
      </c>
      <c r="C8" s="9" t="s">
        <v>230</v>
      </c>
      <c r="D8" t="s">
        <v>58</v>
      </c>
    </row>
    <row r="9" customHeight="1" spans="2:4">
      <c r="B9" s="3">
        <v>3</v>
      </c>
      <c r="C9" t="s">
        <v>231</v>
      </c>
      <c r="D9" t="s">
        <v>80</v>
      </c>
    </row>
    <row r="10" customHeight="1" spans="2:4">
      <c r="B10" s="3">
        <v>4</v>
      </c>
      <c r="C10" t="s">
        <v>232</v>
      </c>
      <c r="D10" t="s">
        <v>90</v>
      </c>
    </row>
    <row r="11" customHeight="1" spans="2:4">
      <c r="B11" s="3">
        <v>5</v>
      </c>
      <c r="C11" t="s">
        <v>233</v>
      </c>
      <c r="D11" t="s">
        <v>95</v>
      </c>
    </row>
    <row r="12" customHeight="1" spans="2:4">
      <c r="B12" s="3">
        <v>6</v>
      </c>
      <c r="C12" t="s">
        <v>234</v>
      </c>
      <c r="D12" t="s">
        <v>85</v>
      </c>
    </row>
    <row r="13" customHeight="1" spans="2:4">
      <c r="B13" s="3">
        <v>7</v>
      </c>
      <c r="C13" t="s">
        <v>235</v>
      </c>
      <c r="D13" t="s">
        <v>105</v>
      </c>
    </row>
    <row r="18" customHeight="1" spans="3:8">
      <c r="C18" s="1" t="s">
        <v>26</v>
      </c>
      <c r="G18" s="3"/>
      <c r="H18" s="1" t="s">
        <v>28</v>
      </c>
    </row>
    <row r="19" customHeight="1" spans="3:8">
      <c r="C19" s="1" t="s">
        <v>25</v>
      </c>
      <c r="G19" s="3"/>
      <c r="H19" s="1" t="s">
        <v>27</v>
      </c>
    </row>
    <row r="20" customHeight="1" spans="2:9">
      <c r="B20" s="5" t="s">
        <v>0</v>
      </c>
      <c r="C20" s="1" t="s">
        <v>55</v>
      </c>
      <c r="D20" s="1" t="s">
        <v>56</v>
      </c>
      <c r="G20" s="5" t="s">
        <v>0</v>
      </c>
      <c r="H20" s="1" t="s">
        <v>55</v>
      </c>
      <c r="I20" s="1" t="s">
        <v>56</v>
      </c>
    </row>
    <row r="21" customHeight="1" spans="2:9">
      <c r="B21" s="3">
        <v>1</v>
      </c>
      <c r="C21" s="9" t="s">
        <v>236</v>
      </c>
      <c r="D21" t="s">
        <v>237</v>
      </c>
      <c r="G21" s="3">
        <v>1</v>
      </c>
      <c r="H21" s="9" t="s">
        <v>238</v>
      </c>
      <c r="I21" t="s">
        <v>58</v>
      </c>
    </row>
    <row r="22" customHeight="1" spans="2:9">
      <c r="B22" s="3">
        <v>2</v>
      </c>
      <c r="C22" s="9" t="s">
        <v>238</v>
      </c>
      <c r="D22" t="s">
        <v>58</v>
      </c>
      <c r="G22" s="3">
        <v>2</v>
      </c>
      <c r="H22" s="9" t="s">
        <v>236</v>
      </c>
      <c r="I22" t="s">
        <v>239</v>
      </c>
    </row>
    <row r="23" customHeight="1" spans="2:7">
      <c r="B23" s="3">
        <v>3</v>
      </c>
      <c r="C23" t="s">
        <v>240</v>
      </c>
      <c r="D23" t="s">
        <v>80</v>
      </c>
      <c r="G23" s="3"/>
    </row>
    <row r="24" customHeight="1" spans="2:7">
      <c r="B24" s="3">
        <v>4</v>
      </c>
      <c r="C24" t="s">
        <v>241</v>
      </c>
      <c r="D24" t="s">
        <v>90</v>
      </c>
      <c r="G24" s="3"/>
    </row>
    <row r="25" customHeight="1" spans="2:7">
      <c r="B25" s="3">
        <v>5</v>
      </c>
      <c r="C25" t="s">
        <v>242</v>
      </c>
      <c r="D25" t="s">
        <v>95</v>
      </c>
      <c r="G25" s="3"/>
    </row>
    <row r="26" customHeight="1" spans="2:7">
      <c r="B26" s="3">
        <v>6</v>
      </c>
      <c r="C26" t="s">
        <v>243</v>
      </c>
      <c r="D26" t="s">
        <v>85</v>
      </c>
      <c r="G26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opLeftCell="A10" workbookViewId="0">
      <selection activeCell="E35" sqref="E35"/>
    </sheetView>
  </sheetViews>
  <sheetFormatPr defaultColWidth="8.88888888888889" defaultRowHeight="19.95" customHeight="1"/>
  <cols>
    <col min="2" max="2" width="8.88888888888889" style="3"/>
    <col min="3" max="3" width="31" customWidth="1"/>
    <col min="4" max="4" width="19.3333333333333" customWidth="1"/>
    <col min="7" max="7" width="8.88888888888889" style="3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3">
      <c r="A3" s="7" t="s">
        <v>244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customHeight="1" spans="1:1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6" customHeight="1" spans="3:13">
      <c r="C6" s="1" t="s">
        <v>245</v>
      </c>
      <c r="H6" s="1" t="s">
        <v>246</v>
      </c>
      <c r="L6" s="3"/>
      <c r="M6" s="1" t="s">
        <v>247</v>
      </c>
    </row>
    <row r="7" customHeight="1" spans="3:13">
      <c r="C7" t="s">
        <v>34</v>
      </c>
      <c r="H7" t="s">
        <v>35</v>
      </c>
      <c r="L7" s="3"/>
      <c r="M7" t="s">
        <v>37</v>
      </c>
    </row>
    <row r="8" customHeight="1" spans="2:14">
      <c r="B8" s="5" t="s">
        <v>0</v>
      </c>
      <c r="C8" s="1" t="s">
        <v>55</v>
      </c>
      <c r="D8" s="1" t="s">
        <v>56</v>
      </c>
      <c r="G8" s="5" t="s">
        <v>0</v>
      </c>
      <c r="H8" s="1" t="s">
        <v>55</v>
      </c>
      <c r="I8" s="1" t="s">
        <v>56</v>
      </c>
      <c r="L8" s="5" t="s">
        <v>0</v>
      </c>
      <c r="M8" s="1" t="s">
        <v>55</v>
      </c>
      <c r="N8" s="1" t="s">
        <v>56</v>
      </c>
    </row>
    <row r="9" customHeight="1" spans="2:14">
      <c r="B9" s="3">
        <v>1</v>
      </c>
      <c r="C9" t="s">
        <v>248</v>
      </c>
      <c r="D9" t="s">
        <v>74</v>
      </c>
      <c r="G9" s="3">
        <v>1</v>
      </c>
      <c r="H9" t="s">
        <v>249</v>
      </c>
      <c r="I9" t="s">
        <v>74</v>
      </c>
      <c r="L9" s="3">
        <v>1</v>
      </c>
      <c r="M9" t="s">
        <v>119</v>
      </c>
      <c r="N9" t="s">
        <v>74</v>
      </c>
    </row>
    <row r="10" customHeight="1" spans="2:14">
      <c r="B10" s="3">
        <v>2</v>
      </c>
      <c r="C10" t="s">
        <v>250</v>
      </c>
      <c r="D10" t="s">
        <v>251</v>
      </c>
      <c r="G10" s="3">
        <v>2</v>
      </c>
      <c r="H10" t="s">
        <v>252</v>
      </c>
      <c r="I10" t="s">
        <v>253</v>
      </c>
      <c r="L10" s="3">
        <v>2</v>
      </c>
      <c r="M10" t="s">
        <v>137</v>
      </c>
      <c r="N10" t="s">
        <v>254</v>
      </c>
    </row>
    <row r="11" customHeight="1" spans="2:14">
      <c r="B11" s="3">
        <v>3</v>
      </c>
      <c r="C11" t="s">
        <v>255</v>
      </c>
      <c r="D11" t="s">
        <v>256</v>
      </c>
      <c r="G11" s="3">
        <v>3</v>
      </c>
      <c r="H11" t="s">
        <v>257</v>
      </c>
      <c r="I11" t="s">
        <v>258</v>
      </c>
      <c r="L11" s="3">
        <v>3</v>
      </c>
      <c r="M11" t="s">
        <v>130</v>
      </c>
      <c r="N11" t="s">
        <v>259</v>
      </c>
    </row>
    <row r="12" customHeight="1" spans="2:14">
      <c r="B12" s="3">
        <v>4</v>
      </c>
      <c r="C12" t="s">
        <v>260</v>
      </c>
      <c r="D12" t="s">
        <v>60</v>
      </c>
      <c r="G12" s="3">
        <v>4</v>
      </c>
      <c r="H12" t="s">
        <v>261</v>
      </c>
      <c r="I12" t="s">
        <v>60</v>
      </c>
      <c r="L12" s="3">
        <v>4</v>
      </c>
      <c r="M12" t="s">
        <v>262</v>
      </c>
      <c r="N12" t="s">
        <v>60</v>
      </c>
    </row>
    <row r="13" customHeight="1" spans="2:14">
      <c r="B13" s="3">
        <v>5</v>
      </c>
      <c r="C13" t="s">
        <v>263</v>
      </c>
      <c r="D13" t="s">
        <v>133</v>
      </c>
      <c r="G13" s="3">
        <v>5</v>
      </c>
      <c r="H13" t="s">
        <v>264</v>
      </c>
      <c r="I13" t="s">
        <v>133</v>
      </c>
      <c r="L13" s="3">
        <v>5</v>
      </c>
      <c r="M13" t="s">
        <v>265</v>
      </c>
      <c r="N13" t="s">
        <v>133</v>
      </c>
    </row>
    <row r="16" customHeight="1" spans="3:8">
      <c r="C16" s="1" t="s">
        <v>266</v>
      </c>
      <c r="H16" s="1" t="s">
        <v>267</v>
      </c>
    </row>
    <row r="17" customHeight="1" spans="3:8">
      <c r="C17" t="s">
        <v>38</v>
      </c>
      <c r="H17" t="s">
        <v>39</v>
      </c>
    </row>
    <row r="18" customHeight="1" spans="2:9">
      <c r="B18" s="5" t="s">
        <v>0</v>
      </c>
      <c r="C18" s="1" t="s">
        <v>55</v>
      </c>
      <c r="D18" s="1" t="s">
        <v>56</v>
      </c>
      <c r="G18" s="5" t="s">
        <v>0</v>
      </c>
      <c r="H18" s="1" t="s">
        <v>55</v>
      </c>
      <c r="I18" s="1" t="s">
        <v>56</v>
      </c>
    </row>
    <row r="19" customHeight="1" spans="2:9">
      <c r="B19" s="3">
        <v>1</v>
      </c>
      <c r="C19" t="s">
        <v>57</v>
      </c>
      <c r="D19" t="s">
        <v>74</v>
      </c>
      <c r="G19" s="3">
        <v>1</v>
      </c>
      <c r="H19" t="s">
        <v>57</v>
      </c>
      <c r="I19" t="s">
        <v>74</v>
      </c>
    </row>
    <row r="20" customHeight="1" spans="2:9">
      <c r="B20" s="3">
        <v>2</v>
      </c>
      <c r="C20" t="s">
        <v>268</v>
      </c>
      <c r="D20" t="s">
        <v>251</v>
      </c>
      <c r="G20" s="3">
        <v>2</v>
      </c>
      <c r="H20" t="s">
        <v>269</v>
      </c>
      <c r="I20" t="s">
        <v>270</v>
      </c>
    </row>
    <row r="21" customHeight="1" spans="2:9">
      <c r="B21" s="3">
        <v>3</v>
      </c>
      <c r="C21" t="s">
        <v>271</v>
      </c>
      <c r="D21" t="s">
        <v>256</v>
      </c>
      <c r="G21" s="3">
        <v>3</v>
      </c>
      <c r="H21" t="s">
        <v>272</v>
      </c>
      <c r="I21" t="s">
        <v>273</v>
      </c>
    </row>
    <row r="22" customHeight="1" spans="2:9">
      <c r="B22" s="3">
        <v>4</v>
      </c>
      <c r="C22" t="s">
        <v>274</v>
      </c>
      <c r="D22" t="s">
        <v>60</v>
      </c>
      <c r="G22" s="3">
        <v>4</v>
      </c>
      <c r="H22" t="s">
        <v>274</v>
      </c>
      <c r="I22" t="s">
        <v>60</v>
      </c>
    </row>
    <row r="23" customHeight="1" spans="2:9">
      <c r="B23" s="3">
        <v>5</v>
      </c>
      <c r="C23" t="s">
        <v>275</v>
      </c>
      <c r="D23" t="s">
        <v>133</v>
      </c>
      <c r="G23" s="3">
        <v>5</v>
      </c>
      <c r="H23" t="s">
        <v>275</v>
      </c>
      <c r="I23" t="s">
        <v>133</v>
      </c>
    </row>
    <row r="26" customHeight="1" spans="2:8">
      <c r="B26" s="5" t="s">
        <v>276</v>
      </c>
      <c r="H26" s="1" t="s">
        <v>277</v>
      </c>
    </row>
    <row r="27" customHeight="1" spans="3:8">
      <c r="C27" s="1" t="s">
        <v>278</v>
      </c>
      <c r="H27" t="s">
        <v>36</v>
      </c>
    </row>
    <row r="28" customHeight="1" spans="3:9">
      <c r="C28" t="s">
        <v>41</v>
      </c>
      <c r="G28" s="5" t="s">
        <v>0</v>
      </c>
      <c r="H28" s="1" t="s">
        <v>55</v>
      </c>
      <c r="I28" s="1" t="s">
        <v>56</v>
      </c>
    </row>
    <row r="29" customHeight="1" spans="2:9">
      <c r="B29" s="5" t="s">
        <v>0</v>
      </c>
      <c r="C29" s="1" t="s">
        <v>55</v>
      </c>
      <c r="D29" s="1" t="s">
        <v>56</v>
      </c>
      <c r="G29" s="3">
        <v>1</v>
      </c>
      <c r="H29" t="s">
        <v>238</v>
      </c>
      <c r="I29" t="s">
        <v>74</v>
      </c>
    </row>
    <row r="30" customHeight="1" spans="2:9">
      <c r="B30" s="3">
        <v>1</v>
      </c>
      <c r="C30" t="s">
        <v>238</v>
      </c>
      <c r="D30" t="s">
        <v>74</v>
      </c>
      <c r="G30" s="3">
        <v>2</v>
      </c>
      <c r="H30" t="s">
        <v>279</v>
      </c>
      <c r="I30" t="s">
        <v>280</v>
      </c>
    </row>
    <row r="31" customHeight="1" spans="2:9">
      <c r="B31" s="3">
        <v>2</v>
      </c>
      <c r="C31" t="s">
        <v>279</v>
      </c>
      <c r="D31" t="s">
        <v>280</v>
      </c>
      <c r="G31" s="3">
        <v>3</v>
      </c>
      <c r="H31" t="s">
        <v>274</v>
      </c>
      <c r="I31" t="s">
        <v>281</v>
      </c>
    </row>
    <row r="32" customHeight="1" spans="2:9">
      <c r="B32" s="3">
        <v>3</v>
      </c>
      <c r="C32" t="s">
        <v>274</v>
      </c>
      <c r="D32" t="s">
        <v>281</v>
      </c>
      <c r="G32" s="3">
        <v>4</v>
      </c>
      <c r="H32" t="s">
        <v>275</v>
      </c>
      <c r="I32" t="s">
        <v>229</v>
      </c>
    </row>
    <row r="33" customHeight="1" spans="2:9">
      <c r="B33" s="3">
        <v>4</v>
      </c>
      <c r="C33" t="s">
        <v>275</v>
      </c>
      <c r="D33" t="s">
        <v>229</v>
      </c>
      <c r="G33" s="3">
        <v>5</v>
      </c>
      <c r="H33" t="s">
        <v>282</v>
      </c>
      <c r="I33" t="s">
        <v>283</v>
      </c>
    </row>
    <row r="34" customHeight="1" spans="2:9">
      <c r="B34" s="3">
        <v>5</v>
      </c>
      <c r="C34" t="s">
        <v>284</v>
      </c>
      <c r="D34" t="s">
        <v>285</v>
      </c>
      <c r="G34" s="3">
        <v>6</v>
      </c>
      <c r="H34" t="s">
        <v>284</v>
      </c>
      <c r="I34" t="s">
        <v>285</v>
      </c>
    </row>
    <row r="38" customHeight="1" spans="3:3">
      <c r="C38" s="1" t="s">
        <v>286</v>
      </c>
    </row>
    <row r="39" customHeight="1" spans="3:3">
      <c r="C39" s="8" t="s">
        <v>18</v>
      </c>
    </row>
    <row r="40" customHeight="1" spans="2:4">
      <c r="B40" s="5" t="s">
        <v>0</v>
      </c>
      <c r="C40" s="1" t="s">
        <v>55</v>
      </c>
      <c r="D40" s="1" t="s">
        <v>56</v>
      </c>
    </row>
    <row r="41" customHeight="1" spans="2:4">
      <c r="B41" s="3">
        <v>1</v>
      </c>
      <c r="C41" t="s">
        <v>238</v>
      </c>
      <c r="D41" t="s">
        <v>74</v>
      </c>
    </row>
    <row r="42" customHeight="1" spans="2:4">
      <c r="B42" s="3">
        <v>2</v>
      </c>
      <c r="C42" t="s">
        <v>274</v>
      </c>
      <c r="D42" t="s">
        <v>281</v>
      </c>
    </row>
    <row r="43" customHeight="1" spans="2:4">
      <c r="B43" s="3">
        <v>3</v>
      </c>
      <c r="C43" t="s">
        <v>275</v>
      </c>
      <c r="D43" t="s">
        <v>229</v>
      </c>
    </row>
    <row r="44" customHeight="1" spans="2:4">
      <c r="B44" s="3">
        <v>4</v>
      </c>
      <c r="C44" t="s">
        <v>287</v>
      </c>
      <c r="D44" t="s">
        <v>288</v>
      </c>
    </row>
    <row r="45" customHeight="1" spans="2:4">
      <c r="B45" s="3">
        <v>5</v>
      </c>
      <c r="C45" t="s">
        <v>289</v>
      </c>
      <c r="D45" t="s">
        <v>290</v>
      </c>
    </row>
    <row r="46" customHeight="1" spans="2:4">
      <c r="B46" s="3">
        <v>6</v>
      </c>
      <c r="C46" t="s">
        <v>291</v>
      </c>
      <c r="D46" t="s">
        <v>292</v>
      </c>
    </row>
    <row r="47" customHeight="1" spans="2:4">
      <c r="B47" s="3">
        <v>7</v>
      </c>
      <c r="C47" t="s">
        <v>293</v>
      </c>
      <c r="D47" t="s">
        <v>294</v>
      </c>
    </row>
    <row r="48" customHeight="1" spans="2:4">
      <c r="B48" s="3">
        <v>8</v>
      </c>
      <c r="C48" t="s">
        <v>295</v>
      </c>
      <c r="D48" t="s">
        <v>296</v>
      </c>
    </row>
    <row r="49" customHeight="1" spans="2:4">
      <c r="B49" s="3">
        <v>9</v>
      </c>
      <c r="C49" t="s">
        <v>297</v>
      </c>
      <c r="D49" t="s">
        <v>298</v>
      </c>
    </row>
    <row r="50" customHeight="1" spans="2:4">
      <c r="B50" s="3">
        <v>10</v>
      </c>
      <c r="C50" t="s">
        <v>299</v>
      </c>
      <c r="D50" t="s">
        <v>300</v>
      </c>
    </row>
    <row r="51" customHeight="1" spans="2:4">
      <c r="B51" s="3">
        <v>11</v>
      </c>
      <c r="C51" t="s">
        <v>301</v>
      </c>
      <c r="D51" t="s">
        <v>302</v>
      </c>
    </row>
    <row r="52" customHeight="1" spans="2:4">
      <c r="B52" s="3">
        <v>12</v>
      </c>
      <c r="C52" t="s">
        <v>303</v>
      </c>
      <c r="D52" t="s">
        <v>304</v>
      </c>
    </row>
    <row r="59" customHeight="1" spans="3:5">
      <c r="C59" t="s">
        <v>305</v>
      </c>
      <c r="D59" t="s">
        <v>306</v>
      </c>
      <c r="E59" t="s">
        <v>307</v>
      </c>
    </row>
    <row r="64" customHeight="1" spans="3:3">
      <c r="C64" t="s">
        <v>308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75"/>
  <sheetViews>
    <sheetView workbookViewId="0">
      <selection activeCell="E35" sqref="E35"/>
    </sheetView>
  </sheetViews>
  <sheetFormatPr defaultColWidth="8.88888888888889" defaultRowHeight="19.95" customHeight="1"/>
  <cols>
    <col min="2" max="2" width="8.88888888888889" style="3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4" t="s">
        <v>309</v>
      </c>
      <c r="B2" s="4"/>
      <c r="C2" s="4"/>
      <c r="D2" s="4"/>
      <c r="E2" s="4"/>
      <c r="F2" s="4"/>
      <c r="G2" s="4"/>
      <c r="H2" s="4"/>
      <c r="I2" s="4"/>
    </row>
    <row r="3" customHeight="1" spans="1:9">
      <c r="A3" s="4"/>
      <c r="B3" s="4"/>
      <c r="C3" s="4"/>
      <c r="D3" s="4"/>
      <c r="E3" s="4"/>
      <c r="F3" s="4"/>
      <c r="G3" s="4"/>
      <c r="H3" s="4"/>
      <c r="I3" s="4"/>
    </row>
    <row r="6" customHeight="1" spans="3:3">
      <c r="C6" s="1" t="s">
        <v>310</v>
      </c>
    </row>
    <row r="7" customHeight="1" spans="3:3">
      <c r="C7" s="1" t="s">
        <v>16</v>
      </c>
    </row>
    <row r="8" customHeight="1" spans="2:4">
      <c r="B8" s="5" t="s">
        <v>0</v>
      </c>
      <c r="C8" s="1" t="s">
        <v>55</v>
      </c>
      <c r="D8" s="1" t="s">
        <v>56</v>
      </c>
    </row>
    <row r="9" customHeight="1" spans="2:4">
      <c r="B9" s="3">
        <v>1</v>
      </c>
      <c r="C9" t="s">
        <v>238</v>
      </c>
      <c r="D9" t="s">
        <v>74</v>
      </c>
    </row>
    <row r="10" customHeight="1" spans="2:4">
      <c r="B10" s="3">
        <v>2</v>
      </c>
      <c r="C10" t="s">
        <v>274</v>
      </c>
      <c r="D10" t="s">
        <v>281</v>
      </c>
    </row>
    <row r="11" customHeight="1" spans="2:4">
      <c r="B11" s="3">
        <v>3</v>
      </c>
      <c r="C11" t="s">
        <v>275</v>
      </c>
      <c r="D11" t="s">
        <v>229</v>
      </c>
    </row>
    <row r="12" customHeight="1" spans="2:4">
      <c r="B12" s="3">
        <v>4</v>
      </c>
      <c r="C12" t="s">
        <v>311</v>
      </c>
      <c r="D12" t="s">
        <v>312</v>
      </c>
    </row>
    <row r="15" customHeight="1" spans="1:9">
      <c r="A15" s="6" t="s">
        <v>313</v>
      </c>
      <c r="B15" s="6"/>
      <c r="C15" s="6"/>
      <c r="D15" s="6"/>
      <c r="E15" s="6"/>
      <c r="F15" s="6"/>
      <c r="G15" s="6"/>
      <c r="H15" s="6"/>
      <c r="I15" s="6"/>
    </row>
    <row r="16" customHeight="1" spans="1:9">
      <c r="A16" s="6"/>
      <c r="B16" s="6"/>
      <c r="C16" s="6"/>
      <c r="D16" s="6"/>
      <c r="E16" s="6"/>
      <c r="F16" s="6"/>
      <c r="G16" s="6"/>
      <c r="H16" s="6"/>
      <c r="I16" s="6"/>
    </row>
    <row r="17" customHeight="1" spans="2:2">
      <c r="B17"/>
    </row>
    <row r="18" customHeight="1" spans="3:3">
      <c r="C18" s="1" t="s">
        <v>314</v>
      </c>
    </row>
    <row r="19" customHeight="1" spans="3:3">
      <c r="C19" s="1" t="s">
        <v>44</v>
      </c>
    </row>
    <row r="20" customHeight="1" spans="2:4">
      <c r="B20" s="5" t="s">
        <v>0</v>
      </c>
      <c r="C20" s="1" t="s">
        <v>55</v>
      </c>
      <c r="D20" s="1" t="s">
        <v>56</v>
      </c>
    </row>
    <row r="21" customHeight="1" spans="2:4">
      <c r="B21" s="3">
        <v>1</v>
      </c>
      <c r="C21" t="s">
        <v>120</v>
      </c>
      <c r="D21" t="s">
        <v>74</v>
      </c>
    </row>
    <row r="22" customHeight="1" spans="2:4">
      <c r="B22" s="3">
        <v>2</v>
      </c>
      <c r="C22" t="s">
        <v>315</v>
      </c>
      <c r="D22" t="s">
        <v>316</v>
      </c>
    </row>
    <row r="23" customHeight="1" spans="2:4">
      <c r="B23" s="3">
        <v>3</v>
      </c>
      <c r="C23" t="s">
        <v>317</v>
      </c>
      <c r="D23" t="s">
        <v>318</v>
      </c>
    </row>
    <row r="24" customHeight="1" spans="2:4">
      <c r="B24" s="3">
        <v>4</v>
      </c>
      <c r="C24" t="s">
        <v>319</v>
      </c>
      <c r="D24" t="s">
        <v>320</v>
      </c>
    </row>
    <row r="25" customHeight="1" spans="2:4">
      <c r="B25" s="3">
        <v>5</v>
      </c>
      <c r="C25" t="s">
        <v>321</v>
      </c>
      <c r="D25" t="s">
        <v>288</v>
      </c>
    </row>
    <row r="26" customHeight="1" spans="2:4">
      <c r="B26" s="3">
        <v>6</v>
      </c>
      <c r="C26" t="s">
        <v>322</v>
      </c>
      <c r="D26" t="s">
        <v>323</v>
      </c>
    </row>
    <row r="27" customHeight="1" spans="2:4">
      <c r="B27" s="3">
        <v>7</v>
      </c>
      <c r="C27" t="s">
        <v>324</v>
      </c>
      <c r="D27" t="s">
        <v>290</v>
      </c>
    </row>
    <row r="28" customHeight="1" spans="2:4">
      <c r="B28" s="3">
        <v>8</v>
      </c>
      <c r="C28" t="s">
        <v>325</v>
      </c>
      <c r="D28" t="s">
        <v>292</v>
      </c>
    </row>
    <row r="29" customHeight="1" spans="2:4">
      <c r="B29" s="3">
        <v>9</v>
      </c>
      <c r="C29" t="s">
        <v>326</v>
      </c>
      <c r="D29" t="s">
        <v>294</v>
      </c>
    </row>
    <row r="30" customHeight="1" spans="2:4">
      <c r="B30" s="3">
        <v>10</v>
      </c>
      <c r="C30" t="s">
        <v>327</v>
      </c>
      <c r="D30" t="s">
        <v>296</v>
      </c>
    </row>
    <row r="31" customHeight="1" spans="2:4">
      <c r="B31" s="3">
        <v>11</v>
      </c>
      <c r="C31" t="s">
        <v>297</v>
      </c>
      <c r="D31" t="s">
        <v>298</v>
      </c>
    </row>
    <row r="32" customHeight="1" spans="2:4">
      <c r="B32" s="3">
        <v>12</v>
      </c>
      <c r="C32" t="s">
        <v>328</v>
      </c>
      <c r="D32" t="s">
        <v>300</v>
      </c>
    </row>
    <row r="33" customHeight="1" spans="2:4">
      <c r="B33" s="3">
        <v>13</v>
      </c>
      <c r="C33" t="s">
        <v>329</v>
      </c>
      <c r="D33" t="s">
        <v>302</v>
      </c>
    </row>
    <row r="34" customHeight="1" spans="2:4">
      <c r="B34" s="3">
        <v>14</v>
      </c>
      <c r="C34" t="s">
        <v>330</v>
      </c>
      <c r="D34" t="s">
        <v>312</v>
      </c>
    </row>
    <row r="35" customHeight="1" spans="2:4">
      <c r="B35" s="3">
        <v>15</v>
      </c>
      <c r="C35" t="s">
        <v>331</v>
      </c>
      <c r="D35" t="s">
        <v>280</v>
      </c>
    </row>
    <row r="38" customHeight="1" spans="3:3">
      <c r="C38" s="1" t="s">
        <v>277</v>
      </c>
    </row>
    <row r="39" customHeight="1" spans="3:3">
      <c r="C39" s="1" t="s">
        <v>36</v>
      </c>
    </row>
    <row r="40" customHeight="1" spans="2:4">
      <c r="B40" s="5" t="s">
        <v>0</v>
      </c>
      <c r="C40" s="1" t="s">
        <v>55</v>
      </c>
      <c r="D40" s="1" t="s">
        <v>56</v>
      </c>
    </row>
    <row r="41" customHeight="1" spans="2:4">
      <c r="B41" s="3">
        <v>1</v>
      </c>
      <c r="C41" t="s">
        <v>238</v>
      </c>
      <c r="D41" t="s">
        <v>74</v>
      </c>
    </row>
    <row r="42" customHeight="1" spans="2:4">
      <c r="B42" s="3">
        <v>2</v>
      </c>
      <c r="C42" t="s">
        <v>279</v>
      </c>
      <c r="D42" t="s">
        <v>280</v>
      </c>
    </row>
    <row r="43" customHeight="1" spans="2:4">
      <c r="B43" s="3">
        <v>3</v>
      </c>
      <c r="C43" t="s">
        <v>274</v>
      </c>
      <c r="D43" t="s">
        <v>281</v>
      </c>
    </row>
    <row r="44" customHeight="1" spans="2:4">
      <c r="B44" s="3">
        <v>4</v>
      </c>
      <c r="C44" t="s">
        <v>275</v>
      </c>
      <c r="D44" t="s">
        <v>229</v>
      </c>
    </row>
    <row r="45" customHeight="1" spans="2:4">
      <c r="B45" s="3">
        <v>5</v>
      </c>
      <c r="C45" t="s">
        <v>282</v>
      </c>
      <c r="D45" t="s">
        <v>283</v>
      </c>
    </row>
    <row r="46" customHeight="1" spans="2:4">
      <c r="B46" s="3">
        <v>6</v>
      </c>
      <c r="C46" t="s">
        <v>284</v>
      </c>
      <c r="D46" t="s">
        <v>285</v>
      </c>
    </row>
    <row r="50" customHeight="1" spans="3:8">
      <c r="C50" s="1" t="s">
        <v>332</v>
      </c>
      <c r="G50" s="3"/>
      <c r="H50" s="1" t="s">
        <v>333</v>
      </c>
    </row>
    <row r="51" customHeight="1" spans="3:8">
      <c r="C51" s="1" t="s">
        <v>46</v>
      </c>
      <c r="G51" s="3"/>
      <c r="H51" s="1" t="s">
        <v>48</v>
      </c>
    </row>
    <row r="52" customHeight="1" spans="2:9">
      <c r="B52" s="5" t="s">
        <v>0</v>
      </c>
      <c r="C52" s="1" t="s">
        <v>55</v>
      </c>
      <c r="D52" s="1" t="s">
        <v>56</v>
      </c>
      <c r="G52" s="5" t="s">
        <v>0</v>
      </c>
      <c r="H52" s="1" t="s">
        <v>55</v>
      </c>
      <c r="I52" s="1" t="s">
        <v>56</v>
      </c>
    </row>
    <row r="53" customHeight="1" spans="2:9">
      <c r="B53" s="3">
        <v>1</v>
      </c>
      <c r="C53" t="s">
        <v>238</v>
      </c>
      <c r="D53" t="s">
        <v>58</v>
      </c>
      <c r="G53" s="3">
        <v>1</v>
      </c>
      <c r="H53" t="s">
        <v>238</v>
      </c>
      <c r="I53" t="s">
        <v>58</v>
      </c>
    </row>
    <row r="54" customHeight="1" spans="2:9">
      <c r="B54" s="3">
        <v>2</v>
      </c>
      <c r="C54" t="s">
        <v>274</v>
      </c>
      <c r="D54" t="s">
        <v>60</v>
      </c>
      <c r="G54" s="3">
        <v>2</v>
      </c>
      <c r="H54" t="s">
        <v>274</v>
      </c>
      <c r="I54" t="s">
        <v>60</v>
      </c>
    </row>
    <row r="55" customHeight="1" spans="2:9">
      <c r="B55" s="3">
        <v>3</v>
      </c>
      <c r="C55" t="s">
        <v>275</v>
      </c>
      <c r="D55" t="s">
        <v>133</v>
      </c>
      <c r="G55" s="3">
        <v>3</v>
      </c>
      <c r="H55" t="s">
        <v>275</v>
      </c>
      <c r="I55" t="s">
        <v>133</v>
      </c>
    </row>
    <row r="56" customHeight="1" spans="2:9">
      <c r="B56" s="3">
        <v>4</v>
      </c>
      <c r="C56" t="s">
        <v>334</v>
      </c>
      <c r="D56" t="s">
        <v>335</v>
      </c>
      <c r="G56" s="3">
        <v>4</v>
      </c>
      <c r="H56" t="s">
        <v>334</v>
      </c>
      <c r="I56" t="s">
        <v>335</v>
      </c>
    </row>
    <row r="57" customHeight="1" spans="2:9">
      <c r="B57" s="3">
        <v>5</v>
      </c>
      <c r="C57" t="s">
        <v>243</v>
      </c>
      <c r="D57" t="s">
        <v>85</v>
      </c>
      <c r="G57" s="3">
        <v>5</v>
      </c>
      <c r="H57" t="s">
        <v>243</v>
      </c>
      <c r="I57" t="s">
        <v>85</v>
      </c>
    </row>
    <row r="58" customHeight="1" spans="2:9">
      <c r="B58" s="3">
        <v>6</v>
      </c>
      <c r="C58" t="s">
        <v>336</v>
      </c>
      <c r="D58" t="s">
        <v>337</v>
      </c>
      <c r="G58" s="3">
        <v>6</v>
      </c>
      <c r="H58" t="s">
        <v>336</v>
      </c>
      <c r="I58" t="s">
        <v>337</v>
      </c>
    </row>
    <row r="59" customHeight="1" spans="2:9">
      <c r="B59" s="3">
        <v>7</v>
      </c>
      <c r="C59" t="s">
        <v>287</v>
      </c>
      <c r="D59" t="s">
        <v>288</v>
      </c>
      <c r="G59" s="3">
        <v>7</v>
      </c>
      <c r="H59" t="s">
        <v>287</v>
      </c>
      <c r="I59" t="s">
        <v>288</v>
      </c>
    </row>
    <row r="60" customHeight="1" spans="2:9">
      <c r="B60" s="3">
        <v>8</v>
      </c>
      <c r="C60" t="s">
        <v>338</v>
      </c>
      <c r="D60" t="s">
        <v>323</v>
      </c>
      <c r="G60" s="3">
        <v>8</v>
      </c>
      <c r="H60" t="s">
        <v>338</v>
      </c>
      <c r="I60" t="s">
        <v>323</v>
      </c>
    </row>
    <row r="61" customHeight="1" spans="2:9">
      <c r="B61" s="3">
        <v>9</v>
      </c>
      <c r="C61" t="s">
        <v>289</v>
      </c>
      <c r="D61" t="s">
        <v>290</v>
      </c>
      <c r="G61" s="3">
        <v>9</v>
      </c>
      <c r="H61" t="s">
        <v>289</v>
      </c>
      <c r="I61" t="s">
        <v>290</v>
      </c>
    </row>
    <row r="62" customHeight="1" spans="2:9">
      <c r="B62" s="3">
        <v>10</v>
      </c>
      <c r="C62" t="s">
        <v>291</v>
      </c>
      <c r="D62" t="s">
        <v>292</v>
      </c>
      <c r="G62" s="3">
        <v>10</v>
      </c>
      <c r="H62" t="s">
        <v>291</v>
      </c>
      <c r="I62" t="s">
        <v>292</v>
      </c>
    </row>
    <row r="63" customHeight="1" spans="2:9">
      <c r="B63" s="3">
        <v>11</v>
      </c>
      <c r="C63" t="s">
        <v>293</v>
      </c>
      <c r="D63" t="s">
        <v>294</v>
      </c>
      <c r="G63" s="3">
        <v>11</v>
      </c>
      <c r="H63" t="s">
        <v>293</v>
      </c>
      <c r="I63" t="s">
        <v>294</v>
      </c>
    </row>
    <row r="64" customHeight="1" spans="2:9">
      <c r="B64" s="3">
        <v>12</v>
      </c>
      <c r="C64" t="s">
        <v>295</v>
      </c>
      <c r="D64" t="s">
        <v>296</v>
      </c>
      <c r="G64" s="3">
        <v>12</v>
      </c>
      <c r="H64" t="s">
        <v>295</v>
      </c>
      <c r="I64" t="s">
        <v>296</v>
      </c>
    </row>
    <row r="65" customHeight="1" spans="2:9">
      <c r="B65" s="3">
        <v>13</v>
      </c>
      <c r="C65" t="s">
        <v>297</v>
      </c>
      <c r="D65" t="s">
        <v>298</v>
      </c>
      <c r="G65" s="3">
        <v>13</v>
      </c>
      <c r="H65" t="s">
        <v>297</v>
      </c>
      <c r="I65" t="s">
        <v>298</v>
      </c>
    </row>
    <row r="66" customHeight="1" spans="2:9">
      <c r="B66" s="3">
        <v>14</v>
      </c>
      <c r="C66" t="s">
        <v>299</v>
      </c>
      <c r="D66" t="s">
        <v>300</v>
      </c>
      <c r="G66" s="3">
        <v>14</v>
      </c>
      <c r="H66" t="s">
        <v>299</v>
      </c>
      <c r="I66" t="s">
        <v>300</v>
      </c>
    </row>
    <row r="67" customHeight="1" spans="2:9">
      <c r="B67" s="3">
        <v>15</v>
      </c>
      <c r="C67" t="s">
        <v>301</v>
      </c>
      <c r="D67" t="s">
        <v>302</v>
      </c>
      <c r="G67" s="3">
        <v>15</v>
      </c>
      <c r="H67" t="s">
        <v>301</v>
      </c>
      <c r="I67" t="s">
        <v>302</v>
      </c>
    </row>
    <row r="68" customHeight="1" spans="2:9">
      <c r="B68" s="3">
        <v>16</v>
      </c>
      <c r="C68" t="s">
        <v>311</v>
      </c>
      <c r="D68" t="s">
        <v>312</v>
      </c>
      <c r="G68" s="3">
        <v>16</v>
      </c>
      <c r="H68" t="s">
        <v>311</v>
      </c>
      <c r="I68" t="s">
        <v>312</v>
      </c>
    </row>
    <row r="69" customHeight="1" spans="2:9">
      <c r="B69" s="3">
        <v>17</v>
      </c>
      <c r="C69" t="s">
        <v>339</v>
      </c>
      <c r="D69" t="s">
        <v>280</v>
      </c>
      <c r="G69" s="3">
        <v>17</v>
      </c>
      <c r="H69" t="s">
        <v>339</v>
      </c>
      <c r="I69" t="s">
        <v>280</v>
      </c>
    </row>
    <row r="73" customHeight="1" spans="2:4">
      <c r="B73" s="3" t="s">
        <v>340</v>
      </c>
      <c r="C73" t="s">
        <v>11</v>
      </c>
      <c r="D73" t="s">
        <v>341</v>
      </c>
    </row>
    <row r="75" customHeight="1" spans="3:3">
      <c r="C75" t="s">
        <v>342</v>
      </c>
    </row>
  </sheetData>
  <mergeCells count="2">
    <mergeCell ref="A15:I16"/>
    <mergeCell ref="A2:I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2" t="s">
        <v>11</v>
      </c>
      <c r="D4" s="2" t="s">
        <v>53</v>
      </c>
    </row>
    <row r="5" customHeight="1" spans="3:4">
      <c r="C5" t="s">
        <v>20</v>
      </c>
      <c r="D5" t="s">
        <v>65</v>
      </c>
    </row>
    <row r="6" customHeight="1" spans="3:4">
      <c r="C6" t="s">
        <v>21</v>
      </c>
      <c r="D6" t="s">
        <v>66</v>
      </c>
    </row>
    <row r="7" customHeight="1" spans="3:4">
      <c r="C7" t="s">
        <v>30</v>
      </c>
      <c r="D7" t="s">
        <v>67</v>
      </c>
    </row>
    <row r="8" customHeight="1" spans="3:4">
      <c r="C8" t="s">
        <v>22</v>
      </c>
      <c r="D8" t="s">
        <v>107</v>
      </c>
    </row>
    <row r="9" customHeight="1" spans="3:4">
      <c r="C9" s="2" t="s">
        <v>13</v>
      </c>
      <c r="D9" s="2" t="s">
        <v>108</v>
      </c>
    </row>
    <row r="10" customHeight="1" spans="3:4">
      <c r="C10" t="s">
        <v>32</v>
      </c>
      <c r="D10" t="s">
        <v>109</v>
      </c>
    </row>
    <row r="11" customHeight="1" spans="3:4">
      <c r="C11" t="s">
        <v>33</v>
      </c>
      <c r="D11" t="s">
        <v>110</v>
      </c>
    </row>
    <row r="12" customHeight="1" spans="3:4">
      <c r="C12" s="2" t="s">
        <v>14</v>
      </c>
      <c r="D12" s="2" t="s">
        <v>175</v>
      </c>
    </row>
    <row r="13" customHeight="1" spans="3:4">
      <c r="C13" s="2" t="s">
        <v>15</v>
      </c>
      <c r="D13" s="2" t="s">
        <v>213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96"/>
  <sheetViews>
    <sheetView tabSelected="1" topLeftCell="B43" workbookViewId="0">
      <selection activeCell="I62" sqref="I6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4">
      <c r="C5" s="1" t="s">
        <v>343</v>
      </c>
      <c r="D5" s="1" t="s">
        <v>344</v>
      </c>
    </row>
    <row r="7" spans="6:8">
      <c r="F7" s="1" t="s">
        <v>345</v>
      </c>
      <c r="H7" s="1" t="s">
        <v>346</v>
      </c>
    </row>
    <row r="8" spans="4:9">
      <c r="D8" s="1" t="s">
        <v>347</v>
      </c>
      <c r="F8" s="1" t="s">
        <v>348</v>
      </c>
      <c r="H8" t="s">
        <v>349</v>
      </c>
      <c r="I8" t="s">
        <v>11</v>
      </c>
    </row>
    <row r="9" spans="9:9">
      <c r="I9" t="s">
        <v>350</v>
      </c>
    </row>
    <row r="13" spans="8:8">
      <c r="H13" s="1" t="s">
        <v>351</v>
      </c>
    </row>
    <row r="14" spans="8:9">
      <c r="H14" t="s">
        <v>352</v>
      </c>
      <c r="I14" t="s">
        <v>353</v>
      </c>
    </row>
    <row r="15" spans="9:9">
      <c r="I15" t="s">
        <v>354</v>
      </c>
    </row>
    <row r="19" spans="8:8">
      <c r="H19" s="1" t="s">
        <v>355</v>
      </c>
    </row>
    <row r="20" spans="8:9">
      <c r="H20" t="s">
        <v>356</v>
      </c>
      <c r="I20" t="s">
        <v>357</v>
      </c>
    </row>
    <row r="21" spans="9:9">
      <c r="I21" t="s">
        <v>358</v>
      </c>
    </row>
    <row r="25" spans="8:8">
      <c r="H25" s="1" t="s">
        <v>359</v>
      </c>
    </row>
    <row r="26" spans="8:9">
      <c r="H26" t="s">
        <v>360</v>
      </c>
      <c r="I26" t="s">
        <v>361</v>
      </c>
    </row>
    <row r="27" spans="9:9">
      <c r="I27" t="s">
        <v>362</v>
      </c>
    </row>
    <row r="31" spans="8:8">
      <c r="H31" s="1" t="s">
        <v>363</v>
      </c>
    </row>
    <row r="32" spans="8:9">
      <c r="H32" t="s">
        <v>364</v>
      </c>
      <c r="I32" t="s">
        <v>365</v>
      </c>
    </row>
    <row r="33" spans="9:9">
      <c r="I33" t="s">
        <v>366</v>
      </c>
    </row>
    <row r="37" spans="8:8">
      <c r="H37" s="1" t="s">
        <v>367</v>
      </c>
    </row>
    <row r="38" spans="8:9">
      <c r="H38" t="s">
        <v>368</v>
      </c>
      <c r="I38" t="s">
        <v>13</v>
      </c>
    </row>
    <row r="43" spans="8:8">
      <c r="H43" s="1" t="s">
        <v>369</v>
      </c>
    </row>
    <row r="44" spans="8:9">
      <c r="H44" t="s">
        <v>370</v>
      </c>
      <c r="I44" t="s">
        <v>32</v>
      </c>
    </row>
    <row r="45" spans="9:9">
      <c r="I45" t="s">
        <v>371</v>
      </c>
    </row>
    <row r="49" ht="13" customHeight="1" spans="8:8">
      <c r="H49" s="1" t="s">
        <v>372</v>
      </c>
    </row>
    <row r="50" spans="8:9">
      <c r="H50" t="s">
        <v>373</v>
      </c>
      <c r="I50" s="2" t="s">
        <v>33</v>
      </c>
    </row>
    <row r="51" spans="9:9">
      <c r="I51" t="s">
        <v>374</v>
      </c>
    </row>
    <row r="55" spans="8:8">
      <c r="H55" s="1" t="s">
        <v>375</v>
      </c>
    </row>
    <row r="56" spans="8:9">
      <c r="H56" t="s">
        <v>376</v>
      </c>
      <c r="I56" s="2" t="s">
        <v>377</v>
      </c>
    </row>
    <row r="57" spans="9:9">
      <c r="I57" t="s">
        <v>378</v>
      </c>
    </row>
    <row r="61" spans="6:8">
      <c r="F61" t="s">
        <v>379</v>
      </c>
      <c r="H61" t="s">
        <v>380</v>
      </c>
    </row>
    <row r="62" spans="6:9">
      <c r="F62" s="1" t="s">
        <v>381</v>
      </c>
      <c r="H62" s="1" t="s">
        <v>382</v>
      </c>
      <c r="I62" t="s">
        <v>20</v>
      </c>
    </row>
    <row r="77" spans="6:6">
      <c r="F77" t="s">
        <v>383</v>
      </c>
    </row>
    <row r="83" spans="6:6">
      <c r="F83" t="s">
        <v>384</v>
      </c>
    </row>
    <row r="89" spans="6:6">
      <c r="F89" t="s">
        <v>385</v>
      </c>
    </row>
    <row r="96" spans="6:6">
      <c r="F96" t="s">
        <v>386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13240</cp:lastModifiedBy>
  <dcterms:created xsi:type="dcterms:W3CDTF">2023-05-12T11:15:00Z</dcterms:created>
  <dcterms:modified xsi:type="dcterms:W3CDTF">2025-11-19T10:51:41Z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</Properties>
</file>