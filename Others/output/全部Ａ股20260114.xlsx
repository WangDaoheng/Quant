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620"/>
  </bookViews>
  <sheets>
    <sheet name="全部Ａ股202601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<sst xmlns="http://schemas.openxmlformats.org/spreadsheetml/2006/main" count="12253" uniqueCount="5835">
  <si>
    <t>代码</t>
  </si>
  <si>
    <t>名称</t>
  </si>
  <si>
    <t>流通市值</t>
  </si>
  <si>
    <t>总资产(亿)</t>
  </si>
  <si>
    <t>净资产(亿)</t>
  </si>
  <si>
    <t>总股本(亿)</t>
  </si>
  <si>
    <t>流通股(亿)</t>
  </si>
  <si>
    <t>股东人数</t>
  </si>
  <si>
    <t>市净率</t>
  </si>
  <si>
    <t>市盈(动)</t>
  </si>
  <si>
    <t>细分行业</t>
  </si>
  <si>
    <t>平安银行</t>
  </si>
  <si>
    <t>股份制银行</t>
  </si>
  <si>
    <t>万 科Ａ</t>
  </si>
  <si>
    <t xml:space="preserve">--  </t>
  </si>
  <si>
    <t>住宅开发</t>
  </si>
  <si>
    <t>*ST国华</t>
  </si>
  <si>
    <t>基础软件</t>
  </si>
  <si>
    <t>深振业Ａ</t>
  </si>
  <si>
    <t>全新好</t>
  </si>
  <si>
    <t>商业物业经营</t>
  </si>
  <si>
    <t>神州高铁</t>
  </si>
  <si>
    <t>轨交设备</t>
  </si>
  <si>
    <t>中国宝安</t>
  </si>
  <si>
    <t>电池化学品</t>
  </si>
  <si>
    <t>美丽生态</t>
  </si>
  <si>
    <t>园林工程</t>
  </si>
  <si>
    <t>深物业A</t>
  </si>
  <si>
    <t>物业管理</t>
  </si>
  <si>
    <t>南 玻Ａ</t>
  </si>
  <si>
    <t>玻璃制造</t>
  </si>
  <si>
    <t>沙河股份</t>
  </si>
  <si>
    <t>深康佳Ａ</t>
  </si>
  <si>
    <t>电视</t>
  </si>
  <si>
    <t>深中华A</t>
  </si>
  <si>
    <t>钟表珠宝</t>
  </si>
  <si>
    <t>深粮控股</t>
  </si>
  <si>
    <t>粮油加工</t>
  </si>
  <si>
    <t>深华发Ａ</t>
  </si>
  <si>
    <t>面板</t>
  </si>
  <si>
    <t>深科技</t>
  </si>
  <si>
    <t>消费电子组件</t>
  </si>
  <si>
    <t>特 力Ａ</t>
  </si>
  <si>
    <t>综合类</t>
  </si>
  <si>
    <t>飞亚达</t>
  </si>
  <si>
    <t>深圳能源</t>
  </si>
  <si>
    <t>火力发电</t>
  </si>
  <si>
    <t>国药一致</t>
  </si>
  <si>
    <t>医药流通</t>
  </si>
  <si>
    <t>深深房Ａ</t>
  </si>
  <si>
    <t>富奥股份</t>
  </si>
  <si>
    <t>底盘与发动机系统</t>
  </si>
  <si>
    <t>大悦城</t>
  </si>
  <si>
    <t>商业地产</t>
  </si>
  <si>
    <t>深桑达Ａ</t>
  </si>
  <si>
    <t>其他专业工程</t>
  </si>
  <si>
    <t>神州数码</t>
  </si>
  <si>
    <t>其他云服务</t>
  </si>
  <si>
    <t>中国天楹</t>
  </si>
  <si>
    <t>固废治理</t>
  </si>
  <si>
    <t>华联控股</t>
  </si>
  <si>
    <t>深南电A</t>
  </si>
  <si>
    <t>中集集团</t>
  </si>
  <si>
    <t>金属制品</t>
  </si>
  <si>
    <t>中洲控股</t>
  </si>
  <si>
    <t>深纺织Ａ</t>
  </si>
  <si>
    <t>光学元件</t>
  </si>
  <si>
    <t>京基智农</t>
  </si>
  <si>
    <t>生猪养殖</t>
  </si>
  <si>
    <t>德赛电池</t>
  </si>
  <si>
    <t>锂电池</t>
  </si>
  <si>
    <t>深天马Ａ</t>
  </si>
  <si>
    <t>方大集团</t>
  </si>
  <si>
    <t>其他建材</t>
  </si>
  <si>
    <t>皇庭国际</t>
  </si>
  <si>
    <t>深 赛 格</t>
  </si>
  <si>
    <t>华锦股份</t>
  </si>
  <si>
    <t>炼油化工</t>
  </si>
  <si>
    <t>中金岭南</t>
  </si>
  <si>
    <t>铅锌</t>
  </si>
  <si>
    <t>农 产 品</t>
  </si>
  <si>
    <t>深圳华强</t>
  </si>
  <si>
    <t>其他电子</t>
  </si>
  <si>
    <t>中兴通讯</t>
  </si>
  <si>
    <t>系统设备</t>
  </si>
  <si>
    <t>北方国际</t>
  </si>
  <si>
    <t>国际工程</t>
  </si>
  <si>
    <t>中国长城</t>
  </si>
  <si>
    <t>其他IT设备</t>
  </si>
  <si>
    <t>华控赛格</t>
  </si>
  <si>
    <t>水治理</t>
  </si>
  <si>
    <t>华侨城Ａ</t>
  </si>
  <si>
    <t>特发信息</t>
  </si>
  <si>
    <t>光纤光缆</t>
  </si>
  <si>
    <t>海王生物</t>
  </si>
  <si>
    <t>盐 田 港</t>
  </si>
  <si>
    <t>港口</t>
  </si>
  <si>
    <t>深圳机场</t>
  </si>
  <si>
    <t>机场</t>
  </si>
  <si>
    <t>天健集团</t>
  </si>
  <si>
    <t>基建工程</t>
  </si>
  <si>
    <t>广聚能源</t>
  </si>
  <si>
    <t>石油贸易</t>
  </si>
  <si>
    <t>中信海直</t>
  </si>
  <si>
    <t>航空运输</t>
  </si>
  <si>
    <t>TCL科技</t>
  </si>
  <si>
    <t>中成股份</t>
  </si>
  <si>
    <t>贸易</t>
  </si>
  <si>
    <t>丰原药业</t>
  </si>
  <si>
    <t>化学制剂</t>
  </si>
  <si>
    <t>川能动力</t>
  </si>
  <si>
    <t>风力发电</t>
  </si>
  <si>
    <t>华数传媒</t>
  </si>
  <si>
    <t>广播电视</t>
  </si>
  <si>
    <t>中联重科</t>
  </si>
  <si>
    <t>工程机械整机</t>
  </si>
  <si>
    <t>常山北明</t>
  </si>
  <si>
    <t>行业应用软件</t>
  </si>
  <si>
    <t>国际实业</t>
  </si>
  <si>
    <t>申万宏源</t>
  </si>
  <si>
    <t>证券</t>
  </si>
  <si>
    <t>东方盛虹</t>
  </si>
  <si>
    <t>涤纶</t>
  </si>
  <si>
    <t>美的集团</t>
  </si>
  <si>
    <t>空调</t>
  </si>
  <si>
    <t>潍柴动力</t>
  </si>
  <si>
    <t>许继电气</t>
  </si>
  <si>
    <t>电网自动化</t>
  </si>
  <si>
    <t>金隅冀东</t>
  </si>
  <si>
    <t>水泥制造</t>
  </si>
  <si>
    <t>金 融 街</t>
  </si>
  <si>
    <t>派林生物</t>
  </si>
  <si>
    <t>血液制品</t>
  </si>
  <si>
    <t>长虹华意</t>
  </si>
  <si>
    <t>家电零部件</t>
  </si>
  <si>
    <t>胜利股份</t>
  </si>
  <si>
    <t>燃气</t>
  </si>
  <si>
    <t>藏格矿业</t>
  </si>
  <si>
    <t>钾肥</t>
  </si>
  <si>
    <t>云鼎科技</t>
  </si>
  <si>
    <t>沈阳机床</t>
  </si>
  <si>
    <t>机床制造</t>
  </si>
  <si>
    <t>英特集团</t>
  </si>
  <si>
    <t>渤海租赁</t>
  </si>
  <si>
    <t>租赁</t>
  </si>
  <si>
    <t>合百集团</t>
  </si>
  <si>
    <t>百货</t>
  </si>
  <si>
    <t>通程控股</t>
  </si>
  <si>
    <t>多业态零售</t>
  </si>
  <si>
    <t>吉林化纤</t>
  </si>
  <si>
    <t>粘胶纤维</t>
  </si>
  <si>
    <t>南京公用</t>
  </si>
  <si>
    <t>湖北宜化</t>
  </si>
  <si>
    <t>磷肥及磷化工</t>
  </si>
  <si>
    <t>东阿阿胶</t>
  </si>
  <si>
    <t>中药</t>
  </si>
  <si>
    <t>徐工机械</t>
  </si>
  <si>
    <t>兴业银锡</t>
  </si>
  <si>
    <t>华天酒店</t>
  </si>
  <si>
    <t>酒店</t>
  </si>
  <si>
    <t>粤高速Ａ</t>
  </si>
  <si>
    <t>高速公路</t>
  </si>
  <si>
    <t>*ST张股</t>
  </si>
  <si>
    <t>旅游景区</t>
  </si>
  <si>
    <t>ST晨鸣</t>
  </si>
  <si>
    <t>大宗用纸</t>
  </si>
  <si>
    <t>山东路桥</t>
  </si>
  <si>
    <t>武商集团</t>
  </si>
  <si>
    <t>国新健康</t>
  </si>
  <si>
    <t>*ST生物</t>
  </si>
  <si>
    <t>其他医疗服务</t>
  </si>
  <si>
    <t>京粮控股</t>
  </si>
  <si>
    <t>招金黄金</t>
  </si>
  <si>
    <t>黄金</t>
  </si>
  <si>
    <t>珠海港</t>
  </si>
  <si>
    <t>华塑控股</t>
  </si>
  <si>
    <t>新金路</t>
  </si>
  <si>
    <t>氯碱</t>
  </si>
  <si>
    <t>丽珠集团</t>
  </si>
  <si>
    <t>渝 开 发</t>
  </si>
  <si>
    <t>国际医学</t>
  </si>
  <si>
    <t>医院</t>
  </si>
  <si>
    <t>荣安地产</t>
  </si>
  <si>
    <t>*ST四环</t>
  </si>
  <si>
    <t>基因药物</t>
  </si>
  <si>
    <t>中兵红箭</t>
  </si>
  <si>
    <t>地面兵装</t>
  </si>
  <si>
    <t>凤凰航运</t>
  </si>
  <si>
    <t>航运</t>
  </si>
  <si>
    <t>长虹美菱</t>
  </si>
  <si>
    <t>冰洗</t>
  </si>
  <si>
    <t>红棉股份</t>
  </si>
  <si>
    <t>制糖业</t>
  </si>
  <si>
    <t>岭南控股</t>
  </si>
  <si>
    <t>旅游服务</t>
  </si>
  <si>
    <t>红太阳</t>
  </si>
  <si>
    <t>农药</t>
  </si>
  <si>
    <t>学大教育</t>
  </si>
  <si>
    <t>教育培训</t>
  </si>
  <si>
    <t>柳 工</t>
  </si>
  <si>
    <t>广弘控股</t>
  </si>
  <si>
    <t>肉制品</t>
  </si>
  <si>
    <t>冰山冷热</t>
  </si>
  <si>
    <t>制冷空调设备</t>
  </si>
  <si>
    <t>穗恒运Ａ</t>
  </si>
  <si>
    <t>华金资本</t>
  </si>
  <si>
    <t>投资管理</t>
  </si>
  <si>
    <t>顺钠股份</t>
  </si>
  <si>
    <t>输变电设备</t>
  </si>
  <si>
    <t>万泽股份</t>
  </si>
  <si>
    <t>其他生物制药</t>
  </si>
  <si>
    <t>华映科技</t>
  </si>
  <si>
    <t>绿发电力</t>
  </si>
  <si>
    <t>云南白药</t>
  </si>
  <si>
    <t>粤电力Ａ</t>
  </si>
  <si>
    <t>佛山照明</t>
  </si>
  <si>
    <t>LED</t>
  </si>
  <si>
    <t>皖能电力</t>
  </si>
  <si>
    <t>中原环保</t>
  </si>
  <si>
    <t>金浦钛业</t>
  </si>
  <si>
    <t>钛白粉</t>
  </si>
  <si>
    <t>金圆股份</t>
  </si>
  <si>
    <t>航天发展</t>
  </si>
  <si>
    <t>军工电子</t>
  </si>
  <si>
    <t>湖南投资</t>
  </si>
  <si>
    <t>江铃汽车</t>
  </si>
  <si>
    <t>商用载货车</t>
  </si>
  <si>
    <t>创元科技</t>
  </si>
  <si>
    <t>环保设备</t>
  </si>
  <si>
    <t>甘肃能化</t>
  </si>
  <si>
    <t>动力煤</t>
  </si>
  <si>
    <t>安道麦A</t>
  </si>
  <si>
    <t>泰山石油</t>
  </si>
  <si>
    <t>神州信息</t>
  </si>
  <si>
    <t>西部创业</t>
  </si>
  <si>
    <t>铁路运输</t>
  </si>
  <si>
    <t>天府文旅</t>
  </si>
  <si>
    <t>万向钱潮</t>
  </si>
  <si>
    <t>我爱我家</t>
  </si>
  <si>
    <t>租赁经纪</t>
  </si>
  <si>
    <t>烽火电子</t>
  </si>
  <si>
    <t>航天装备</t>
  </si>
  <si>
    <t>陕国投Ａ</t>
  </si>
  <si>
    <t>信托</t>
  </si>
  <si>
    <t>供销大集</t>
  </si>
  <si>
    <t>渝三峡Ａ</t>
  </si>
  <si>
    <t>涂料油墨</t>
  </si>
  <si>
    <t>海南海药</t>
  </si>
  <si>
    <t>海德股份</t>
  </si>
  <si>
    <t>其他金融服务</t>
  </si>
  <si>
    <t>泸州老窖</t>
  </si>
  <si>
    <t>白酒</t>
  </si>
  <si>
    <t>苏常柴Ａ</t>
  </si>
  <si>
    <t>内燃机</t>
  </si>
  <si>
    <t>新大洲A</t>
  </si>
  <si>
    <t>海马汽车</t>
  </si>
  <si>
    <t>综合乘用车</t>
  </si>
  <si>
    <t>粤宏远Ａ</t>
  </si>
  <si>
    <t>甘化科工</t>
  </si>
  <si>
    <t>威孚高科</t>
  </si>
  <si>
    <t>北部湾港</t>
  </si>
  <si>
    <t>汇源通信</t>
  </si>
  <si>
    <t>贵州轮胎</t>
  </si>
  <si>
    <t>轮胎轮毂</t>
  </si>
  <si>
    <t>古汉医药</t>
  </si>
  <si>
    <t>太阳能</t>
  </si>
  <si>
    <t>光伏发电</t>
  </si>
  <si>
    <t>平潭发展</t>
  </si>
  <si>
    <t>林业</t>
  </si>
  <si>
    <t>德龙汇能</t>
  </si>
  <si>
    <t>*ST宝实</t>
  </si>
  <si>
    <t>古井贡酒</t>
  </si>
  <si>
    <t>东北制药</t>
  </si>
  <si>
    <t>兴蓉环境</t>
  </si>
  <si>
    <t>水务</t>
  </si>
  <si>
    <t>青岛双星</t>
  </si>
  <si>
    <t>建投能源</t>
  </si>
  <si>
    <t>韶能股份</t>
  </si>
  <si>
    <t>水力发电</t>
  </si>
  <si>
    <t>盛达资源</t>
  </si>
  <si>
    <t>白银</t>
  </si>
  <si>
    <t>渤海股份</t>
  </si>
  <si>
    <t>华媒控股</t>
  </si>
  <si>
    <t>其他广告营销</t>
  </si>
  <si>
    <t>*ST阳光</t>
  </si>
  <si>
    <t>ST中迪</t>
  </si>
  <si>
    <t>西安旅游</t>
  </si>
  <si>
    <t>焦作万方</t>
  </si>
  <si>
    <t>铝</t>
  </si>
  <si>
    <t>*ST美谷</t>
  </si>
  <si>
    <t>医美服务</t>
  </si>
  <si>
    <t>中油资本</t>
  </si>
  <si>
    <t>金融控股</t>
  </si>
  <si>
    <t>海螺新材</t>
  </si>
  <si>
    <t>盈新发展</t>
  </si>
  <si>
    <t>吉林敖东</t>
  </si>
  <si>
    <t>长安汽车</t>
  </si>
  <si>
    <t>远大控股</t>
  </si>
  <si>
    <t>高新发展</t>
  </si>
  <si>
    <t>房屋建设</t>
  </si>
  <si>
    <t>钒钛股份</t>
  </si>
  <si>
    <t>其他金属</t>
  </si>
  <si>
    <t>铜陵有色</t>
  </si>
  <si>
    <t>铜</t>
  </si>
  <si>
    <t>顺发恒能</t>
  </si>
  <si>
    <t>三木集团</t>
  </si>
  <si>
    <t>合金投资</t>
  </si>
  <si>
    <t>其他金属新材料</t>
  </si>
  <si>
    <t>英 力 特</t>
  </si>
  <si>
    <t>风华高科</t>
  </si>
  <si>
    <t>被动元件</t>
  </si>
  <si>
    <t>茂化实华</t>
  </si>
  <si>
    <t>其他石化</t>
  </si>
  <si>
    <t>*ST万方</t>
  </si>
  <si>
    <t>西王食品</t>
  </si>
  <si>
    <t>仁和药业</t>
  </si>
  <si>
    <t>格力电器</t>
  </si>
  <si>
    <t>泰达股份</t>
  </si>
  <si>
    <t>金岭矿业</t>
  </si>
  <si>
    <t>铁矿石</t>
  </si>
  <si>
    <t>*ST金科</t>
  </si>
  <si>
    <t>中钨高新</t>
  </si>
  <si>
    <t>钨钼</t>
  </si>
  <si>
    <t>珠海中富</t>
  </si>
  <si>
    <t>塑料包装</t>
  </si>
  <si>
    <t>长春高新</t>
  </si>
  <si>
    <t>永安林业</t>
  </si>
  <si>
    <t>湖北广电</t>
  </si>
  <si>
    <t>*ST荣控</t>
  </si>
  <si>
    <t>ST金鸿</t>
  </si>
  <si>
    <t>盈方微</t>
  </si>
  <si>
    <t>上峰水泥</t>
  </si>
  <si>
    <t>智度股份</t>
  </si>
  <si>
    <t>互联网广告</t>
  </si>
  <si>
    <t>恒天海龙</t>
  </si>
  <si>
    <t>襄阳轴承</t>
  </si>
  <si>
    <t>大连友谊</t>
  </si>
  <si>
    <t>山推股份</t>
  </si>
  <si>
    <t>视觉中国</t>
  </si>
  <si>
    <t>文字图片媒体</t>
  </si>
  <si>
    <t>东方电子</t>
  </si>
  <si>
    <t>博源化工</t>
  </si>
  <si>
    <t>纯碱</t>
  </si>
  <si>
    <t>中山公用</t>
  </si>
  <si>
    <t>东北证券</t>
  </si>
  <si>
    <t>国城矿业</t>
  </si>
  <si>
    <t>宝新能源</t>
  </si>
  <si>
    <t>*ST亚太</t>
  </si>
  <si>
    <t>其他化学原料</t>
  </si>
  <si>
    <t>惠天热电</t>
  </si>
  <si>
    <t>热力服务</t>
  </si>
  <si>
    <t>滨海能源</t>
  </si>
  <si>
    <t>ST炼石</t>
  </si>
  <si>
    <t>航空装备</t>
  </si>
  <si>
    <t>ST沈化</t>
  </si>
  <si>
    <t>模塑科技</t>
  </si>
  <si>
    <t>车身附件及饰件</t>
  </si>
  <si>
    <t>厦门信达</t>
  </si>
  <si>
    <t>正虹科技</t>
  </si>
  <si>
    <t>畜禽饲料</t>
  </si>
  <si>
    <t>恒逸石化</t>
  </si>
  <si>
    <t>浙江震元</t>
  </si>
  <si>
    <t>双环科技</t>
  </si>
  <si>
    <t>中信特钢</t>
  </si>
  <si>
    <t>特钢</t>
  </si>
  <si>
    <t>河钢股份</t>
  </si>
  <si>
    <t>板材</t>
  </si>
  <si>
    <t>贝瑞基因</t>
  </si>
  <si>
    <t>诊断服务</t>
  </si>
  <si>
    <t>ST京蓝</t>
  </si>
  <si>
    <t>生态修复</t>
  </si>
  <si>
    <t>锦龙股份</t>
  </si>
  <si>
    <t>国投丰乐</t>
  </si>
  <si>
    <t>种子</t>
  </si>
  <si>
    <t>中兴商业</t>
  </si>
  <si>
    <t>黑芝麻</t>
  </si>
  <si>
    <t>其他食品</t>
  </si>
  <si>
    <t>中南股份</t>
  </si>
  <si>
    <t>长材</t>
  </si>
  <si>
    <t>苏宁环球</t>
  </si>
  <si>
    <t>中原传媒</t>
  </si>
  <si>
    <t>大众出版</t>
  </si>
  <si>
    <t>新能泰山</t>
  </si>
  <si>
    <t>线缆部件及其他</t>
  </si>
  <si>
    <t>西安饮食</t>
  </si>
  <si>
    <t>餐饮</t>
  </si>
  <si>
    <t>湖南发展</t>
  </si>
  <si>
    <t>美锦能源</t>
  </si>
  <si>
    <t>焦炭加工</t>
  </si>
  <si>
    <t>京东方Ａ</t>
  </si>
  <si>
    <t>鲁 泰Ａ</t>
  </si>
  <si>
    <t>棉纺制品</t>
  </si>
  <si>
    <t>冠捷科技</t>
  </si>
  <si>
    <t>国元证券</t>
  </si>
  <si>
    <t>燕京啤酒</t>
  </si>
  <si>
    <t>啤酒</t>
  </si>
  <si>
    <t>四川美丰</t>
  </si>
  <si>
    <t>氮肥</t>
  </si>
  <si>
    <t>振华科技</t>
  </si>
  <si>
    <t>罗 牛 山</t>
  </si>
  <si>
    <t>*ST中地</t>
  </si>
  <si>
    <t>北方铜业</t>
  </si>
  <si>
    <t>航发控制</t>
  </si>
  <si>
    <t>普洛药业</t>
  </si>
  <si>
    <t>原料药</t>
  </si>
  <si>
    <t>国海证券</t>
  </si>
  <si>
    <t>锌业股份</t>
  </si>
  <si>
    <t>ST西发</t>
  </si>
  <si>
    <t>漳州发展</t>
  </si>
  <si>
    <t>山西高速</t>
  </si>
  <si>
    <t>新华制药</t>
  </si>
  <si>
    <t>浩物股份</t>
  </si>
  <si>
    <t>汽车综合服务</t>
  </si>
  <si>
    <t>中色股份</t>
  </si>
  <si>
    <t>中百集团</t>
  </si>
  <si>
    <t>超市及便利店</t>
  </si>
  <si>
    <t>本钢板材</t>
  </si>
  <si>
    <t>西藏矿业</t>
  </si>
  <si>
    <t>锂</t>
  </si>
  <si>
    <t>通化金马</t>
  </si>
  <si>
    <t>晋控电力</t>
  </si>
  <si>
    <t>中航西飞</t>
  </si>
  <si>
    <t>广发证券</t>
  </si>
  <si>
    <t>中核科技</t>
  </si>
  <si>
    <t>机械基础件</t>
  </si>
  <si>
    <t>新兴铸管</t>
  </si>
  <si>
    <t>其他钢材</t>
  </si>
  <si>
    <t>甘咨询</t>
  </si>
  <si>
    <t>工程咨询服务</t>
  </si>
  <si>
    <t>恒申新材</t>
  </si>
  <si>
    <t>锦纶</t>
  </si>
  <si>
    <t>长江证券</t>
  </si>
  <si>
    <t>居然智家</t>
  </si>
  <si>
    <t>北新建材</t>
  </si>
  <si>
    <t>北大医药</t>
  </si>
  <si>
    <t>万年青</t>
  </si>
  <si>
    <t>华神科技</t>
  </si>
  <si>
    <t>甘肃能源</t>
  </si>
  <si>
    <t>盐湖股份</t>
  </si>
  <si>
    <t>ST华闻</t>
  </si>
  <si>
    <t>其他出版</t>
  </si>
  <si>
    <t>英洛华</t>
  </si>
  <si>
    <t>磁性材料</t>
  </si>
  <si>
    <t>凯撒旅业</t>
  </si>
  <si>
    <t>中国武夷</t>
  </si>
  <si>
    <t>中水渔业</t>
  </si>
  <si>
    <t>水产捕捞</t>
  </si>
  <si>
    <t>酒鬼酒</t>
  </si>
  <si>
    <t>一汽解放</t>
  </si>
  <si>
    <t>四川九洲</t>
  </si>
  <si>
    <t>其他黑色家电</t>
  </si>
  <si>
    <t>北京文化</t>
  </si>
  <si>
    <t>影视制作</t>
  </si>
  <si>
    <t>山高环能</t>
  </si>
  <si>
    <t>云铝股份</t>
  </si>
  <si>
    <t>和展能源</t>
  </si>
  <si>
    <t>风电零部件</t>
  </si>
  <si>
    <t>创维数字</t>
  </si>
  <si>
    <t>冰轮环境</t>
  </si>
  <si>
    <t>陕西金叶</t>
  </si>
  <si>
    <t>纸包装</t>
  </si>
  <si>
    <t>德展健康</t>
  </si>
  <si>
    <t>美利云</t>
  </si>
  <si>
    <t>云基础设施服务</t>
  </si>
  <si>
    <t>智慧农业</t>
  </si>
  <si>
    <t>航锦科技</t>
  </si>
  <si>
    <t>岳阳兴长</t>
  </si>
  <si>
    <t>*ST节能</t>
  </si>
  <si>
    <t>京山轻机</t>
  </si>
  <si>
    <t>光伏加工设备</t>
  </si>
  <si>
    <t>山东海化</t>
  </si>
  <si>
    <t>超声电子</t>
  </si>
  <si>
    <t>PCB</t>
  </si>
  <si>
    <t>太钢不锈</t>
  </si>
  <si>
    <t>启迪环境</t>
  </si>
  <si>
    <t>东莞控股</t>
  </si>
  <si>
    <t>天音控股</t>
  </si>
  <si>
    <t>专业连锁</t>
  </si>
  <si>
    <t>鲁西化工</t>
  </si>
  <si>
    <t>煤化工</t>
  </si>
  <si>
    <t>中国稀土</t>
  </si>
  <si>
    <t>稀土</t>
  </si>
  <si>
    <t>粤桂股份</t>
  </si>
  <si>
    <t>秦川机床</t>
  </si>
  <si>
    <t>财信发展</t>
  </si>
  <si>
    <t>国安股份</t>
  </si>
  <si>
    <t>电信增值服务</t>
  </si>
  <si>
    <t>承德露露</t>
  </si>
  <si>
    <t>软饮料</t>
  </si>
  <si>
    <t>华茂股份</t>
  </si>
  <si>
    <t>石化机械</t>
  </si>
  <si>
    <t>能源及重型设备</t>
  </si>
  <si>
    <t>冀东装备</t>
  </si>
  <si>
    <t>其他专用设备</t>
  </si>
  <si>
    <t>五 粮 液</t>
  </si>
  <si>
    <t>国风新材</t>
  </si>
  <si>
    <t>塑料薄膜</t>
  </si>
  <si>
    <t>顺鑫农业</t>
  </si>
  <si>
    <t>银星能源</t>
  </si>
  <si>
    <t>三湘印象</t>
  </si>
  <si>
    <t>安凯客车</t>
  </si>
  <si>
    <t>商用载客车</t>
  </si>
  <si>
    <t>张 裕Ａ</t>
  </si>
  <si>
    <t>葡萄酒</t>
  </si>
  <si>
    <t>吉电股份</t>
  </si>
  <si>
    <t>电能综合服务</t>
  </si>
  <si>
    <t>新 希 望</t>
  </si>
  <si>
    <t>天山股份</t>
  </si>
  <si>
    <t>云南铜业</t>
  </si>
  <si>
    <t>潍柴重机</t>
  </si>
  <si>
    <t>中广核技</t>
  </si>
  <si>
    <t>其他化学制品</t>
  </si>
  <si>
    <t>华联股份</t>
  </si>
  <si>
    <t>湖北能源</t>
  </si>
  <si>
    <t>城发环境</t>
  </si>
  <si>
    <t>海南高速</t>
  </si>
  <si>
    <t>中鼎股份</t>
  </si>
  <si>
    <t>其他汽车零部件</t>
  </si>
  <si>
    <t>峨眉山Ａ</t>
  </si>
  <si>
    <t>中嘉博创</t>
  </si>
  <si>
    <t>网络优化运维</t>
  </si>
  <si>
    <t>法尔胜</t>
  </si>
  <si>
    <t>欢瑞世纪</t>
  </si>
  <si>
    <t>亚钾国际</t>
  </si>
  <si>
    <t>双汇发展</t>
  </si>
  <si>
    <t>津滨发展</t>
  </si>
  <si>
    <t>鞍钢股份</t>
  </si>
  <si>
    <t>赣能股份</t>
  </si>
  <si>
    <t>现代投资</t>
  </si>
  <si>
    <t>航天科技</t>
  </si>
  <si>
    <t>汽车电子电气系统</t>
  </si>
  <si>
    <t>新洋丰</t>
  </si>
  <si>
    <t>复合肥</t>
  </si>
  <si>
    <t>ST云动</t>
  </si>
  <si>
    <t>厦门港务</t>
  </si>
  <si>
    <t>浙商中拓</t>
  </si>
  <si>
    <t>供应链服务</t>
  </si>
  <si>
    <t>*ST景峰</t>
  </si>
  <si>
    <t>ST数源</t>
  </si>
  <si>
    <t>大亚圣象</t>
  </si>
  <si>
    <t>家具</t>
  </si>
  <si>
    <t>广农糖业</t>
  </si>
  <si>
    <t>泸天化</t>
  </si>
  <si>
    <t>钱江摩托</t>
  </si>
  <si>
    <t>摩托车</t>
  </si>
  <si>
    <t>华特达因</t>
  </si>
  <si>
    <t>电广传媒</t>
  </si>
  <si>
    <t>金陵药业</t>
  </si>
  <si>
    <t>沃顿科技</t>
  </si>
  <si>
    <t>其他塑料制品</t>
  </si>
  <si>
    <t>海信家电</t>
  </si>
  <si>
    <t>佳电股份</t>
  </si>
  <si>
    <t>电机制造</t>
  </si>
  <si>
    <t>河钢资源</t>
  </si>
  <si>
    <t>众合科技</t>
  </si>
  <si>
    <t>福星股份</t>
  </si>
  <si>
    <t>中国铁物</t>
  </si>
  <si>
    <t>中钢国际</t>
  </si>
  <si>
    <t>*ST兰黄</t>
  </si>
  <si>
    <t>中粮科技</t>
  </si>
  <si>
    <t>其他农产品加工</t>
  </si>
  <si>
    <t>中 关 村</t>
  </si>
  <si>
    <t>华菱钢铁</t>
  </si>
  <si>
    <t>神火股份</t>
  </si>
  <si>
    <t>四川双马</t>
  </si>
  <si>
    <t>华西股份</t>
  </si>
  <si>
    <t>冀中能源</t>
  </si>
  <si>
    <t>炼焦煤</t>
  </si>
  <si>
    <t>紫光股份</t>
  </si>
  <si>
    <t>南天信息</t>
  </si>
  <si>
    <t>新乡化纤</t>
  </si>
  <si>
    <t>氨纶</t>
  </si>
  <si>
    <t>重药控股</t>
  </si>
  <si>
    <t>中国重汽</t>
  </si>
  <si>
    <t>广济药业</t>
  </si>
  <si>
    <t>河化股份</t>
  </si>
  <si>
    <t>欣龙控股</t>
  </si>
  <si>
    <t>其他纺织</t>
  </si>
  <si>
    <t>中通客车</t>
  </si>
  <si>
    <t>电投产融</t>
  </si>
  <si>
    <t>首钢股份</t>
  </si>
  <si>
    <t>锡业股份</t>
  </si>
  <si>
    <t>东方钽业</t>
  </si>
  <si>
    <t>华东医药</t>
  </si>
  <si>
    <t>天保基建</t>
  </si>
  <si>
    <t>长源电力</t>
  </si>
  <si>
    <t>盈峰环境</t>
  </si>
  <si>
    <t>蓝焰控股</t>
  </si>
  <si>
    <t>油气开采</t>
  </si>
  <si>
    <t>安泰科技</t>
  </si>
  <si>
    <t>中科三环</t>
  </si>
  <si>
    <t>*ST中基</t>
  </si>
  <si>
    <t>果蔬加工</t>
  </si>
  <si>
    <t>佛塑科技</t>
  </si>
  <si>
    <t>山金国际</t>
  </si>
  <si>
    <t>浪潮信息</t>
  </si>
  <si>
    <t>桂林旅游</t>
  </si>
  <si>
    <t>众泰汽车</t>
  </si>
  <si>
    <t>山子高科</t>
  </si>
  <si>
    <t>山西焦煤</t>
  </si>
  <si>
    <t>大庆华科</t>
  </si>
  <si>
    <t>合成树脂</t>
  </si>
  <si>
    <t>越秀资本</t>
  </si>
  <si>
    <t>华工科技</t>
  </si>
  <si>
    <t>激光设备</t>
  </si>
  <si>
    <t>九芝堂</t>
  </si>
  <si>
    <t>诚志股份</t>
  </si>
  <si>
    <t>闽东电力</t>
  </si>
  <si>
    <t>皇台酒业</t>
  </si>
  <si>
    <t>新 大 陆</t>
  </si>
  <si>
    <t>隆平高科</t>
  </si>
  <si>
    <t>华润三九</t>
  </si>
  <si>
    <t>东瑞股份</t>
  </si>
  <si>
    <t>炬申股份</t>
  </si>
  <si>
    <t>大中矿业</t>
  </si>
  <si>
    <t>盛航股份</t>
  </si>
  <si>
    <t>依依股份</t>
  </si>
  <si>
    <t>生活用纸</t>
  </si>
  <si>
    <t>联科科技</t>
  </si>
  <si>
    <t>炭黑</t>
  </si>
  <si>
    <t>华菱线缆</t>
  </si>
  <si>
    <t>洪兴股份</t>
  </si>
  <si>
    <t>非运动服装</t>
  </si>
  <si>
    <t>金房能源</t>
  </si>
  <si>
    <t>双枪科技</t>
  </si>
  <si>
    <t>其他家居</t>
  </si>
  <si>
    <t>中旗新材</t>
  </si>
  <si>
    <t>中铁特货</t>
  </si>
  <si>
    <t>千味央厨</t>
  </si>
  <si>
    <t>预加工食品</t>
  </si>
  <si>
    <t>华瓷股份</t>
  </si>
  <si>
    <t>华尔泰</t>
  </si>
  <si>
    <t>丽臣实业</t>
  </si>
  <si>
    <t>青岛食品</t>
  </si>
  <si>
    <t>烘焙食品</t>
  </si>
  <si>
    <t>悍高集团</t>
  </si>
  <si>
    <t>源飞宠物</t>
  </si>
  <si>
    <t>娱乐用品</t>
  </si>
  <si>
    <t>欧克科技</t>
  </si>
  <si>
    <t>和泰机电</t>
  </si>
  <si>
    <t>拓山重工</t>
  </si>
  <si>
    <t>工程机械零件</t>
  </si>
  <si>
    <t>兰州银行</t>
  </si>
  <si>
    <t>城商行</t>
  </si>
  <si>
    <t>永泰运</t>
  </si>
  <si>
    <t>魅视科技</t>
  </si>
  <si>
    <t>劲旅环境</t>
  </si>
  <si>
    <t>农心科技</t>
  </si>
  <si>
    <t>海安集团</t>
  </si>
  <si>
    <t>泰慕士</t>
  </si>
  <si>
    <t>运动服装</t>
  </si>
  <si>
    <t>弘业期货</t>
  </si>
  <si>
    <t>期货</t>
  </si>
  <si>
    <t>浙江正特</t>
  </si>
  <si>
    <t>永达股份</t>
  </si>
  <si>
    <t>博菲电气</t>
  </si>
  <si>
    <t>炜冈科技</t>
  </si>
  <si>
    <t>印刷包装机械</t>
  </si>
  <si>
    <t>立新能源</t>
  </si>
  <si>
    <t>利仁科技</t>
  </si>
  <si>
    <t>厨房小家电</t>
  </si>
  <si>
    <t>坤泰股份</t>
  </si>
  <si>
    <t>宏英智能</t>
  </si>
  <si>
    <t>工业控制设备</t>
  </si>
  <si>
    <t>汇绿生态</t>
  </si>
  <si>
    <t>联合精密</t>
  </si>
  <si>
    <t>欧晶科技</t>
  </si>
  <si>
    <t>光伏辅材</t>
  </si>
  <si>
    <t>*ST铖昌</t>
  </si>
  <si>
    <t>速达股份</t>
  </si>
  <si>
    <t>一彬科技</t>
  </si>
  <si>
    <t>强邦新材</t>
  </si>
  <si>
    <t>印刷</t>
  </si>
  <si>
    <t>中国铀业</t>
  </si>
  <si>
    <t>三联锻造</t>
  </si>
  <si>
    <t>豪鹏科技</t>
  </si>
  <si>
    <t>瑞立科密</t>
  </si>
  <si>
    <t>陕西能源</t>
  </si>
  <si>
    <t>中电港</t>
  </si>
  <si>
    <t>运机集团</t>
  </si>
  <si>
    <t>龙源电力</t>
  </si>
  <si>
    <t>长江材料</t>
  </si>
  <si>
    <t>非金属材料</t>
  </si>
  <si>
    <t>好上好</t>
  </si>
  <si>
    <t>美能能源</t>
  </si>
  <si>
    <t>三柏硕</t>
  </si>
  <si>
    <t>尚太科技</t>
  </si>
  <si>
    <t>夏厦精密</t>
  </si>
  <si>
    <t>康冠科技</t>
  </si>
  <si>
    <t>品牌消费电子</t>
  </si>
  <si>
    <t>德明利</t>
  </si>
  <si>
    <t>集成电路设计</t>
  </si>
  <si>
    <t>多利科技</t>
  </si>
  <si>
    <t>粤海饲料</t>
  </si>
  <si>
    <t>水产饲料</t>
  </si>
  <si>
    <t>亿道信息</t>
  </si>
  <si>
    <t>润贝航科</t>
  </si>
  <si>
    <t>三羊马</t>
  </si>
  <si>
    <t>阳光乳业</t>
  </si>
  <si>
    <t>乳制品</t>
  </si>
  <si>
    <t>铭科精技</t>
  </si>
  <si>
    <t>箭牌家居</t>
  </si>
  <si>
    <t>慕思股份</t>
  </si>
  <si>
    <t>长青科技</t>
  </si>
  <si>
    <t>元创股份</t>
  </si>
  <si>
    <t>橡胶制品</t>
  </si>
  <si>
    <t>联域股份</t>
  </si>
  <si>
    <t>登康口腔</t>
  </si>
  <si>
    <t>洗护用品</t>
  </si>
  <si>
    <t>博纳影业</t>
  </si>
  <si>
    <t>发行院线</t>
  </si>
  <si>
    <t>胜通能源</t>
  </si>
  <si>
    <t>锡装股份</t>
  </si>
  <si>
    <t>光华股份</t>
  </si>
  <si>
    <t>信凯科技</t>
  </si>
  <si>
    <t>楚环科技</t>
  </si>
  <si>
    <t>四川黄金</t>
  </si>
  <si>
    <t>永顺泰</t>
  </si>
  <si>
    <t>智微智能</t>
  </si>
  <si>
    <t>富岭股份</t>
  </si>
  <si>
    <t>兴欣新材</t>
  </si>
  <si>
    <t>平安电工</t>
  </si>
  <si>
    <t>南矿集团</t>
  </si>
  <si>
    <t>播恩集团</t>
  </si>
  <si>
    <t>海森药业</t>
  </si>
  <si>
    <t>通达创智</t>
  </si>
  <si>
    <t>双欣环保</t>
  </si>
  <si>
    <t>其他化学纤维</t>
  </si>
  <si>
    <t>翔腾新材</t>
  </si>
  <si>
    <t>百通能源</t>
  </si>
  <si>
    <t>德冠新材</t>
  </si>
  <si>
    <t>腾达科技</t>
  </si>
  <si>
    <t>华纬科技</t>
  </si>
  <si>
    <t>新亚电缆</t>
  </si>
  <si>
    <t>马可波罗</t>
  </si>
  <si>
    <t>雪祺电气</t>
  </si>
  <si>
    <t>信通电子</t>
  </si>
  <si>
    <t>广合科技</t>
  </si>
  <si>
    <t>古麒绒材</t>
  </si>
  <si>
    <t>国货航</t>
  </si>
  <si>
    <t>跨境物流</t>
  </si>
  <si>
    <t>亚联机械</t>
  </si>
  <si>
    <t>誉帆科技</t>
  </si>
  <si>
    <t>江顺科技</t>
  </si>
  <si>
    <t>其他通用设备</t>
  </si>
  <si>
    <t>宗申动力</t>
  </si>
  <si>
    <t>招商港口</t>
  </si>
  <si>
    <t>豫能控股</t>
  </si>
  <si>
    <t>招商积余</t>
  </si>
  <si>
    <t>招商公路</t>
  </si>
  <si>
    <t>招商蛇口</t>
  </si>
  <si>
    <t>新 和 成</t>
  </si>
  <si>
    <t>食品助剂</t>
  </si>
  <si>
    <t>伟星股份</t>
  </si>
  <si>
    <t>辅料</t>
  </si>
  <si>
    <t>华邦健康</t>
  </si>
  <si>
    <t>ST德豪</t>
  </si>
  <si>
    <t>精工科技</t>
  </si>
  <si>
    <t>纺织服装设备</t>
  </si>
  <si>
    <t>华兰生物</t>
  </si>
  <si>
    <t>大族激光</t>
  </si>
  <si>
    <t>天奇股份</t>
  </si>
  <si>
    <t>传化智联</t>
  </si>
  <si>
    <t>盾安环境</t>
  </si>
  <si>
    <t>凯恩股份</t>
  </si>
  <si>
    <t>特种纸</t>
  </si>
  <si>
    <t>永新股份</t>
  </si>
  <si>
    <t>协鑫能科</t>
  </si>
  <si>
    <t>世荣兆业</t>
  </si>
  <si>
    <t>东信和平</t>
  </si>
  <si>
    <t>通信终端及配件</t>
  </si>
  <si>
    <t>亿帆医药</t>
  </si>
  <si>
    <t>京新药业</t>
  </si>
  <si>
    <t>中捷资源</t>
  </si>
  <si>
    <t>科华生物</t>
  </si>
  <si>
    <t>诊断试剂</t>
  </si>
  <si>
    <t>海特高新</t>
  </si>
  <si>
    <t>ST易购</t>
  </si>
  <si>
    <t>综合电商</t>
  </si>
  <si>
    <t>航天电器</t>
  </si>
  <si>
    <t>山东威达</t>
  </si>
  <si>
    <t>分众传媒</t>
  </si>
  <si>
    <t>思源电气</t>
  </si>
  <si>
    <t>七 匹 狼</t>
  </si>
  <si>
    <t>达安基因</t>
  </si>
  <si>
    <t>巨轮智能</t>
  </si>
  <si>
    <t>苏 泊 尔</t>
  </si>
  <si>
    <t>丽江股份</t>
  </si>
  <si>
    <t>旺能环境</t>
  </si>
  <si>
    <t>华帝股份</t>
  </si>
  <si>
    <t>厨房电器</t>
  </si>
  <si>
    <t>联创电子</t>
  </si>
  <si>
    <t>保利联合</t>
  </si>
  <si>
    <t>民爆制品</t>
  </si>
  <si>
    <t>双鹭药业</t>
  </si>
  <si>
    <t>黔源电力</t>
  </si>
  <si>
    <t>南 京 港</t>
  </si>
  <si>
    <t>登海种业</t>
  </si>
  <si>
    <t>华孚时尚</t>
  </si>
  <si>
    <t>兔 宝 宝</t>
  </si>
  <si>
    <t>美年健康</t>
  </si>
  <si>
    <t>国光电器</t>
  </si>
  <si>
    <t>国机精工</t>
  </si>
  <si>
    <t>*ST宝鹰</t>
  </si>
  <si>
    <t>装修装饰</t>
  </si>
  <si>
    <t>宁波华翔</t>
  </si>
  <si>
    <t>紫光国微</t>
  </si>
  <si>
    <t>三花智控</t>
  </si>
  <si>
    <t>中工国际</t>
  </si>
  <si>
    <t>同洲电子</t>
  </si>
  <si>
    <t>云南能投</t>
  </si>
  <si>
    <t>德美化工</t>
  </si>
  <si>
    <t>纺织化学品</t>
  </si>
  <si>
    <t>ST得润</t>
  </si>
  <si>
    <t>横店东磁</t>
  </si>
  <si>
    <t>光伏电池组件</t>
  </si>
  <si>
    <t>中钢天源</t>
  </si>
  <si>
    <t>*ST威尔</t>
  </si>
  <si>
    <t>云南旅游</t>
  </si>
  <si>
    <t>休闲综合</t>
  </si>
  <si>
    <t>广东建工</t>
  </si>
  <si>
    <t>浙江交科</t>
  </si>
  <si>
    <t>宏润建设</t>
  </si>
  <si>
    <t>远光软件</t>
  </si>
  <si>
    <t>华峰化学</t>
  </si>
  <si>
    <t>东华软件</t>
  </si>
  <si>
    <t>瑞泰科技</t>
  </si>
  <si>
    <t>耐火材料</t>
  </si>
  <si>
    <t>景兴纸业</t>
  </si>
  <si>
    <t>黑猫股份</t>
  </si>
  <si>
    <t>獐子岛</t>
  </si>
  <si>
    <t>水产养殖</t>
  </si>
  <si>
    <t>凯瑞德</t>
  </si>
  <si>
    <t>软控股份</t>
  </si>
  <si>
    <t>国轩高科</t>
  </si>
  <si>
    <t>沙钢股份</t>
  </si>
  <si>
    <t>*ST星光</t>
  </si>
  <si>
    <t>大港股份</t>
  </si>
  <si>
    <t>半导体封测</t>
  </si>
  <si>
    <t>太阳纸业</t>
  </si>
  <si>
    <t>苏州固锝</t>
  </si>
  <si>
    <t>中材科技</t>
  </si>
  <si>
    <t>玻纤制造</t>
  </si>
  <si>
    <t>金 螳 螂</t>
  </si>
  <si>
    <t>万邦德</t>
  </si>
  <si>
    <t>孚日股份</t>
  </si>
  <si>
    <t>家纺</t>
  </si>
  <si>
    <t>海鸥住工</t>
  </si>
  <si>
    <t>万丰奥威</t>
  </si>
  <si>
    <t>东方海洋</t>
  </si>
  <si>
    <t>鲁阳节能</t>
  </si>
  <si>
    <t>金智科技</t>
  </si>
  <si>
    <t>江苏国泰</t>
  </si>
  <si>
    <t>中泰化学</t>
  </si>
  <si>
    <t>国脉科技</t>
  </si>
  <si>
    <t>青岛金王</t>
  </si>
  <si>
    <t>化妆品</t>
  </si>
  <si>
    <t>生 意 宝</t>
  </si>
  <si>
    <t>产联网平台服务</t>
  </si>
  <si>
    <t>易普力</t>
  </si>
  <si>
    <t>山河智能</t>
  </si>
  <si>
    <t>浔兴股份</t>
  </si>
  <si>
    <t>海翔药业</t>
  </si>
  <si>
    <t>天康生物</t>
  </si>
  <si>
    <t>广东鸿图</t>
  </si>
  <si>
    <t>能特科技</t>
  </si>
  <si>
    <t>广博股份</t>
  </si>
  <si>
    <t>文化用品</t>
  </si>
  <si>
    <t>恒宝股份</t>
  </si>
  <si>
    <t>信隆健康</t>
  </si>
  <si>
    <t>其他交通设备</t>
  </si>
  <si>
    <t>莱宝高科</t>
  </si>
  <si>
    <t>沃华医药</t>
  </si>
  <si>
    <t>沧州明珠</t>
  </si>
  <si>
    <t>管材</t>
  </si>
  <si>
    <t>兴化股份</t>
  </si>
  <si>
    <t>三钢闽光</t>
  </si>
  <si>
    <t>威海广泰</t>
  </si>
  <si>
    <t>三变科技</t>
  </si>
  <si>
    <t>罗平锌电</t>
  </si>
  <si>
    <t>三维通信</t>
  </si>
  <si>
    <t>中国海诚</t>
  </si>
  <si>
    <t>东港股份</t>
  </si>
  <si>
    <t>康强电子</t>
  </si>
  <si>
    <t>半导体材料</t>
  </si>
  <si>
    <t>韵达股份</t>
  </si>
  <si>
    <t>快递</t>
  </si>
  <si>
    <t>科陆电子</t>
  </si>
  <si>
    <t>电工仪器</t>
  </si>
  <si>
    <t>ST汇洲</t>
  </si>
  <si>
    <t>梦网科技</t>
  </si>
  <si>
    <t>天邦食品</t>
  </si>
  <si>
    <t>湘潭电化</t>
  </si>
  <si>
    <t>银轮股份</t>
  </si>
  <si>
    <t>南极电商</t>
  </si>
  <si>
    <t>电投能源</t>
  </si>
  <si>
    <t>TCL中环</t>
  </si>
  <si>
    <t>光伏硅片</t>
  </si>
  <si>
    <t>沃尔核材</t>
  </si>
  <si>
    <t>利欧股份</t>
  </si>
  <si>
    <t>恒星科技</t>
  </si>
  <si>
    <t>广宇集团</t>
  </si>
  <si>
    <t>天津普林</t>
  </si>
  <si>
    <t>东南网架</t>
  </si>
  <si>
    <t>钢结构</t>
  </si>
  <si>
    <t>安 纳 达</t>
  </si>
  <si>
    <t>实益达</t>
  </si>
  <si>
    <t>顺络电子</t>
  </si>
  <si>
    <t>拓邦股份</t>
  </si>
  <si>
    <t>东华科技</t>
  </si>
  <si>
    <t>化学工程</t>
  </si>
  <si>
    <t>贤丰控股</t>
  </si>
  <si>
    <t>动物保健</t>
  </si>
  <si>
    <t>宁波银行</t>
  </si>
  <si>
    <t>宏达高科</t>
  </si>
  <si>
    <t>钛能化学</t>
  </si>
  <si>
    <t>荣盛发展</t>
  </si>
  <si>
    <t>北纬科技</t>
  </si>
  <si>
    <t>西部材料</t>
  </si>
  <si>
    <t>钛</t>
  </si>
  <si>
    <t>通润装备</t>
  </si>
  <si>
    <t>北斗星通</t>
  </si>
  <si>
    <t>广电运通</t>
  </si>
  <si>
    <t>石基信息</t>
  </si>
  <si>
    <t>云软件服务</t>
  </si>
  <si>
    <t>报 喜 鸟</t>
  </si>
  <si>
    <t>湖南黄金</t>
  </si>
  <si>
    <t>通富微电</t>
  </si>
  <si>
    <t>正邦科技</t>
  </si>
  <si>
    <t>汉钟精机</t>
  </si>
  <si>
    <t>三特索道</t>
  </si>
  <si>
    <t>常铝股份</t>
  </si>
  <si>
    <t>远 望 谷</t>
  </si>
  <si>
    <t>其他通信设备</t>
  </si>
  <si>
    <t>悦心健康</t>
  </si>
  <si>
    <t>陶瓷</t>
  </si>
  <si>
    <t>海南发展</t>
  </si>
  <si>
    <t>宁波东力</t>
  </si>
  <si>
    <t>红 宝 丽</t>
  </si>
  <si>
    <t>聚氨酯</t>
  </si>
  <si>
    <t>莱茵生物</t>
  </si>
  <si>
    <t>东方锆业</t>
  </si>
  <si>
    <t>*ST惠程</t>
  </si>
  <si>
    <t>配电设备</t>
  </si>
  <si>
    <t>智光电气</t>
  </si>
  <si>
    <t>芭田股份</t>
  </si>
  <si>
    <t>楚江新材</t>
  </si>
  <si>
    <t>澳洋健康</t>
  </si>
  <si>
    <t>创新医疗</t>
  </si>
  <si>
    <t>游族网络</t>
  </si>
  <si>
    <t>游戏</t>
  </si>
  <si>
    <t>东方智造</t>
  </si>
  <si>
    <t>仪器仪表</t>
  </si>
  <si>
    <t>江特电机</t>
  </si>
  <si>
    <t>御银股份</t>
  </si>
  <si>
    <t>延华智能</t>
  </si>
  <si>
    <t>中航光电</t>
  </si>
  <si>
    <t>纳思达</t>
  </si>
  <si>
    <t>粤 传 媒</t>
  </si>
  <si>
    <t>宝武镁业</t>
  </si>
  <si>
    <t>怡 亚 通</t>
  </si>
  <si>
    <t>海得控制</t>
  </si>
  <si>
    <t>华天科技</t>
  </si>
  <si>
    <t>全 聚 德</t>
  </si>
  <si>
    <t>广百股份</t>
  </si>
  <si>
    <t>中天服务</t>
  </si>
  <si>
    <t>中光学</t>
  </si>
  <si>
    <t>成飞集成</t>
  </si>
  <si>
    <t>劲嘉股份</t>
  </si>
  <si>
    <t>融捷股份</t>
  </si>
  <si>
    <t>如意集团</t>
  </si>
  <si>
    <t>武汉凡谷</t>
  </si>
  <si>
    <t>网络接配及塔设</t>
  </si>
  <si>
    <t>岩山科技</t>
  </si>
  <si>
    <t>产联网综合服务</t>
  </si>
  <si>
    <t>方正电机</t>
  </si>
  <si>
    <t>证通电子</t>
  </si>
  <si>
    <t>嘉应制药</t>
  </si>
  <si>
    <t>*ST东晶</t>
  </si>
  <si>
    <t>*ST交投</t>
  </si>
  <si>
    <t>九鼎新材</t>
  </si>
  <si>
    <t>金风科技</t>
  </si>
  <si>
    <t>风电整机</t>
  </si>
  <si>
    <t>海亮股份</t>
  </si>
  <si>
    <t>大连重工</t>
  </si>
  <si>
    <t>国统股份</t>
  </si>
  <si>
    <t>海 利 得</t>
  </si>
  <si>
    <t>准油股份</t>
  </si>
  <si>
    <t>油田服务</t>
  </si>
  <si>
    <t>合肥城建</t>
  </si>
  <si>
    <t>达 意 隆</t>
  </si>
  <si>
    <t>飞马国际</t>
  </si>
  <si>
    <t>ST宏达</t>
  </si>
  <si>
    <t>有机硅</t>
  </si>
  <si>
    <t>天融信</t>
  </si>
  <si>
    <t>大为股份</t>
  </si>
  <si>
    <t>*ST大立</t>
  </si>
  <si>
    <t>诺 普 信</t>
  </si>
  <si>
    <t>三全食品</t>
  </si>
  <si>
    <t>合力泰</t>
  </si>
  <si>
    <t>拓日新能</t>
  </si>
  <si>
    <t>新里程</t>
  </si>
  <si>
    <t>东华能源</t>
  </si>
  <si>
    <t>福晶科技</t>
  </si>
  <si>
    <t>鱼跃医疗</t>
  </si>
  <si>
    <t>家用器械</t>
  </si>
  <si>
    <t>三 力 士</t>
  </si>
  <si>
    <t>濮耐股份</t>
  </si>
  <si>
    <t>江南化工</t>
  </si>
  <si>
    <t>奥 特 迅</t>
  </si>
  <si>
    <t>其他发电设备</t>
  </si>
  <si>
    <t>合兴包装</t>
  </si>
  <si>
    <t>鸿博股份</t>
  </si>
  <si>
    <t>科大讯飞</t>
  </si>
  <si>
    <t>新兴软件</t>
  </si>
  <si>
    <t>*ST奥维</t>
  </si>
  <si>
    <t>启明信息</t>
  </si>
  <si>
    <t>塔牌集团</t>
  </si>
  <si>
    <t>民和股份</t>
  </si>
  <si>
    <t>肉鸡养殖</t>
  </si>
  <si>
    <t>安妮股份</t>
  </si>
  <si>
    <t>大华股份</t>
  </si>
  <si>
    <t>安防设备</t>
  </si>
  <si>
    <t>恒邦股份</t>
  </si>
  <si>
    <t>天威视讯</t>
  </si>
  <si>
    <t>奥特佳</t>
  </si>
  <si>
    <t>盛新锂能</t>
  </si>
  <si>
    <t>歌尔股份</t>
  </si>
  <si>
    <t>九阳股份</t>
  </si>
  <si>
    <t>力合科创</t>
  </si>
  <si>
    <t>其他包装</t>
  </si>
  <si>
    <t>滨江集团</t>
  </si>
  <si>
    <t>蔚蓝锂芯</t>
  </si>
  <si>
    <t>北化股份</t>
  </si>
  <si>
    <t>聚力文化</t>
  </si>
  <si>
    <t>华东数控</t>
  </si>
  <si>
    <t>大洋电机</t>
  </si>
  <si>
    <t>联化科技</t>
  </si>
  <si>
    <t>步步高</t>
  </si>
  <si>
    <t>上海莱士</t>
  </si>
  <si>
    <t>*ST智胜</t>
  </si>
  <si>
    <t>泰和新材</t>
  </si>
  <si>
    <t>海陆重工</t>
  </si>
  <si>
    <t>兆新股份</t>
  </si>
  <si>
    <t>利尔化学</t>
  </si>
  <si>
    <t>升达林业</t>
  </si>
  <si>
    <t>拓维信息</t>
  </si>
  <si>
    <t>恩华药业</t>
  </si>
  <si>
    <t>大东南</t>
  </si>
  <si>
    <t>新 华 都</t>
  </si>
  <si>
    <t>电商服务</t>
  </si>
  <si>
    <t>建设工业</t>
  </si>
  <si>
    <t>浙富控股</t>
  </si>
  <si>
    <t>陕天然气</t>
  </si>
  <si>
    <t>电科网安</t>
  </si>
  <si>
    <t>美邦服饰</t>
  </si>
  <si>
    <t>华明装备</t>
  </si>
  <si>
    <t>东方雨虹</t>
  </si>
  <si>
    <t>防水材料</t>
  </si>
  <si>
    <t>川润股份</t>
  </si>
  <si>
    <t>水晶光电</t>
  </si>
  <si>
    <t>华昌化工</t>
  </si>
  <si>
    <t>桂林三金</t>
  </si>
  <si>
    <t>万马股份</t>
  </si>
  <si>
    <t>友阿股份</t>
  </si>
  <si>
    <t>神开股份</t>
  </si>
  <si>
    <t>久其软件</t>
  </si>
  <si>
    <t>光迅科技</t>
  </si>
  <si>
    <t>博深股份</t>
  </si>
  <si>
    <t>磨具磨料</t>
  </si>
  <si>
    <t>天润工业</t>
  </si>
  <si>
    <t>亚太股份</t>
  </si>
  <si>
    <t>世联行</t>
  </si>
  <si>
    <t>保龄宝</t>
  </si>
  <si>
    <t>奇正藏药</t>
  </si>
  <si>
    <t>*ST宇顺</t>
  </si>
  <si>
    <t>禾盛新材</t>
  </si>
  <si>
    <t>遥望科技</t>
  </si>
  <si>
    <t>奥飞娱乐</t>
  </si>
  <si>
    <t>罗莱生活</t>
  </si>
  <si>
    <t>信立泰</t>
  </si>
  <si>
    <t>精艺股份</t>
  </si>
  <si>
    <t>辉煌科技</t>
  </si>
  <si>
    <t>博云新材</t>
  </si>
  <si>
    <t>中电鑫龙</t>
  </si>
  <si>
    <t>圣农发展</t>
  </si>
  <si>
    <t>太阳电缆</t>
  </si>
  <si>
    <t>齐心集团</t>
  </si>
  <si>
    <t>西部建设</t>
  </si>
  <si>
    <t>水泥制品</t>
  </si>
  <si>
    <t>美盈森</t>
  </si>
  <si>
    <t>洋河股份</t>
  </si>
  <si>
    <t>*ST南置</t>
  </si>
  <si>
    <t>*ST云网</t>
  </si>
  <si>
    <t>北新路桥</t>
  </si>
  <si>
    <t>中利集团</t>
  </si>
  <si>
    <t>东方新能</t>
  </si>
  <si>
    <t>海大集团</t>
  </si>
  <si>
    <t>川发龙蟒</t>
  </si>
  <si>
    <t>日海智能</t>
  </si>
  <si>
    <t>南山控股</t>
  </si>
  <si>
    <t>焦点科技</t>
  </si>
  <si>
    <t>跨境电商</t>
  </si>
  <si>
    <t>亚联发展</t>
  </si>
  <si>
    <t>众生药业</t>
  </si>
  <si>
    <t>久立特材</t>
  </si>
  <si>
    <t>乐通股份</t>
  </si>
  <si>
    <t>海峡股份</t>
  </si>
  <si>
    <t>华英农业</t>
  </si>
  <si>
    <t>其他养殖</t>
  </si>
  <si>
    <t>理工能科</t>
  </si>
  <si>
    <t>雅博股份</t>
  </si>
  <si>
    <t>普利特</t>
  </si>
  <si>
    <t>改性塑料</t>
  </si>
  <si>
    <t>永太科技</t>
  </si>
  <si>
    <t>氟化工</t>
  </si>
  <si>
    <t>富安娜</t>
  </si>
  <si>
    <t>新朋股份</t>
  </si>
  <si>
    <t>皇氏集团</t>
  </si>
  <si>
    <t>得利斯</t>
  </si>
  <si>
    <t>皖通科技</t>
  </si>
  <si>
    <t>仙琚制药</t>
  </si>
  <si>
    <t>罗普斯金</t>
  </si>
  <si>
    <t>英威腾</t>
  </si>
  <si>
    <t>科华数据</t>
  </si>
  <si>
    <t>赛象科技</t>
  </si>
  <si>
    <t>奥普光电</t>
  </si>
  <si>
    <t>积成电子</t>
  </si>
  <si>
    <t>格林美</t>
  </si>
  <si>
    <t>巨力索具</t>
  </si>
  <si>
    <t>慈文传媒</t>
  </si>
  <si>
    <t>海宁皮城</t>
  </si>
  <si>
    <t>潮宏基</t>
  </si>
  <si>
    <t>柘中股份</t>
  </si>
  <si>
    <t>泰尔股份</t>
  </si>
  <si>
    <t>高乐股份</t>
  </si>
  <si>
    <t>精华制药</t>
  </si>
  <si>
    <t>北京科锐</t>
  </si>
  <si>
    <t>漫步者</t>
  </si>
  <si>
    <t>顺丰控股</t>
  </si>
  <si>
    <t>杰瑞股份</t>
  </si>
  <si>
    <t>天娱数科</t>
  </si>
  <si>
    <t>兴民智通</t>
  </si>
  <si>
    <t>赫美集团</t>
  </si>
  <si>
    <t>富临运业</t>
  </si>
  <si>
    <t>公共交通</t>
  </si>
  <si>
    <t>森源电气</t>
  </si>
  <si>
    <t>同德化工</t>
  </si>
  <si>
    <t>神剑股份</t>
  </si>
  <si>
    <t>汉王科技</t>
  </si>
  <si>
    <t>隆基机械</t>
  </si>
  <si>
    <t>中恒电气</t>
  </si>
  <si>
    <t>永安药业</t>
  </si>
  <si>
    <t>融发核电</t>
  </si>
  <si>
    <t>康力电梯</t>
  </si>
  <si>
    <t>楼宇设备</t>
  </si>
  <si>
    <t>太极股份</t>
  </si>
  <si>
    <t>卓翼科技</t>
  </si>
  <si>
    <t>亚太药业</t>
  </si>
  <si>
    <t>北方华创</t>
  </si>
  <si>
    <t>半导体设备</t>
  </si>
  <si>
    <t>伟星新材</t>
  </si>
  <si>
    <t>千方科技</t>
  </si>
  <si>
    <t>中锐股份</t>
  </si>
  <si>
    <t>金属包装</t>
  </si>
  <si>
    <t>亚厦股份</t>
  </si>
  <si>
    <t>新北洋</t>
  </si>
  <si>
    <t>国创高新</t>
  </si>
  <si>
    <t>章源钨业</t>
  </si>
  <si>
    <t>宏创控股</t>
  </si>
  <si>
    <t>科远智慧</t>
  </si>
  <si>
    <t>双箭股份</t>
  </si>
  <si>
    <t>蓝帆医疗</t>
  </si>
  <si>
    <t>医疗耗材</t>
  </si>
  <si>
    <t>合众思壮</t>
  </si>
  <si>
    <t>东山精密</t>
  </si>
  <si>
    <t>大北农</t>
  </si>
  <si>
    <t>天原股份</t>
  </si>
  <si>
    <t>维信诺</t>
  </si>
  <si>
    <t>新亚制程</t>
  </si>
  <si>
    <t>航天彩虹</t>
  </si>
  <si>
    <t>信邦制药</t>
  </si>
  <si>
    <t>长青股份</t>
  </si>
  <si>
    <t>北京利尔</t>
  </si>
  <si>
    <t>力生制药</t>
  </si>
  <si>
    <t>联发股份</t>
  </si>
  <si>
    <t>双象股份</t>
  </si>
  <si>
    <t>合成革</t>
  </si>
  <si>
    <t>星网锐捷</t>
  </si>
  <si>
    <t>梦洁股份</t>
  </si>
  <si>
    <t>垒知集团</t>
  </si>
  <si>
    <t>海普瑞</t>
  </si>
  <si>
    <t>省广集团</t>
  </si>
  <si>
    <t>中远海科</t>
  </si>
  <si>
    <t>和而泰</t>
  </si>
  <si>
    <t>爱仕达</t>
  </si>
  <si>
    <t>嘉欣丝绸</t>
  </si>
  <si>
    <t>四维图新</t>
  </si>
  <si>
    <t>远东传动</t>
  </si>
  <si>
    <t>多氟多</t>
  </si>
  <si>
    <t>齐翔腾达</t>
  </si>
  <si>
    <t>有机化工原料</t>
  </si>
  <si>
    <t>雅克科技</t>
  </si>
  <si>
    <t>广联达</t>
  </si>
  <si>
    <t>汉森制药</t>
  </si>
  <si>
    <t>雷科防务</t>
  </si>
  <si>
    <t>高德红外</t>
  </si>
  <si>
    <t>海康威视</t>
  </si>
  <si>
    <t>爱施德</t>
  </si>
  <si>
    <t>康盛股份</t>
  </si>
  <si>
    <t>天虹股份</t>
  </si>
  <si>
    <t>毅昌科技</t>
  </si>
  <si>
    <t>达实智能</t>
  </si>
  <si>
    <t>科伦药业</t>
  </si>
  <si>
    <t>中粮资本</t>
  </si>
  <si>
    <t>ST百灵</t>
  </si>
  <si>
    <t>凯撒文化</t>
  </si>
  <si>
    <t>胜利精密</t>
  </si>
  <si>
    <t>尤夫股份</t>
  </si>
  <si>
    <t>云南锗业</t>
  </si>
  <si>
    <t>兆驰股份</t>
  </si>
  <si>
    <t>杭氧股份</t>
  </si>
  <si>
    <t>棕榈股份</t>
  </si>
  <si>
    <t>九安医疗</t>
  </si>
  <si>
    <t>万里扬</t>
  </si>
  <si>
    <t>兴森科技</t>
  </si>
  <si>
    <t>誉衡药业</t>
  </si>
  <si>
    <t>江苏神通</t>
  </si>
  <si>
    <t>启明星辰</t>
  </si>
  <si>
    <t>闰土股份</t>
  </si>
  <si>
    <t>众业达</t>
  </si>
  <si>
    <t>龙星科技</t>
  </si>
  <si>
    <t>金洲管道</t>
  </si>
  <si>
    <t>巨星科技</t>
  </si>
  <si>
    <t>中南文化</t>
  </si>
  <si>
    <t>盛路通信</t>
  </si>
  <si>
    <t>中原内配</t>
  </si>
  <si>
    <t>国星光电</t>
  </si>
  <si>
    <t>摩恩电气</t>
  </si>
  <si>
    <t>长高电新</t>
  </si>
  <si>
    <t>华软科技</t>
  </si>
  <si>
    <t>松芝股份</t>
  </si>
  <si>
    <t>百川股份</t>
  </si>
  <si>
    <t>欧菲光</t>
  </si>
  <si>
    <t>青龙管业</t>
  </si>
  <si>
    <t>益生股份</t>
  </si>
  <si>
    <t>晶澳科技</t>
  </si>
  <si>
    <t>赣锋锂业</t>
  </si>
  <si>
    <t>珠江啤酒</t>
  </si>
  <si>
    <t>嘉事堂</t>
  </si>
  <si>
    <t>沪电股份</t>
  </si>
  <si>
    <t>海格通信</t>
  </si>
  <si>
    <t>天齐锂业</t>
  </si>
  <si>
    <t>二六三</t>
  </si>
  <si>
    <t>申通快递</t>
  </si>
  <si>
    <t>三维化学</t>
  </si>
  <si>
    <t>金正大</t>
  </si>
  <si>
    <t>中超控股</t>
  </si>
  <si>
    <t>双环传动</t>
  </si>
  <si>
    <t>榕基软件</t>
  </si>
  <si>
    <t>立讯精密</t>
  </si>
  <si>
    <t>宝莫股份</t>
  </si>
  <si>
    <t>常宝股份</t>
  </si>
  <si>
    <t>富春环保</t>
  </si>
  <si>
    <t>新筑股份</t>
  </si>
  <si>
    <t>双塔食品</t>
  </si>
  <si>
    <t>广田集团</t>
  </si>
  <si>
    <t>润邦股份</t>
  </si>
  <si>
    <t>江海股份</t>
  </si>
  <si>
    <t>ST雪发</t>
  </si>
  <si>
    <t>嘉麟杰</t>
  </si>
  <si>
    <t>大金重工</t>
  </si>
  <si>
    <t>金固股份</t>
  </si>
  <si>
    <t>浙江永强</t>
  </si>
  <si>
    <t>山东墨龙</t>
  </si>
  <si>
    <t>通鼎互联</t>
  </si>
  <si>
    <t>恒基达鑫</t>
  </si>
  <si>
    <t>仓储物流</t>
  </si>
  <si>
    <t>荣盛石化</t>
  </si>
  <si>
    <t>华斯股份</t>
  </si>
  <si>
    <t>佳隆股份</t>
  </si>
  <si>
    <t>调味品</t>
  </si>
  <si>
    <t>*ST辉丰</t>
  </si>
  <si>
    <t>雅化集团</t>
  </si>
  <si>
    <t>汉缆股份</t>
  </si>
  <si>
    <t>山西证券</t>
  </si>
  <si>
    <t>利源股份</t>
  </si>
  <si>
    <t>协鑫集成</t>
  </si>
  <si>
    <t>涪陵榨菜</t>
  </si>
  <si>
    <t>老板电器</t>
  </si>
  <si>
    <t>天汽模</t>
  </si>
  <si>
    <t>中顺洁柔</t>
  </si>
  <si>
    <t>达华智能</t>
  </si>
  <si>
    <t>蓝丰生化</t>
  </si>
  <si>
    <t>宝馨科技</t>
  </si>
  <si>
    <t>金字火腿</t>
  </si>
  <si>
    <t>旷达科技</t>
  </si>
  <si>
    <t>恺英网络</t>
  </si>
  <si>
    <t>科士达</t>
  </si>
  <si>
    <t>银河电子</t>
  </si>
  <si>
    <t>日发精机</t>
  </si>
  <si>
    <t>齐峰新材</t>
  </si>
  <si>
    <t>浙江众成</t>
  </si>
  <si>
    <t>天桥起重</t>
  </si>
  <si>
    <t>光正眼科</t>
  </si>
  <si>
    <t>山东矿机</t>
  </si>
  <si>
    <t>新时达</t>
  </si>
  <si>
    <t>ST英飞拓</t>
  </si>
  <si>
    <t>*ST海源</t>
  </si>
  <si>
    <t>金财互联</t>
  </si>
  <si>
    <t>天顺风能</t>
  </si>
  <si>
    <t>天山铝业</t>
  </si>
  <si>
    <t>金杯电工</t>
  </si>
  <si>
    <t>西子洁能</t>
  </si>
  <si>
    <t>林州重机</t>
  </si>
  <si>
    <t>飞龙股份</t>
  </si>
  <si>
    <t>海联金汇</t>
  </si>
  <si>
    <t>司尔特</t>
  </si>
  <si>
    <t>云图控股</t>
  </si>
  <si>
    <t>亚太科技</t>
  </si>
  <si>
    <t>鸿路钢构</t>
  </si>
  <si>
    <t>中化岩土</t>
  </si>
  <si>
    <t>万和电气</t>
  </si>
  <si>
    <t>普天科技</t>
  </si>
  <si>
    <t>网络规划设计</t>
  </si>
  <si>
    <t>东方铁塔</t>
  </si>
  <si>
    <t>新联电子</t>
  </si>
  <si>
    <t>春兴精工</t>
  </si>
  <si>
    <t>金新农</t>
  </si>
  <si>
    <t>凯美特气</t>
  </si>
  <si>
    <t>大气治理</t>
  </si>
  <si>
    <t>千红制药</t>
  </si>
  <si>
    <t>尚荣医疗</t>
  </si>
  <si>
    <t>宝鼎科技</t>
  </si>
  <si>
    <t>南方精工</t>
  </si>
  <si>
    <t>惠博普</t>
  </si>
  <si>
    <t>油气工程</t>
  </si>
  <si>
    <t>三七互娱</t>
  </si>
  <si>
    <t>辉隆股份</t>
  </si>
  <si>
    <t>洽洽食品</t>
  </si>
  <si>
    <t>零食</t>
  </si>
  <si>
    <t>巨人网络</t>
  </si>
  <si>
    <t>亚威股份</t>
  </si>
  <si>
    <t>通达股份</t>
  </si>
  <si>
    <t>徐家汇</t>
  </si>
  <si>
    <t>兄弟科技</t>
  </si>
  <si>
    <t>森马服饰</t>
  </si>
  <si>
    <t>天沃科技</t>
  </si>
  <si>
    <t>顺灏股份</t>
  </si>
  <si>
    <t>益盛药业</t>
  </si>
  <si>
    <t>唐人神</t>
  </si>
  <si>
    <t>百润股份</t>
  </si>
  <si>
    <t>其他酒类</t>
  </si>
  <si>
    <t>*ST步森</t>
  </si>
  <si>
    <t>贝因美</t>
  </si>
  <si>
    <t>德力股份</t>
  </si>
  <si>
    <t>索菲亚</t>
  </si>
  <si>
    <t>清新环境</t>
  </si>
  <si>
    <t>明牌珠宝</t>
  </si>
  <si>
    <t>群兴玩具</t>
  </si>
  <si>
    <t>通达动力</t>
  </si>
  <si>
    <t>雷柏科技</t>
  </si>
  <si>
    <t>闽发铝业</t>
  </si>
  <si>
    <t>中京电子</t>
  </si>
  <si>
    <t>圣阳股份</t>
  </si>
  <si>
    <t>其他电池</t>
  </si>
  <si>
    <t>ST未名</t>
  </si>
  <si>
    <t>好想你</t>
  </si>
  <si>
    <t>海能达</t>
  </si>
  <si>
    <t>西陇科学</t>
  </si>
  <si>
    <t>双星新材</t>
  </si>
  <si>
    <t>ST围海</t>
  </si>
  <si>
    <t>奥拓电子</t>
  </si>
  <si>
    <t>史丹利</t>
  </si>
  <si>
    <t>瑞康医药</t>
  </si>
  <si>
    <t>万安科技</t>
  </si>
  <si>
    <t>恒大高新</t>
  </si>
  <si>
    <t>ST八菱</t>
  </si>
  <si>
    <t>日上集团</t>
  </si>
  <si>
    <t>比亚迪</t>
  </si>
  <si>
    <t>电动乘用车</t>
  </si>
  <si>
    <t>豪迈科技</t>
  </si>
  <si>
    <t>海南瑞泽</t>
  </si>
  <si>
    <t>金禾实业</t>
  </si>
  <si>
    <t>山东章鼓</t>
  </si>
  <si>
    <t>盛通股份</t>
  </si>
  <si>
    <t>领益智造</t>
  </si>
  <si>
    <t>龙佰集团</t>
  </si>
  <si>
    <t>世纪华通</t>
  </si>
  <si>
    <t>以岭药业</t>
  </si>
  <si>
    <t>姚记科技</t>
  </si>
  <si>
    <t>大连电瓷</t>
  </si>
  <si>
    <t>中公教育</t>
  </si>
  <si>
    <t>江苏国信</t>
  </si>
  <si>
    <t>捷顺科技</t>
  </si>
  <si>
    <t>东方精工</t>
  </si>
  <si>
    <t>朗姿股份</t>
  </si>
  <si>
    <t>北玻股份</t>
  </si>
  <si>
    <t>奥佳华</t>
  </si>
  <si>
    <t>个护小家电</t>
  </si>
  <si>
    <t>哈尔斯</t>
  </si>
  <si>
    <t>长青集团</t>
  </si>
  <si>
    <t>露笑科技</t>
  </si>
  <si>
    <t>ST瑞和</t>
  </si>
  <si>
    <t>皓宸医疗</t>
  </si>
  <si>
    <t>亚玛顿</t>
  </si>
  <si>
    <t>完美世界</t>
  </si>
  <si>
    <t>光启技术</t>
  </si>
  <si>
    <t>金达威</t>
  </si>
  <si>
    <t>保健品</t>
  </si>
  <si>
    <t>三峡旅游</t>
  </si>
  <si>
    <t>成都路桥</t>
  </si>
  <si>
    <t>仁智股份</t>
  </si>
  <si>
    <t>ST华西</t>
  </si>
  <si>
    <t>德尔未来</t>
  </si>
  <si>
    <t>道明光学</t>
  </si>
  <si>
    <t>申科股份</t>
  </si>
  <si>
    <t>棒杰股份</t>
  </si>
  <si>
    <t>鞋帽及其他</t>
  </si>
  <si>
    <t>安洁科技</t>
  </si>
  <si>
    <t>金安国纪</t>
  </si>
  <si>
    <t>赞宇科技</t>
  </si>
  <si>
    <t>勤上股份</t>
  </si>
  <si>
    <t>雪人集团</t>
  </si>
  <si>
    <t>跨境通</t>
  </si>
  <si>
    <t>公元股份</t>
  </si>
  <si>
    <t>荣联科技</t>
  </si>
  <si>
    <t>万润股份</t>
  </si>
  <si>
    <t>佛慈制药</t>
  </si>
  <si>
    <t>华宏科技</t>
  </si>
  <si>
    <t>天佑德酒</t>
  </si>
  <si>
    <t>*ST仁东</t>
  </si>
  <si>
    <t>卫星化学</t>
  </si>
  <si>
    <t>博彦科技</t>
  </si>
  <si>
    <t>ST加加</t>
  </si>
  <si>
    <t>利君股份</t>
  </si>
  <si>
    <t>扬子新材</t>
  </si>
  <si>
    <t>海思科</t>
  </si>
  <si>
    <t>万润科技</t>
  </si>
  <si>
    <t>共达电声</t>
  </si>
  <si>
    <t>*ST摩登</t>
  </si>
  <si>
    <t>中科金财</t>
  </si>
  <si>
    <t>雪迪龙</t>
  </si>
  <si>
    <t>环境监测</t>
  </si>
  <si>
    <t>凯文教育</t>
  </si>
  <si>
    <t>茂硕电源</t>
  </si>
  <si>
    <t>克明食品</t>
  </si>
  <si>
    <t>峰璟股份</t>
  </si>
  <si>
    <t>普邦股份</t>
  </si>
  <si>
    <t>信质集团</t>
  </si>
  <si>
    <t>德联集团</t>
  </si>
  <si>
    <t>威领股份</t>
  </si>
  <si>
    <t>TCL智家</t>
  </si>
  <si>
    <t>康达新材</t>
  </si>
  <si>
    <t>胶黏剂及胶带</t>
  </si>
  <si>
    <t>国盛证券</t>
  </si>
  <si>
    <t>龙泉股份</t>
  </si>
  <si>
    <t>东江环保</t>
  </si>
  <si>
    <t>西部证券</t>
  </si>
  <si>
    <t>兴业科技</t>
  </si>
  <si>
    <t>东诚药业</t>
  </si>
  <si>
    <t>顺威股份</t>
  </si>
  <si>
    <t>浙江美大</t>
  </si>
  <si>
    <t>珠江钢琴</t>
  </si>
  <si>
    <t>福建金森</t>
  </si>
  <si>
    <t>奋达科技</t>
  </si>
  <si>
    <t>龙洲股份</t>
  </si>
  <si>
    <t>广东宏大</t>
  </si>
  <si>
    <t>华东重机</t>
  </si>
  <si>
    <t>亿利达</t>
  </si>
  <si>
    <t>乔治白</t>
  </si>
  <si>
    <t>金河生物</t>
  </si>
  <si>
    <t>ST远智</t>
  </si>
  <si>
    <t>美亚光电</t>
  </si>
  <si>
    <t>冀凯股份</t>
  </si>
  <si>
    <t>远程股份</t>
  </si>
  <si>
    <t>*ST双成</t>
  </si>
  <si>
    <t>顾地科技</t>
  </si>
  <si>
    <t>煌上煌</t>
  </si>
  <si>
    <t>熟食</t>
  </si>
  <si>
    <t>百洋股份</t>
  </si>
  <si>
    <t>红旗连锁</t>
  </si>
  <si>
    <t>博实股份</t>
  </si>
  <si>
    <t>万憬能源</t>
  </si>
  <si>
    <t>奥瑞金</t>
  </si>
  <si>
    <t>海欣食品</t>
  </si>
  <si>
    <t>浙江世宝</t>
  </si>
  <si>
    <t>新宝股份</t>
  </si>
  <si>
    <t>良信股份</t>
  </si>
  <si>
    <t>众信旅游</t>
  </si>
  <si>
    <t>光洋股份</t>
  </si>
  <si>
    <t>天赐材料</t>
  </si>
  <si>
    <t>思美传媒</t>
  </si>
  <si>
    <t>*ST东易</t>
  </si>
  <si>
    <t>牧原股份</t>
  </si>
  <si>
    <t>登云股份</t>
  </si>
  <si>
    <t>湖南白银</t>
  </si>
  <si>
    <t>ST岭南</t>
  </si>
  <si>
    <t>友邦吊顶</t>
  </si>
  <si>
    <t>麦趣尔</t>
  </si>
  <si>
    <t>金一文化</t>
  </si>
  <si>
    <t>物产金轮</t>
  </si>
  <si>
    <t>小崧股份</t>
  </si>
  <si>
    <t>海洋王</t>
  </si>
  <si>
    <t>跃岭股份</t>
  </si>
  <si>
    <t>龙大美食</t>
  </si>
  <si>
    <t>一心堂</t>
  </si>
  <si>
    <t>线下药店</t>
  </si>
  <si>
    <t>特一药业</t>
  </si>
  <si>
    <t>好利科技</t>
  </si>
  <si>
    <t>电光科技</t>
  </si>
  <si>
    <t>萃华珠宝</t>
  </si>
  <si>
    <t>燕塘乳业</t>
  </si>
  <si>
    <t>雄韬股份</t>
  </si>
  <si>
    <t>燃料电池</t>
  </si>
  <si>
    <t>利民股份</t>
  </si>
  <si>
    <t>王子新材</t>
  </si>
  <si>
    <t>国信证券</t>
  </si>
  <si>
    <t>葵花药业</t>
  </si>
  <si>
    <t>中矿资源</t>
  </si>
  <si>
    <t>万达电影</t>
  </si>
  <si>
    <t>光华科技</t>
  </si>
  <si>
    <t>*ST三圣</t>
  </si>
  <si>
    <t>富煌钢构</t>
  </si>
  <si>
    <t>木林森</t>
  </si>
  <si>
    <t>仙坛股份</t>
  </si>
  <si>
    <t>埃斯顿</t>
  </si>
  <si>
    <t>机器人</t>
  </si>
  <si>
    <t>世龙实业</t>
  </si>
  <si>
    <t>塑料助剂</t>
  </si>
  <si>
    <t>国光股份</t>
  </si>
  <si>
    <t>昇兴股份</t>
  </si>
  <si>
    <t>永东股份</t>
  </si>
  <si>
    <t>奥赛康</t>
  </si>
  <si>
    <t>永兴材料</t>
  </si>
  <si>
    <t>南兴股份</t>
  </si>
  <si>
    <t>浙农股份</t>
  </si>
  <si>
    <t>天际股份</t>
  </si>
  <si>
    <t>凤形股份</t>
  </si>
  <si>
    <t>浙江建投</t>
  </si>
  <si>
    <t>*ST金比</t>
  </si>
  <si>
    <t>汇洁股份</t>
  </si>
  <si>
    <t>蓝黛科技</t>
  </si>
  <si>
    <t>索菱股份</t>
  </si>
  <si>
    <t>先锋电子</t>
  </si>
  <si>
    <t>国恩股份</t>
  </si>
  <si>
    <t>普路通</t>
  </si>
  <si>
    <t>真视通</t>
  </si>
  <si>
    <t>众兴菌业</t>
  </si>
  <si>
    <t>食用菌</t>
  </si>
  <si>
    <t>康弘药业</t>
  </si>
  <si>
    <t>快意电梯</t>
  </si>
  <si>
    <t>文科股份</t>
  </si>
  <si>
    <t>久远银海</t>
  </si>
  <si>
    <t>中晟高科</t>
  </si>
  <si>
    <t>中坚科技</t>
  </si>
  <si>
    <t>农用机械</t>
  </si>
  <si>
    <t>三夫户外</t>
  </si>
  <si>
    <t>可立克</t>
  </si>
  <si>
    <t>凯龙股份</t>
  </si>
  <si>
    <t>万里石</t>
  </si>
  <si>
    <t>银宝山新</t>
  </si>
  <si>
    <t>华源控股</t>
  </si>
  <si>
    <t>鹭燕医药</t>
  </si>
  <si>
    <t>*ST建艺</t>
  </si>
  <si>
    <t>瑞尔特</t>
  </si>
  <si>
    <t>坚朗五金</t>
  </si>
  <si>
    <t>通宇通讯</t>
  </si>
  <si>
    <t>罗欣药业</t>
  </si>
  <si>
    <t>永和智控</t>
  </si>
  <si>
    <t>世嘉科技</t>
  </si>
  <si>
    <t>第一创业</t>
  </si>
  <si>
    <t>帝欧水华</t>
  </si>
  <si>
    <t>环球印务</t>
  </si>
  <si>
    <t>天顺股份</t>
  </si>
  <si>
    <t>微光股份</t>
  </si>
  <si>
    <t>洪汇新材</t>
  </si>
  <si>
    <t>吉宏股份</t>
  </si>
  <si>
    <t>丰元股份</t>
  </si>
  <si>
    <t>华锋股份</t>
  </si>
  <si>
    <t>江阴银行</t>
  </si>
  <si>
    <t>农商行</t>
  </si>
  <si>
    <t>*ST恒久</t>
  </si>
  <si>
    <t>红墙股份</t>
  </si>
  <si>
    <t>山东赫达</t>
  </si>
  <si>
    <t>郑中设计</t>
  </si>
  <si>
    <t>恩捷股份</t>
  </si>
  <si>
    <t>路畅科技</t>
  </si>
  <si>
    <t>崇达技术</t>
  </si>
  <si>
    <t>*ST和科</t>
  </si>
  <si>
    <t>黄山胶囊</t>
  </si>
  <si>
    <t>富森美</t>
  </si>
  <si>
    <t>东方中科</t>
  </si>
  <si>
    <t>桂发祥</t>
  </si>
  <si>
    <t>凯莱英</t>
  </si>
  <si>
    <t>医疗研发外包</t>
  </si>
  <si>
    <t>*ST中装</t>
  </si>
  <si>
    <t>凯中精密</t>
  </si>
  <si>
    <t>和胜股份</t>
  </si>
  <si>
    <t>纳尔股份</t>
  </si>
  <si>
    <t>易明医药</t>
  </si>
  <si>
    <t>高争民爆</t>
  </si>
  <si>
    <t>贝肯能源</t>
  </si>
  <si>
    <t>星网宇达</t>
  </si>
  <si>
    <t>名雕股份</t>
  </si>
  <si>
    <t>裕同科技</t>
  </si>
  <si>
    <t>比音勒芬</t>
  </si>
  <si>
    <t>弘亚数控</t>
  </si>
  <si>
    <t>同为股份</t>
  </si>
  <si>
    <t>新宏泽</t>
  </si>
  <si>
    <t>英维克</t>
  </si>
  <si>
    <t>道恩股份</t>
  </si>
  <si>
    <t>张家港行</t>
  </si>
  <si>
    <t>华统股份</t>
  </si>
  <si>
    <t>视源股份</t>
  </si>
  <si>
    <t>翔鹭钨业</t>
  </si>
  <si>
    <t>泰嘉股份</t>
  </si>
  <si>
    <t>同兴达</t>
  </si>
  <si>
    <t>英联股份</t>
  </si>
  <si>
    <t>盐津铺子</t>
  </si>
  <si>
    <t>*ST高斯</t>
  </si>
  <si>
    <t>威星智能</t>
  </si>
  <si>
    <t>科达利</t>
  </si>
  <si>
    <t>麦格米特</t>
  </si>
  <si>
    <t>道道全</t>
  </si>
  <si>
    <t>皮阿诺</t>
  </si>
  <si>
    <t>捷荣技术</t>
  </si>
  <si>
    <t>美芝股份</t>
  </si>
  <si>
    <t>三晖电气</t>
  </si>
  <si>
    <t>力盛体育</t>
  </si>
  <si>
    <t>体育</t>
  </si>
  <si>
    <t>洁美科技</t>
  </si>
  <si>
    <t>星帅尔</t>
  </si>
  <si>
    <t>瀛通通讯</t>
  </si>
  <si>
    <t>实丰文化</t>
  </si>
  <si>
    <t>今飞凯达</t>
  </si>
  <si>
    <t>盘龙药业</t>
  </si>
  <si>
    <t>钧达股份</t>
  </si>
  <si>
    <t>传艺科技</t>
  </si>
  <si>
    <t>周大生</t>
  </si>
  <si>
    <t>*ST绿康</t>
  </si>
  <si>
    <t>金溢科技</t>
  </si>
  <si>
    <t>香山股份</t>
  </si>
  <si>
    <t>伟隆股份</t>
  </si>
  <si>
    <t>ST天圣</t>
  </si>
  <si>
    <t>新天药业</t>
  </si>
  <si>
    <t>安奈儿</t>
  </si>
  <si>
    <t>三利谱</t>
  </si>
  <si>
    <t>智能自控</t>
  </si>
  <si>
    <t>元隆雅图</t>
  </si>
  <si>
    <t>长缆科技</t>
  </si>
  <si>
    <t>卫光生物</t>
  </si>
  <si>
    <t>美格智能</t>
  </si>
  <si>
    <t>金龙羽</t>
  </si>
  <si>
    <t>中设股份</t>
  </si>
  <si>
    <t>凌霄泵业</t>
  </si>
  <si>
    <t>京泉华</t>
  </si>
  <si>
    <t>沃特股份</t>
  </si>
  <si>
    <t>绿茵生态</t>
  </si>
  <si>
    <t>惠威科技</t>
  </si>
  <si>
    <t>东方嘉盛</t>
  </si>
  <si>
    <t>弘宇股份</t>
  </si>
  <si>
    <t>中宠股份</t>
  </si>
  <si>
    <t>宠物食品</t>
  </si>
  <si>
    <t>科力尔</t>
  </si>
  <si>
    <t>京能热力</t>
  </si>
  <si>
    <t>川恒股份</t>
  </si>
  <si>
    <t>中大力德</t>
  </si>
  <si>
    <t>意华股份</t>
  </si>
  <si>
    <t>*ST赛隆</t>
  </si>
  <si>
    <t>英派斯</t>
  </si>
  <si>
    <t>哈三联</t>
  </si>
  <si>
    <t>大博医疗</t>
  </si>
  <si>
    <t>铭普光磁</t>
  </si>
  <si>
    <t>宇环数控</t>
  </si>
  <si>
    <t>金逸影视</t>
  </si>
  <si>
    <t>华阳集团</t>
  </si>
  <si>
    <t>华森制药</t>
  </si>
  <si>
    <t>德生科技</t>
  </si>
  <si>
    <t>集泰股份</t>
  </si>
  <si>
    <t>庄园牧场</t>
  </si>
  <si>
    <t>佛燃能源</t>
  </si>
  <si>
    <t>中新赛克</t>
  </si>
  <si>
    <t>奥士康</t>
  </si>
  <si>
    <t>中欣氟材</t>
  </si>
  <si>
    <t>深南电路</t>
  </si>
  <si>
    <t>金奥博</t>
  </si>
  <si>
    <t>蒙娜丽莎</t>
  </si>
  <si>
    <t>名臣健康</t>
  </si>
  <si>
    <t>德赛西威</t>
  </si>
  <si>
    <t>联诚精密</t>
  </si>
  <si>
    <t>伊戈尔</t>
  </si>
  <si>
    <t>润都股份</t>
  </si>
  <si>
    <t>盈趣科技</t>
  </si>
  <si>
    <t>华西证券</t>
  </si>
  <si>
    <t>泰永长征</t>
  </si>
  <si>
    <t>华夏航空</t>
  </si>
  <si>
    <t>润建股份</t>
  </si>
  <si>
    <t>网络工程施工</t>
  </si>
  <si>
    <t>宏川智慧</t>
  </si>
  <si>
    <t>锋龙股份</t>
  </si>
  <si>
    <t>明德生物</t>
  </si>
  <si>
    <t>新兴装备</t>
  </si>
  <si>
    <t>天奥电子</t>
  </si>
  <si>
    <t>郑州银行</t>
  </si>
  <si>
    <t>兴瑞科技</t>
  </si>
  <si>
    <t>鹏鼎控股</t>
  </si>
  <si>
    <t>长城证券</t>
  </si>
  <si>
    <t>昂利康</t>
  </si>
  <si>
    <t>新疆交建</t>
  </si>
  <si>
    <t>新农股份</t>
  </si>
  <si>
    <t>宇晶股份</t>
  </si>
  <si>
    <t>华林证券</t>
  </si>
  <si>
    <t>新乳业</t>
  </si>
  <si>
    <t>恒铭达</t>
  </si>
  <si>
    <t>青岛银行</t>
  </si>
  <si>
    <t>华阳国际</t>
  </si>
  <si>
    <t>奥美医疗</t>
  </si>
  <si>
    <t>金时科技</t>
  </si>
  <si>
    <t>亚世光电</t>
  </si>
  <si>
    <t>日丰股份</t>
  </si>
  <si>
    <t>鸿合科技</t>
  </si>
  <si>
    <t>西麦食品</t>
  </si>
  <si>
    <t>科瑞技术</t>
  </si>
  <si>
    <t>青农商行</t>
  </si>
  <si>
    <t>小熊电器</t>
  </si>
  <si>
    <t>青鸟消防</t>
  </si>
  <si>
    <t>瑞达期货</t>
  </si>
  <si>
    <t>五方光电</t>
  </si>
  <si>
    <t>豪尔赛</t>
  </si>
  <si>
    <t>祥鑫科技</t>
  </si>
  <si>
    <t>苏州银行</t>
  </si>
  <si>
    <t>广电计量</t>
  </si>
  <si>
    <t>检测服务</t>
  </si>
  <si>
    <t>新大正</t>
  </si>
  <si>
    <t>嘉美包装</t>
  </si>
  <si>
    <t>锐明技术</t>
  </si>
  <si>
    <t>和远气体</t>
  </si>
  <si>
    <t>科安达</t>
  </si>
  <si>
    <t>侨银股份</t>
  </si>
  <si>
    <t>博杰股份</t>
  </si>
  <si>
    <t>瑞玛精密</t>
  </si>
  <si>
    <t>天箭科技</t>
  </si>
  <si>
    <t>安宁股份</t>
  </si>
  <si>
    <t>雷赛智能</t>
  </si>
  <si>
    <t>华盛昌</t>
  </si>
  <si>
    <t>朝阳科技</t>
  </si>
  <si>
    <t>湘佳股份</t>
  </si>
  <si>
    <t>芯瑞达</t>
  </si>
  <si>
    <t>森麒麟</t>
  </si>
  <si>
    <t>北摩高科</t>
  </si>
  <si>
    <t>宇新股份</t>
  </si>
  <si>
    <t>京北方</t>
  </si>
  <si>
    <t>豪美新材</t>
  </si>
  <si>
    <t>中天精装</t>
  </si>
  <si>
    <t>盛视科技</t>
  </si>
  <si>
    <t>甘源食品</t>
  </si>
  <si>
    <t>宝明科技</t>
  </si>
  <si>
    <t>奥海科技</t>
  </si>
  <si>
    <t>天地在线</t>
  </si>
  <si>
    <t>顺博合金</t>
  </si>
  <si>
    <t>瑞鹄模具</t>
  </si>
  <si>
    <t>优彩资源</t>
  </si>
  <si>
    <t>天禾股份</t>
  </si>
  <si>
    <t>劲仔食品</t>
  </si>
  <si>
    <t>中岩大地</t>
  </si>
  <si>
    <t>壶化股份</t>
  </si>
  <si>
    <t>天元股份</t>
  </si>
  <si>
    <t>*ST声迅</t>
  </si>
  <si>
    <t>竞业达</t>
  </si>
  <si>
    <t>百亚股份</t>
  </si>
  <si>
    <t>直真科技</t>
  </si>
  <si>
    <t>开普检测</t>
  </si>
  <si>
    <t>中天火箭</t>
  </si>
  <si>
    <t>若羽臣</t>
  </si>
  <si>
    <t>海象新材</t>
  </si>
  <si>
    <t>东鹏控股</t>
  </si>
  <si>
    <t>地铁设计</t>
  </si>
  <si>
    <t>日久光电</t>
  </si>
  <si>
    <t>欣贺股份</t>
  </si>
  <si>
    <t>大洋生物</t>
  </si>
  <si>
    <t>无机盐</t>
  </si>
  <si>
    <t>金富科技</t>
  </si>
  <si>
    <t>宸展光电</t>
  </si>
  <si>
    <t>立方制药</t>
  </si>
  <si>
    <t>兆威机电</t>
  </si>
  <si>
    <t>联泓新科</t>
  </si>
  <si>
    <t>彩虹集团</t>
  </si>
  <si>
    <t>思进智能</t>
  </si>
  <si>
    <t>中晶科技</t>
  </si>
  <si>
    <t>同兴科技</t>
  </si>
  <si>
    <t>振邦智能</t>
  </si>
  <si>
    <t>吉大正元</t>
  </si>
  <si>
    <t>祖名股份</t>
  </si>
  <si>
    <t>中瓷电子</t>
  </si>
  <si>
    <t>*ST传智</t>
  </si>
  <si>
    <t>征和工业</t>
  </si>
  <si>
    <t>南网能源</t>
  </si>
  <si>
    <t>泰坦股份</t>
  </si>
  <si>
    <t>三和管桩</t>
  </si>
  <si>
    <t>鑫铂股份</t>
  </si>
  <si>
    <t>顺控发展</t>
  </si>
  <si>
    <t>楚天龙</t>
  </si>
  <si>
    <t>真爱美家</t>
  </si>
  <si>
    <t>中农联合</t>
  </si>
  <si>
    <t>华亚智能</t>
  </si>
  <si>
    <t>中国广核</t>
  </si>
  <si>
    <t>核力发电</t>
  </si>
  <si>
    <t>特锐德</t>
  </si>
  <si>
    <t>神州泰岳</t>
  </si>
  <si>
    <t>乐普医疗</t>
  </si>
  <si>
    <t>南风股份</t>
  </si>
  <si>
    <t>探路者</t>
  </si>
  <si>
    <t>莱美药业</t>
  </si>
  <si>
    <t>汉威科技</t>
  </si>
  <si>
    <t>天海防务</t>
  </si>
  <si>
    <t>航海装备</t>
  </si>
  <si>
    <t>安科生物</t>
  </si>
  <si>
    <t>豆神教育</t>
  </si>
  <si>
    <t>鼎汉技术</t>
  </si>
  <si>
    <t>华测检测</t>
  </si>
  <si>
    <t>新宁物流</t>
  </si>
  <si>
    <t>亿纬锂能</t>
  </si>
  <si>
    <t>爱尔眼科</t>
  </si>
  <si>
    <t>北陆药业</t>
  </si>
  <si>
    <t>网宿科技</t>
  </si>
  <si>
    <t>中元股份</t>
  </si>
  <si>
    <t>硅宝科技</t>
  </si>
  <si>
    <t>ST银江</t>
  </si>
  <si>
    <t>大禹节水</t>
  </si>
  <si>
    <t>吉峰科技</t>
  </si>
  <si>
    <t>华星创业</t>
  </si>
  <si>
    <t>红日药业</t>
  </si>
  <si>
    <t>华谊兄弟</t>
  </si>
  <si>
    <t>*ST天龙</t>
  </si>
  <si>
    <t>阳普医疗</t>
  </si>
  <si>
    <t>医疗设备</t>
  </si>
  <si>
    <t>宝通科技</t>
  </si>
  <si>
    <t>金龙机电</t>
  </si>
  <si>
    <t>同花顺</t>
  </si>
  <si>
    <t>钢研高纳</t>
  </si>
  <si>
    <t>中科电气</t>
  </si>
  <si>
    <t>超图软件</t>
  </si>
  <si>
    <t>新宙邦</t>
  </si>
  <si>
    <t>上海凯宝</t>
  </si>
  <si>
    <t>九洲集团</t>
  </si>
  <si>
    <t>回天新材</t>
  </si>
  <si>
    <t>朗科科技</t>
  </si>
  <si>
    <t>星辉娱乐</t>
  </si>
  <si>
    <t>ST赛为</t>
  </si>
  <si>
    <t>华力创通</t>
  </si>
  <si>
    <t>台基股份</t>
  </si>
  <si>
    <t>功率半导体</t>
  </si>
  <si>
    <t>天源迪科</t>
  </si>
  <si>
    <t>合康新能</t>
  </si>
  <si>
    <t>福瑞医科</t>
  </si>
  <si>
    <t>世纪鼎利</t>
  </si>
  <si>
    <t>琏升科技</t>
  </si>
  <si>
    <t>ST中青宝</t>
  </si>
  <si>
    <t>航宇微</t>
  </si>
  <si>
    <t>鼎龙股份</t>
  </si>
  <si>
    <t>万邦达</t>
  </si>
  <si>
    <t>中创环保</t>
  </si>
  <si>
    <t>万顺新材</t>
  </si>
  <si>
    <t>蓝色光标</t>
  </si>
  <si>
    <t>东方财富</t>
  </si>
  <si>
    <t>旗天科技</t>
  </si>
  <si>
    <t>中能电气</t>
  </si>
  <si>
    <t>天龙集团</t>
  </si>
  <si>
    <t>海兰信</t>
  </si>
  <si>
    <t>三川智慧</t>
  </si>
  <si>
    <t>安诺其</t>
  </si>
  <si>
    <t>南都电源</t>
  </si>
  <si>
    <t>金利华电</t>
  </si>
  <si>
    <t>碧水源</t>
  </si>
  <si>
    <t>福石控股</t>
  </si>
  <si>
    <t>海新能科</t>
  </si>
  <si>
    <t>当升科技</t>
  </si>
  <si>
    <t>华平股份</t>
  </si>
  <si>
    <t>数字政通</t>
  </si>
  <si>
    <t>GQY视讯</t>
  </si>
  <si>
    <t>国民技术</t>
  </si>
  <si>
    <t>思创医惠</t>
  </si>
  <si>
    <t>数码视讯</t>
  </si>
  <si>
    <t>易成新能</t>
  </si>
  <si>
    <t>恒信东方</t>
  </si>
  <si>
    <t>奥克股份</t>
  </si>
  <si>
    <t>创世纪</t>
  </si>
  <si>
    <t>海默科技</t>
  </si>
  <si>
    <t>银之杰</t>
  </si>
  <si>
    <t>康芝药业</t>
  </si>
  <si>
    <t>荃银高科</t>
  </si>
  <si>
    <t>长信科技</t>
  </si>
  <si>
    <t>*ST金灵</t>
  </si>
  <si>
    <t>科新机电</t>
  </si>
  <si>
    <t>*ST金刚</t>
  </si>
  <si>
    <t>国联水产</t>
  </si>
  <si>
    <t>华伍股份</t>
  </si>
  <si>
    <t>ST易联众</t>
  </si>
  <si>
    <t>ST智云</t>
  </si>
  <si>
    <t>高新兴</t>
  </si>
  <si>
    <t>尤洛卡</t>
  </si>
  <si>
    <t>双林股份</t>
  </si>
  <si>
    <t>振芯科技</t>
  </si>
  <si>
    <t>乾照光电</t>
  </si>
  <si>
    <t>达刚控股</t>
  </si>
  <si>
    <t>龙源技术</t>
  </si>
  <si>
    <t>西部牧业</t>
  </si>
  <si>
    <t>建新股份</t>
  </si>
  <si>
    <t>新开源</t>
  </si>
  <si>
    <t>华仁药业</t>
  </si>
  <si>
    <t>向日葵</t>
  </si>
  <si>
    <t>万讯自控</t>
  </si>
  <si>
    <t>顺网科技</t>
  </si>
  <si>
    <t>长盈精密</t>
  </si>
  <si>
    <t>东方日升</t>
  </si>
  <si>
    <t>瑞普生物</t>
  </si>
  <si>
    <t>经纬辉开</t>
  </si>
  <si>
    <t>阳谷华泰</t>
  </si>
  <si>
    <t>橡胶助剂</t>
  </si>
  <si>
    <t>智飞生物</t>
  </si>
  <si>
    <t>疫苗</t>
  </si>
  <si>
    <t>亚光科技</t>
  </si>
  <si>
    <t>汇川技术</t>
  </si>
  <si>
    <t>*ST聆达</t>
  </si>
  <si>
    <t>锐奇股份</t>
  </si>
  <si>
    <t>银河磁体</t>
  </si>
  <si>
    <t>锦富技术</t>
  </si>
  <si>
    <t>泰胜风能</t>
  </si>
  <si>
    <t>新国都</t>
  </si>
  <si>
    <t>英唐智控</t>
  </si>
  <si>
    <t>青松股份</t>
  </si>
  <si>
    <t>华策影视</t>
  </si>
  <si>
    <t>大富科技</t>
  </si>
  <si>
    <t>宝利国际</t>
  </si>
  <si>
    <t>信维通信</t>
  </si>
  <si>
    <t>先河环保</t>
  </si>
  <si>
    <t>晨光生物</t>
  </si>
  <si>
    <t>晓程科技</t>
  </si>
  <si>
    <t>节能环境</t>
  </si>
  <si>
    <t>和顺电气</t>
  </si>
  <si>
    <t>沃森生物</t>
  </si>
  <si>
    <t>盈康生命</t>
  </si>
  <si>
    <t>宋城演艺</t>
  </si>
  <si>
    <t>南方泵业</t>
  </si>
  <si>
    <t>汤臣倍健</t>
  </si>
  <si>
    <t>ST香雪</t>
  </si>
  <si>
    <t>天舟文化</t>
  </si>
  <si>
    <t>教育出版</t>
  </si>
  <si>
    <t>睿智医药</t>
  </si>
  <si>
    <t>世纪瑞尔</t>
  </si>
  <si>
    <t>昌红科技</t>
  </si>
  <si>
    <t>ST新动力</t>
  </si>
  <si>
    <t>科泰电源</t>
  </si>
  <si>
    <t>瑞凌股份</t>
  </si>
  <si>
    <t>安居宝</t>
  </si>
  <si>
    <t>新锦动力</t>
  </si>
  <si>
    <t>振东制药</t>
  </si>
  <si>
    <t>*ST新研</t>
  </si>
  <si>
    <t>秀强股份</t>
  </si>
  <si>
    <t>华中数控</t>
  </si>
  <si>
    <t>雷曼光电</t>
  </si>
  <si>
    <t>先锋新材</t>
  </si>
  <si>
    <t>通源石油</t>
  </si>
  <si>
    <t>ST天瑞</t>
  </si>
  <si>
    <t>东方国信</t>
  </si>
  <si>
    <t>ST迪威迅</t>
  </si>
  <si>
    <t>万达信息</t>
  </si>
  <si>
    <t>天晟新材</t>
  </si>
  <si>
    <t>汉得信息</t>
  </si>
  <si>
    <t>云平台服务</t>
  </si>
  <si>
    <t>东富龙</t>
  </si>
  <si>
    <t>制药装备</t>
  </si>
  <si>
    <t>中电环保</t>
  </si>
  <si>
    <t>ST福能</t>
  </si>
  <si>
    <t>锂电设备</t>
  </si>
  <si>
    <t>元力股份</t>
  </si>
  <si>
    <t>ST朗源</t>
  </si>
  <si>
    <t>鸿特科技</t>
  </si>
  <si>
    <t>中海达</t>
  </si>
  <si>
    <t>四方达</t>
  </si>
  <si>
    <t>华峰超纤</t>
  </si>
  <si>
    <t>佐力药业</t>
  </si>
  <si>
    <t>捷成股份</t>
  </si>
  <si>
    <t>东软载波</t>
  </si>
  <si>
    <t>力源信息</t>
  </si>
  <si>
    <t>通裕重工</t>
  </si>
  <si>
    <t>永清环保</t>
  </si>
  <si>
    <t>国投智能</t>
  </si>
  <si>
    <t>神农种业</t>
  </si>
  <si>
    <t>维尔利</t>
  </si>
  <si>
    <t>潜能恒信</t>
  </si>
  <si>
    <t>科德教育</t>
  </si>
  <si>
    <t>佳士科技</t>
  </si>
  <si>
    <t>福安药业</t>
  </si>
  <si>
    <t>长荣股份</t>
  </si>
  <si>
    <t>长海股份</t>
  </si>
  <si>
    <t>节能铁汉</t>
  </si>
  <si>
    <t>ST纳川</t>
  </si>
  <si>
    <t>翰宇药业</t>
  </si>
  <si>
    <t>高盟新材</t>
  </si>
  <si>
    <t>海伦哲</t>
  </si>
  <si>
    <t>聚光科技</t>
  </si>
  <si>
    <t>舒泰神</t>
  </si>
  <si>
    <t>*ST天喻</t>
  </si>
  <si>
    <t>理邦仪器</t>
  </si>
  <si>
    <t>欣旺达</t>
  </si>
  <si>
    <t>有棵树</t>
  </si>
  <si>
    <t>森远股份</t>
  </si>
  <si>
    <t>*ST亿通</t>
  </si>
  <si>
    <t>易华录</t>
  </si>
  <si>
    <t>佳讯飞鸿</t>
  </si>
  <si>
    <t>日科化学</t>
  </si>
  <si>
    <t>电科院</t>
  </si>
  <si>
    <t>东方电热</t>
  </si>
  <si>
    <t>安利股份</t>
  </si>
  <si>
    <t>鸿利智汇</t>
  </si>
  <si>
    <t>金运激光</t>
  </si>
  <si>
    <t>银禧科技</t>
  </si>
  <si>
    <t>科大智能</t>
  </si>
  <si>
    <t>北京君正</t>
  </si>
  <si>
    <t>正海磁材</t>
  </si>
  <si>
    <t>*ST金泰</t>
  </si>
  <si>
    <t>上海钢联</t>
  </si>
  <si>
    <t>光韵达</t>
  </si>
  <si>
    <t>富瑞特装</t>
  </si>
  <si>
    <t>拓尔思</t>
  </si>
  <si>
    <t>永利股份</t>
  </si>
  <si>
    <t>银信科技</t>
  </si>
  <si>
    <t>洲明科技</t>
  </si>
  <si>
    <t>金城医药</t>
  </si>
  <si>
    <t>开尔新材</t>
  </si>
  <si>
    <t>方直科技</t>
  </si>
  <si>
    <t>上海新阳</t>
  </si>
  <si>
    <t>ST美晨</t>
  </si>
  <si>
    <t>冠昊生物</t>
  </si>
  <si>
    <t>东宝生物</t>
  </si>
  <si>
    <t>飞力达</t>
  </si>
  <si>
    <t>瑞丰光电</t>
  </si>
  <si>
    <t>佳云科技</t>
  </si>
  <si>
    <t>瑞丰高材</t>
  </si>
  <si>
    <t>迪安诊断</t>
  </si>
  <si>
    <t>天玑科技</t>
  </si>
  <si>
    <t>宝莱特</t>
  </si>
  <si>
    <t>融捷健康</t>
  </si>
  <si>
    <t>新开普</t>
  </si>
  <si>
    <t>依米康</t>
  </si>
  <si>
    <t>初灵信息</t>
  </si>
  <si>
    <t>光线传媒</t>
  </si>
  <si>
    <t>金信诺</t>
  </si>
  <si>
    <t>卫宁健康</t>
  </si>
  <si>
    <t>仟源医药</t>
  </si>
  <si>
    <t>常山药业</t>
  </si>
  <si>
    <t>星星科技</t>
  </si>
  <si>
    <t>开山股份</t>
  </si>
  <si>
    <t>精锻科技</t>
  </si>
  <si>
    <t>新天科技</t>
  </si>
  <si>
    <t>新莱应材</t>
  </si>
  <si>
    <t>雅本化学</t>
  </si>
  <si>
    <t>隆华科技</t>
  </si>
  <si>
    <t>佳创视讯</t>
  </si>
  <si>
    <t>通光线缆</t>
  </si>
  <si>
    <t>兴源环境</t>
  </si>
  <si>
    <t>尔康制药</t>
  </si>
  <si>
    <t>*ST佳沃</t>
  </si>
  <si>
    <t>联建光电</t>
  </si>
  <si>
    <t>中威电子</t>
  </si>
  <si>
    <t>华宇软件</t>
  </si>
  <si>
    <t>开能健康</t>
  </si>
  <si>
    <t>阳光电源</t>
  </si>
  <si>
    <t>光伏逆变器</t>
  </si>
  <si>
    <t>梅安森</t>
  </si>
  <si>
    <t>三丰智能</t>
  </si>
  <si>
    <t>海联讯</t>
  </si>
  <si>
    <t>华昌达</t>
  </si>
  <si>
    <t>和晶科技</t>
  </si>
  <si>
    <t>金明精机</t>
  </si>
  <si>
    <t>温州宏丰</t>
  </si>
  <si>
    <t>苏交科</t>
  </si>
  <si>
    <t>国瓷材料</t>
  </si>
  <si>
    <t>安科瑞</t>
  </si>
  <si>
    <t>飞利信</t>
  </si>
  <si>
    <t>朗玛信息</t>
  </si>
  <si>
    <t>利德曼</t>
  </si>
  <si>
    <t>荣科科技</t>
  </si>
  <si>
    <t>百纳千成</t>
  </si>
  <si>
    <t>吴通控股</t>
  </si>
  <si>
    <t>蓝英装备</t>
  </si>
  <si>
    <t>博雅生物</t>
  </si>
  <si>
    <t>三六五网</t>
  </si>
  <si>
    <t>利亚德</t>
  </si>
  <si>
    <t>三诺生物</t>
  </si>
  <si>
    <t>富春股份</t>
  </si>
  <si>
    <t>海峡创新</t>
  </si>
  <si>
    <t>ST长方</t>
  </si>
  <si>
    <t>同有科技</t>
  </si>
  <si>
    <t>聚飞光电</t>
  </si>
  <si>
    <t>云意电气</t>
  </si>
  <si>
    <t>裕兴股份</t>
  </si>
  <si>
    <t>远方信息</t>
  </si>
  <si>
    <t>慈星股份</t>
  </si>
  <si>
    <t>中际旭创</t>
  </si>
  <si>
    <t>宜通世纪</t>
  </si>
  <si>
    <t>ST任子行</t>
  </si>
  <si>
    <t>*ST天山</t>
  </si>
  <si>
    <t>戴维医疗</t>
  </si>
  <si>
    <t>掌趣科技</t>
  </si>
  <si>
    <t>晶盛机电</t>
  </si>
  <si>
    <t>珈伟新能</t>
  </si>
  <si>
    <t>博晖创新</t>
  </si>
  <si>
    <t>麦捷科技</t>
  </si>
  <si>
    <t>海达股份</t>
  </si>
  <si>
    <t>同大股份</t>
  </si>
  <si>
    <t>硕贝德</t>
  </si>
  <si>
    <t>华灿光电</t>
  </si>
  <si>
    <t>旋极信息</t>
  </si>
  <si>
    <t>ST凯利</t>
  </si>
  <si>
    <t>中颖电子</t>
  </si>
  <si>
    <t>宜安科技</t>
  </si>
  <si>
    <t>海伦钢琴</t>
  </si>
  <si>
    <t>苏大维格</t>
  </si>
  <si>
    <t>天壕能源</t>
  </si>
  <si>
    <t>兆日科技</t>
  </si>
  <si>
    <t>津膜科技</t>
  </si>
  <si>
    <t>迪森股份</t>
  </si>
  <si>
    <t>银邦股份</t>
  </si>
  <si>
    <t>ST开元</t>
  </si>
  <si>
    <t>润和软件</t>
  </si>
  <si>
    <t>科恒股份</t>
  </si>
  <si>
    <t>麦克奥迪</t>
  </si>
  <si>
    <t>天银机电</t>
  </si>
  <si>
    <t>ST联创</t>
  </si>
  <si>
    <t>*ST立方</t>
  </si>
  <si>
    <t>华民股份</t>
  </si>
  <si>
    <t>光伏硅料</t>
  </si>
  <si>
    <t>南大光电</t>
  </si>
  <si>
    <t>泰格医药</t>
  </si>
  <si>
    <t>长亮科技</t>
  </si>
  <si>
    <t>金卡智能</t>
  </si>
  <si>
    <t>华鹏飞</t>
  </si>
  <si>
    <t>永贵电器</t>
  </si>
  <si>
    <t>北信源</t>
  </si>
  <si>
    <t>东土科技</t>
  </si>
  <si>
    <t>东华测试</t>
  </si>
  <si>
    <t>蒙草生态</t>
  </si>
  <si>
    <t>我武生物</t>
  </si>
  <si>
    <t>楚天科技</t>
  </si>
  <si>
    <t>全通教育</t>
  </si>
  <si>
    <t>炬华科技</t>
  </si>
  <si>
    <t>博腾股份</t>
  </si>
  <si>
    <t>中文在线</t>
  </si>
  <si>
    <t>恒华科技</t>
  </si>
  <si>
    <t>ST创意</t>
  </si>
  <si>
    <t>汇金股份</t>
  </si>
  <si>
    <t>绿盟科技</t>
  </si>
  <si>
    <t>安控科技</t>
  </si>
  <si>
    <t>汇中股份</t>
  </si>
  <si>
    <t>扬杰科技</t>
  </si>
  <si>
    <t>中铁装配</t>
  </si>
  <si>
    <t>鹏翎股份</t>
  </si>
  <si>
    <t>易事特</t>
  </si>
  <si>
    <t>赢时胜</t>
  </si>
  <si>
    <t>鼎捷数智</t>
  </si>
  <si>
    <t>安硕信息</t>
  </si>
  <si>
    <t>溢多利</t>
  </si>
  <si>
    <t>斯莱克</t>
  </si>
  <si>
    <t>光环新网</t>
  </si>
  <si>
    <t>三联虹普</t>
  </si>
  <si>
    <t>雪浪环境</t>
  </si>
  <si>
    <t>飞天诚信</t>
  </si>
  <si>
    <t>富邦科技</t>
  </si>
  <si>
    <t>节能国祯</t>
  </si>
  <si>
    <t>艾比森</t>
  </si>
  <si>
    <t>天华新能</t>
  </si>
  <si>
    <t>*ST长药</t>
  </si>
  <si>
    <t>中来股份</t>
  </si>
  <si>
    <t>天孚通信</t>
  </si>
  <si>
    <t>菲利华</t>
  </si>
  <si>
    <t>迪瑞医疗</t>
  </si>
  <si>
    <t>体外诊断</t>
  </si>
  <si>
    <t>天和防务</t>
  </si>
  <si>
    <t>飞凯材料</t>
  </si>
  <si>
    <t>天利科技</t>
  </si>
  <si>
    <t>劲拓股份</t>
  </si>
  <si>
    <t>花园生物</t>
  </si>
  <si>
    <t>宝色股份</t>
  </si>
  <si>
    <t>汉宇集团</t>
  </si>
  <si>
    <t>博济医药</t>
  </si>
  <si>
    <t>科隆股份</t>
  </si>
  <si>
    <t>九强生物</t>
  </si>
  <si>
    <t>凯发电气</t>
  </si>
  <si>
    <t>三环集团</t>
  </si>
  <si>
    <t>道氏技术</t>
  </si>
  <si>
    <t>正业科技</t>
  </si>
  <si>
    <t>金盾股份</t>
  </si>
  <si>
    <t>迦南科技</t>
  </si>
  <si>
    <t>芒果超媒</t>
  </si>
  <si>
    <t>视频音频媒体</t>
  </si>
  <si>
    <t>中光防雷</t>
  </si>
  <si>
    <t>伊之密</t>
  </si>
  <si>
    <t>苏试试验</t>
  </si>
  <si>
    <t>南华仪器</t>
  </si>
  <si>
    <t>昆仑万维</t>
  </si>
  <si>
    <t>ST浩丰</t>
  </si>
  <si>
    <t>五洋自控</t>
  </si>
  <si>
    <t>力星股份</t>
  </si>
  <si>
    <t>博世科</t>
  </si>
  <si>
    <t>昇辉科技</t>
  </si>
  <si>
    <t>航新科技</t>
  </si>
  <si>
    <t>中建环能</t>
  </si>
  <si>
    <t>华智数媒</t>
  </si>
  <si>
    <t>红相股份</t>
  </si>
  <si>
    <t>立中集团</t>
  </si>
  <si>
    <t>强力新材</t>
  </si>
  <si>
    <t>诚益通</t>
  </si>
  <si>
    <t>富临精工</t>
  </si>
  <si>
    <t>蓝思科技</t>
  </si>
  <si>
    <t>金石亚药</t>
  </si>
  <si>
    <t>中泰股份</t>
  </si>
  <si>
    <t>广生堂</t>
  </si>
  <si>
    <t>清水源</t>
  </si>
  <si>
    <t>鹏辉能源</t>
  </si>
  <si>
    <t>美康生物</t>
  </si>
  <si>
    <t>运达科技</t>
  </si>
  <si>
    <t>鲍斯股份</t>
  </si>
  <si>
    <t>润泽科技</t>
  </si>
  <si>
    <t>金雷股份</t>
  </si>
  <si>
    <t>双杰电气</t>
  </si>
  <si>
    <t>康斯特</t>
  </si>
  <si>
    <t>航天智造</t>
  </si>
  <si>
    <t>全信股份</t>
  </si>
  <si>
    <t>浩云科技</t>
  </si>
  <si>
    <t>汉邦高科</t>
  </si>
  <si>
    <t>先导智能</t>
  </si>
  <si>
    <t>创业慧康</t>
  </si>
  <si>
    <t>山河药辅</t>
  </si>
  <si>
    <t>三鑫医疗</t>
  </si>
  <si>
    <t>深信服</t>
  </si>
  <si>
    <t>航天智装</t>
  </si>
  <si>
    <t>赛微电子</t>
  </si>
  <si>
    <t>半导体制造</t>
  </si>
  <si>
    <t>赢合科技</t>
  </si>
  <si>
    <t>全志科技</t>
  </si>
  <si>
    <t>汤姆猫</t>
  </si>
  <si>
    <t>ST惠伦</t>
  </si>
  <si>
    <t>田中精机</t>
  </si>
  <si>
    <t>ST华铭</t>
  </si>
  <si>
    <t>迈克生物</t>
  </si>
  <si>
    <t>星徽股份</t>
  </si>
  <si>
    <t>高伟达</t>
  </si>
  <si>
    <t>赛摩智能</t>
  </si>
  <si>
    <t>迅游科技</t>
  </si>
  <si>
    <t>四方精创</t>
  </si>
  <si>
    <t>信息发展</t>
  </si>
  <si>
    <t>中密控股</t>
  </si>
  <si>
    <t>厚普股份</t>
  </si>
  <si>
    <t>*ST新元</t>
  </si>
  <si>
    <t>德尔股份</t>
  </si>
  <si>
    <t>景嘉微</t>
  </si>
  <si>
    <t>香农芯创</t>
  </si>
  <si>
    <t>胜宏科技</t>
  </si>
  <si>
    <t>ST合纵</t>
  </si>
  <si>
    <t>杭州高新</t>
  </si>
  <si>
    <t>神思电子</t>
  </si>
  <si>
    <t>光力科技</t>
  </si>
  <si>
    <t>濮阳惠成</t>
  </si>
  <si>
    <t>万孚生物</t>
  </si>
  <si>
    <t>首华燃气</t>
  </si>
  <si>
    <t>蓝海华腾</t>
  </si>
  <si>
    <t>赛升药业</t>
  </si>
  <si>
    <t>抗体</t>
  </si>
  <si>
    <t>东杰智能</t>
  </si>
  <si>
    <t>蓝晓科技</t>
  </si>
  <si>
    <t>恒锋工具</t>
  </si>
  <si>
    <t>光智科技</t>
  </si>
  <si>
    <t>华自科技</t>
  </si>
  <si>
    <t>通合科技</t>
  </si>
  <si>
    <t>华图山鼎</t>
  </si>
  <si>
    <t>润欣科技</t>
  </si>
  <si>
    <t>盛天网络</t>
  </si>
  <si>
    <t>中科创达</t>
  </si>
  <si>
    <t>富祥药业</t>
  </si>
  <si>
    <t>温氏股份</t>
  </si>
  <si>
    <t>高澜股份</t>
  </si>
  <si>
    <t>启迪设计</t>
  </si>
  <si>
    <t>海顺新材</t>
  </si>
  <si>
    <t>新易盛</t>
  </si>
  <si>
    <t>昊志机电</t>
  </si>
  <si>
    <t>天邑股份</t>
  </si>
  <si>
    <t>川金诺</t>
  </si>
  <si>
    <t>ST名家汇</t>
  </si>
  <si>
    <t>苏奥传感</t>
  </si>
  <si>
    <t>维宏股份</t>
  </si>
  <si>
    <t>新美星</t>
  </si>
  <si>
    <t>金冠股份</t>
  </si>
  <si>
    <t>雪榕生物</t>
  </si>
  <si>
    <t>中亚股份</t>
  </si>
  <si>
    <t>恒实科技</t>
  </si>
  <si>
    <t>友讯达</t>
  </si>
  <si>
    <t>三德科技</t>
  </si>
  <si>
    <t>久之洋</t>
  </si>
  <si>
    <t>海波重科</t>
  </si>
  <si>
    <t>新迅达</t>
  </si>
  <si>
    <t>新光药业</t>
  </si>
  <si>
    <t>科大国创</t>
  </si>
  <si>
    <t>爱司凯</t>
  </si>
  <si>
    <t>世名科技</t>
  </si>
  <si>
    <t>辰安科技</t>
  </si>
  <si>
    <t>博思软件</t>
  </si>
  <si>
    <t>ST应急</t>
  </si>
  <si>
    <t>幸福蓝海</t>
  </si>
  <si>
    <t>健帆生物</t>
  </si>
  <si>
    <t>领湃科技</t>
  </si>
  <si>
    <t>优博讯</t>
  </si>
  <si>
    <t>今天国际</t>
  </si>
  <si>
    <t>冰川网络</t>
  </si>
  <si>
    <t>陇神戎发</t>
  </si>
  <si>
    <t>达威股份</t>
  </si>
  <si>
    <t>农尚环境</t>
  </si>
  <si>
    <t>广信材料</t>
  </si>
  <si>
    <t>同益股份</t>
  </si>
  <si>
    <t>横河精密</t>
  </si>
  <si>
    <t>蜀道装备</t>
  </si>
  <si>
    <t>先进数通</t>
  </si>
  <si>
    <t>新晨科技</t>
  </si>
  <si>
    <t>朗科智能</t>
  </si>
  <si>
    <t>联得装备</t>
  </si>
  <si>
    <t>雄帝科技</t>
  </si>
  <si>
    <t>川环科技</t>
  </si>
  <si>
    <t>长芯博创</t>
  </si>
  <si>
    <t>优德精密</t>
  </si>
  <si>
    <t>和仁科技</t>
  </si>
  <si>
    <t>古鳌科技</t>
  </si>
  <si>
    <t>万集科技</t>
  </si>
  <si>
    <t>集智股份</t>
  </si>
  <si>
    <t>三超新材</t>
  </si>
  <si>
    <t>ST路通</t>
  </si>
  <si>
    <t>丝路视觉</t>
  </si>
  <si>
    <t>理工光科</t>
  </si>
  <si>
    <t>贝达药业</t>
  </si>
  <si>
    <t>佳发教育</t>
  </si>
  <si>
    <t>中富通</t>
  </si>
  <si>
    <t>*ST汇科</t>
  </si>
  <si>
    <t>乐心医疗</t>
  </si>
  <si>
    <t>神宇股份</t>
  </si>
  <si>
    <t>筑博设计</t>
  </si>
  <si>
    <t>科信技术</t>
  </si>
  <si>
    <t>激智科技</t>
  </si>
  <si>
    <t>精测电子</t>
  </si>
  <si>
    <t>星源材质</t>
  </si>
  <si>
    <t>天能重工</t>
  </si>
  <si>
    <t>太辰光</t>
  </si>
  <si>
    <t>平治信息</t>
  </si>
  <si>
    <t>安车检测</t>
  </si>
  <si>
    <t>兴齐眼药</t>
  </si>
  <si>
    <t>中旗股份</t>
  </si>
  <si>
    <t>容大感光</t>
  </si>
  <si>
    <t>开润股份</t>
  </si>
  <si>
    <t>会畅科技</t>
  </si>
  <si>
    <t>数字认证</t>
  </si>
  <si>
    <t>贝斯特</t>
  </si>
  <si>
    <t>晨曦航空</t>
  </si>
  <si>
    <t>英飞特</t>
  </si>
  <si>
    <t>赛托生物</t>
  </si>
  <si>
    <t>海辰药业</t>
  </si>
  <si>
    <t>奥联电子</t>
  </si>
  <si>
    <t>美联新材</t>
  </si>
  <si>
    <t>天铁科技</t>
  </si>
  <si>
    <t>熙菱信息</t>
  </si>
  <si>
    <t>江龙船艇</t>
  </si>
  <si>
    <t>移为通信</t>
  </si>
  <si>
    <t>万里马</t>
  </si>
  <si>
    <t>华凯易佰</t>
  </si>
  <si>
    <t>新雷能</t>
  </si>
  <si>
    <t>朗进科技</t>
  </si>
  <si>
    <t>欧普康视</t>
  </si>
  <si>
    <t>利安隆</t>
  </si>
  <si>
    <t>吉大通信</t>
  </si>
  <si>
    <t>诚迈科技</t>
  </si>
  <si>
    <t>雄塑科技</t>
  </si>
  <si>
    <t>国瑞科技</t>
  </si>
  <si>
    <t>康泰生物</t>
  </si>
  <si>
    <t>飞荣达</t>
  </si>
  <si>
    <t>立昂技术</t>
  </si>
  <si>
    <t>长川科技</t>
  </si>
  <si>
    <t>恒锋信息</t>
  </si>
  <si>
    <t>金太阳</t>
  </si>
  <si>
    <t>拓斯达</t>
  </si>
  <si>
    <t>思特奇</t>
  </si>
  <si>
    <t>汇纳科技</t>
  </si>
  <si>
    <t>晨化股份</t>
  </si>
  <si>
    <t>美力科技</t>
  </si>
  <si>
    <t>宣亚国际</t>
  </si>
  <si>
    <t>富瀚微</t>
  </si>
  <si>
    <t>百川畅银</t>
  </si>
  <si>
    <t>欣天科技</t>
  </si>
  <si>
    <t>尚品宅配</t>
  </si>
  <si>
    <t>安靠智电</t>
  </si>
  <si>
    <t>寒锐钴业</t>
  </si>
  <si>
    <t>钴</t>
  </si>
  <si>
    <t>金银河</t>
  </si>
  <si>
    <t>光库科技</t>
  </si>
  <si>
    <t>维业股份</t>
  </si>
  <si>
    <t>博士眼镜</t>
  </si>
  <si>
    <t>捷捷微电</t>
  </si>
  <si>
    <t>万兴科技</t>
  </si>
  <si>
    <t>三雄极光</t>
  </si>
  <si>
    <t>华瑞股份</t>
  </si>
  <si>
    <t>华测导航</t>
  </si>
  <si>
    <t>亿联网络</t>
  </si>
  <si>
    <t>新劲刚</t>
  </si>
  <si>
    <t>久吾高科</t>
  </si>
  <si>
    <t>光莆股份</t>
  </si>
  <si>
    <t>开立医疗</t>
  </si>
  <si>
    <t>彩讯股份</t>
  </si>
  <si>
    <t>中达安</t>
  </si>
  <si>
    <t>同和药业</t>
  </si>
  <si>
    <t>扬帆新材</t>
  </si>
  <si>
    <t>广和通</t>
  </si>
  <si>
    <t>凯普生物</t>
  </si>
  <si>
    <t>德艺文创</t>
  </si>
  <si>
    <t>正丹股份</t>
  </si>
  <si>
    <t>透景生命</t>
  </si>
  <si>
    <t>万通智控</t>
  </si>
  <si>
    <t>南京聚隆</t>
  </si>
  <si>
    <t>正元智慧</t>
  </si>
  <si>
    <t>超频三</t>
  </si>
  <si>
    <t>星云股份</t>
  </si>
  <si>
    <t>杭州园林</t>
  </si>
  <si>
    <t>太龙股份</t>
  </si>
  <si>
    <t>金陵体育</t>
  </si>
  <si>
    <t>雷迪克</t>
  </si>
  <si>
    <t>正海生物</t>
  </si>
  <si>
    <t>世纪天鸿</t>
  </si>
  <si>
    <t>晶瑞电材</t>
  </si>
  <si>
    <t>民德电子</t>
  </si>
  <si>
    <t>弘信电子</t>
  </si>
  <si>
    <t>延江股份</t>
  </si>
  <si>
    <t>中孚信息</t>
  </si>
  <si>
    <t>江苏雷利</t>
  </si>
  <si>
    <t>圣邦股份</t>
  </si>
  <si>
    <t>科锐国际</t>
  </si>
  <si>
    <t>人力资源服务</t>
  </si>
  <si>
    <t>科蓝软件</t>
  </si>
  <si>
    <t>鹏鹞环保</t>
  </si>
  <si>
    <t>飞鹿股份</t>
  </si>
  <si>
    <t>江丰电子</t>
  </si>
  <si>
    <t>必创科技</t>
  </si>
  <si>
    <t>杰恩设计</t>
  </si>
  <si>
    <t>沪宁股份</t>
  </si>
  <si>
    <t>大烨智能</t>
  </si>
  <si>
    <t>富满微</t>
  </si>
  <si>
    <t>国科微</t>
  </si>
  <si>
    <t>佩蒂股份</t>
  </si>
  <si>
    <t>宇信科技</t>
  </si>
  <si>
    <t>建科院</t>
  </si>
  <si>
    <t>华大基因</t>
  </si>
  <si>
    <t>英科医疗</t>
  </si>
  <si>
    <t>中科信息</t>
  </si>
  <si>
    <t>电连技术</t>
  </si>
  <si>
    <t>隆盛科技</t>
  </si>
  <si>
    <t>英搏尔</t>
  </si>
  <si>
    <t>朗新集团</t>
  </si>
  <si>
    <t>海特生物</t>
  </si>
  <si>
    <t>中石科技</t>
  </si>
  <si>
    <t>艾德生物</t>
  </si>
  <si>
    <t>智动力</t>
  </si>
  <si>
    <t>赛意信息</t>
  </si>
  <si>
    <t>创业黑马</t>
  </si>
  <si>
    <t>澄天伟业</t>
  </si>
  <si>
    <t>双一科技</t>
  </si>
  <si>
    <t>联合光电</t>
  </si>
  <si>
    <t>中赋科技</t>
  </si>
  <si>
    <t>盛弘股份</t>
  </si>
  <si>
    <t>蠡湖股份</t>
  </si>
  <si>
    <t>兆丰股份</t>
  </si>
  <si>
    <t>爱乐达</t>
  </si>
  <si>
    <t>电工合金</t>
  </si>
  <si>
    <t>万马科技</t>
  </si>
  <si>
    <t>光威复材</t>
  </si>
  <si>
    <t>碳纤维</t>
  </si>
  <si>
    <t>岱勒新材</t>
  </si>
  <si>
    <t>森霸传感</t>
  </si>
  <si>
    <t>天宇股份</t>
  </si>
  <si>
    <t>创源股份</t>
  </si>
  <si>
    <t>九典制药</t>
  </si>
  <si>
    <t>阿石创</t>
  </si>
  <si>
    <t>威唐工业</t>
  </si>
  <si>
    <t>聚灿光电</t>
  </si>
  <si>
    <t>精研科技</t>
  </si>
  <si>
    <t>万隆光电</t>
  </si>
  <si>
    <t>广哈通信</t>
  </si>
  <si>
    <t>永福股份</t>
  </si>
  <si>
    <t>英可瑞</t>
  </si>
  <si>
    <t>凯伦股份</t>
  </si>
  <si>
    <t>ST泉为</t>
  </si>
  <si>
    <t>华信新材</t>
  </si>
  <si>
    <t>长盛轴承</t>
  </si>
  <si>
    <t>安达维尔</t>
  </si>
  <si>
    <t>海川智能</t>
  </si>
  <si>
    <t>怡达股份</t>
  </si>
  <si>
    <t>新余国科</t>
  </si>
  <si>
    <t>一品红</t>
  </si>
  <si>
    <t>捷佳伟创</t>
  </si>
  <si>
    <t>药石科技</t>
  </si>
  <si>
    <t>宏达电子</t>
  </si>
  <si>
    <t>润禾材料</t>
  </si>
  <si>
    <t>乐歌股份</t>
  </si>
  <si>
    <t>科创信息</t>
  </si>
  <si>
    <t>科创新源</t>
  </si>
  <si>
    <t>设研院</t>
  </si>
  <si>
    <t>西菱动力</t>
  </si>
  <si>
    <t>光弘科技</t>
  </si>
  <si>
    <t>百邦科技</t>
  </si>
  <si>
    <t>其他专业服务</t>
  </si>
  <si>
    <t>科顺股份</t>
  </si>
  <si>
    <t>奥飞数据</t>
  </si>
  <si>
    <t>明阳电路</t>
  </si>
  <si>
    <t>水羊股份</t>
  </si>
  <si>
    <t>华宝股份</t>
  </si>
  <si>
    <t>天地数码</t>
  </si>
  <si>
    <t>欣锐科技</t>
  </si>
  <si>
    <t>汉嘉设计</t>
  </si>
  <si>
    <t>锐科激光</t>
  </si>
  <si>
    <t>金力永磁</t>
  </si>
  <si>
    <t>顶固集创</t>
  </si>
  <si>
    <t>宁德时代</t>
  </si>
  <si>
    <t>迈为股份</t>
  </si>
  <si>
    <t>隆利科技</t>
  </si>
  <si>
    <t>爱朋医疗</t>
  </si>
  <si>
    <t>华致酒行</t>
  </si>
  <si>
    <t>金马游乐</t>
  </si>
  <si>
    <t>罗博特科</t>
  </si>
  <si>
    <t>七彩化学</t>
  </si>
  <si>
    <t>康龙化成</t>
  </si>
  <si>
    <t>迈瑞医疗</t>
  </si>
  <si>
    <t>立华股份</t>
  </si>
  <si>
    <t>上海瀚讯</t>
  </si>
  <si>
    <t>锦浪科技</t>
  </si>
  <si>
    <t>新诺威</t>
  </si>
  <si>
    <t>每日互动</t>
  </si>
  <si>
    <t>震安科技</t>
  </si>
  <si>
    <t>迪普科技</t>
  </si>
  <si>
    <t>德方纳米</t>
  </si>
  <si>
    <t>新媒股份</t>
  </si>
  <si>
    <t>智莱科技</t>
  </si>
  <si>
    <t>运达股份</t>
  </si>
  <si>
    <t>拉卡拉</t>
  </si>
  <si>
    <t>倍杰特</t>
  </si>
  <si>
    <t>三角防务</t>
  </si>
  <si>
    <t>帝尔激光</t>
  </si>
  <si>
    <t>中简科技</t>
  </si>
  <si>
    <t>新城市</t>
  </si>
  <si>
    <t>惠城环保</t>
  </si>
  <si>
    <t>德恩精工</t>
  </si>
  <si>
    <t>因赛集团</t>
  </si>
  <si>
    <t>卓胜微</t>
  </si>
  <si>
    <t>三只松鼠</t>
  </si>
  <si>
    <t>利安科技</t>
  </si>
  <si>
    <t>值得买</t>
  </si>
  <si>
    <t>国林科技</t>
  </si>
  <si>
    <t>海能实业</t>
  </si>
  <si>
    <t>中信出版</t>
  </si>
  <si>
    <t>唐源电气</t>
  </si>
  <si>
    <t>宇瞳光学</t>
  </si>
  <si>
    <t>仙乐健康</t>
  </si>
  <si>
    <t>壹网壹创</t>
  </si>
  <si>
    <t>佳禾智能</t>
  </si>
  <si>
    <t>米奥会展</t>
  </si>
  <si>
    <t>会展服务</t>
  </si>
  <si>
    <t>贝斯美</t>
  </si>
  <si>
    <t>钢研纳克</t>
  </si>
  <si>
    <t>锦鸡股份</t>
  </si>
  <si>
    <t>力合科技</t>
  </si>
  <si>
    <t>泰和科技</t>
  </si>
  <si>
    <t>矩子科技</t>
  </si>
  <si>
    <t>指南针</t>
  </si>
  <si>
    <t>广康生化</t>
  </si>
  <si>
    <t>电声股份</t>
  </si>
  <si>
    <t>斯迪克</t>
  </si>
  <si>
    <t>天迈科技</t>
  </si>
  <si>
    <t>久量股份</t>
  </si>
  <si>
    <t>华辰装备</t>
  </si>
  <si>
    <t>中科海讯</t>
  </si>
  <si>
    <t>铂科新材</t>
  </si>
  <si>
    <t>易天股份</t>
  </si>
  <si>
    <t>泰林生物</t>
  </si>
  <si>
    <t>中富电路</t>
  </si>
  <si>
    <t>玉禾田</t>
  </si>
  <si>
    <t>艾可蓝</t>
  </si>
  <si>
    <t>双飞集团</t>
  </si>
  <si>
    <t>耐普矿机</t>
  </si>
  <si>
    <t>聚杰微纤</t>
  </si>
  <si>
    <t>英杰电气</t>
  </si>
  <si>
    <t>东岳硅材</t>
  </si>
  <si>
    <t>贝仕达克</t>
  </si>
  <si>
    <t>建科智能</t>
  </si>
  <si>
    <t>北鼎股份</t>
  </si>
  <si>
    <t>阿尔特</t>
  </si>
  <si>
    <t>测绘股份</t>
  </si>
  <si>
    <t>上能电气</t>
  </si>
  <si>
    <t>锐新科技</t>
  </si>
  <si>
    <t>金丹科技</t>
  </si>
  <si>
    <t>金现代</t>
  </si>
  <si>
    <t>派瑞股份</t>
  </si>
  <si>
    <t>新产业</t>
  </si>
  <si>
    <t>浩洋股份</t>
  </si>
  <si>
    <t>星辉环材</t>
  </si>
  <si>
    <t>龙磁科技</t>
  </si>
  <si>
    <t>佰奥智能</t>
  </si>
  <si>
    <t>浙矿股份</t>
  </si>
  <si>
    <t>浙江力诺</t>
  </si>
  <si>
    <t>博汇股份</t>
  </si>
  <si>
    <t>酷特智能</t>
  </si>
  <si>
    <t>康华生物</t>
  </si>
  <si>
    <t>帝科股份</t>
  </si>
  <si>
    <t>胜蓝股份</t>
  </si>
  <si>
    <t>山水比德</t>
  </si>
  <si>
    <t>捷安高科</t>
  </si>
  <si>
    <t>首都在线</t>
  </si>
  <si>
    <t>中船汉光</t>
  </si>
  <si>
    <t>美瑞新材</t>
  </si>
  <si>
    <t>锦盛新材</t>
  </si>
  <si>
    <t>新强联</t>
  </si>
  <si>
    <t>交大思诺</t>
  </si>
  <si>
    <t>四会富仕</t>
  </si>
  <si>
    <t>申昊科技</t>
  </si>
  <si>
    <t>中兰环保</t>
  </si>
  <si>
    <t>图南股份</t>
  </si>
  <si>
    <t>科思股份</t>
  </si>
  <si>
    <t>协创数据</t>
  </si>
  <si>
    <t>科拓生物</t>
  </si>
  <si>
    <t>西域旅游</t>
  </si>
  <si>
    <t>锋尚文化</t>
  </si>
  <si>
    <t>美畅股份</t>
  </si>
  <si>
    <t>蓝盾光电</t>
  </si>
  <si>
    <t>卡倍亿</t>
  </si>
  <si>
    <t>南大环境</t>
  </si>
  <si>
    <t>大宏立</t>
  </si>
  <si>
    <t>安克创新</t>
  </si>
  <si>
    <t>圣元环保</t>
  </si>
  <si>
    <t>杰美特</t>
  </si>
  <si>
    <t>康泰医学</t>
  </si>
  <si>
    <t>欧陆通</t>
  </si>
  <si>
    <t>回盛生物</t>
  </si>
  <si>
    <t>天阳科技</t>
  </si>
  <si>
    <t>海晨股份</t>
  </si>
  <si>
    <t>捷强装备</t>
  </si>
  <si>
    <t>蒙泰高新</t>
  </si>
  <si>
    <t>金春股份</t>
  </si>
  <si>
    <t>维康药业</t>
  </si>
  <si>
    <t>大叶股份</t>
  </si>
  <si>
    <t>迦南智能</t>
  </si>
  <si>
    <t>盛德鑫泰</t>
  </si>
  <si>
    <t>万胜智能</t>
  </si>
  <si>
    <t>龙利得</t>
  </si>
  <si>
    <t>狄耐克</t>
  </si>
  <si>
    <t>海昌新材</t>
  </si>
  <si>
    <t>华业香料</t>
  </si>
  <si>
    <t>谱尼测试</t>
  </si>
  <si>
    <t>稳健医疗</t>
  </si>
  <si>
    <t>爱克股份</t>
  </si>
  <si>
    <t>翔丰华</t>
  </si>
  <si>
    <t>惠云钛业</t>
  </si>
  <si>
    <t>品渥食品</t>
  </si>
  <si>
    <t>松原安全</t>
  </si>
  <si>
    <t>火星人</t>
  </si>
  <si>
    <t>铜牛信息</t>
  </si>
  <si>
    <t>爱美客</t>
  </si>
  <si>
    <t>医美耗材</t>
  </si>
  <si>
    <t>山科智能</t>
  </si>
  <si>
    <t>熊猫乳品</t>
  </si>
  <si>
    <t>*ST凯鑫</t>
  </si>
  <si>
    <t>广联航空</t>
  </si>
  <si>
    <t>中胤时尚</t>
  </si>
  <si>
    <t>国安达</t>
  </si>
  <si>
    <t>科翔股份</t>
  </si>
  <si>
    <t>威力传动</t>
  </si>
  <si>
    <t>宝丽迪</t>
  </si>
  <si>
    <t>日月明</t>
  </si>
  <si>
    <t>康平科技</t>
  </si>
  <si>
    <t>仲景食品</t>
  </si>
  <si>
    <t>汇创达</t>
  </si>
  <si>
    <t>瑞丰新材</t>
  </si>
  <si>
    <t>亿田智能</t>
  </si>
  <si>
    <t>凯龙高科</t>
  </si>
  <si>
    <t>兆龙互连</t>
  </si>
  <si>
    <t>海融科技</t>
  </si>
  <si>
    <t>朗特智能</t>
  </si>
  <si>
    <t>特发服务</t>
  </si>
  <si>
    <t>南山智尚</t>
  </si>
  <si>
    <t>中伟股份</t>
  </si>
  <si>
    <t>润阳科技</t>
  </si>
  <si>
    <t>南凌科技</t>
  </si>
  <si>
    <t>天秦装备</t>
  </si>
  <si>
    <t>研奥股份</t>
  </si>
  <si>
    <t>法本信息</t>
  </si>
  <si>
    <t>博俊科技</t>
  </si>
  <si>
    <t>江天化学</t>
  </si>
  <si>
    <t>华安鑫创</t>
  </si>
  <si>
    <t>华骐环保</t>
  </si>
  <si>
    <t>屹通新材</t>
  </si>
  <si>
    <t>通用电梯</t>
  </si>
  <si>
    <t>三友联众</t>
  </si>
  <si>
    <t>中辰股份</t>
  </si>
  <si>
    <t>盈建科</t>
  </si>
  <si>
    <t>中英科技</t>
  </si>
  <si>
    <t>药易购</t>
  </si>
  <si>
    <t>信测标准</t>
  </si>
  <si>
    <t>秋田微</t>
  </si>
  <si>
    <t>南极光</t>
  </si>
  <si>
    <t>创识科技</t>
  </si>
  <si>
    <t>易瑞生物</t>
  </si>
  <si>
    <t>春晖智控</t>
  </si>
  <si>
    <t>曼卡龙</t>
  </si>
  <si>
    <t>恒而达</t>
  </si>
  <si>
    <t>德必集团</t>
  </si>
  <si>
    <t>冠中生态</t>
  </si>
  <si>
    <t>奥雅股份</t>
  </si>
  <si>
    <t>德固特</t>
  </si>
  <si>
    <t>博硕科技</t>
  </si>
  <si>
    <t>恒辉安防</t>
  </si>
  <si>
    <t>震裕科技</t>
  </si>
  <si>
    <t>嘉亨家化</t>
  </si>
  <si>
    <t>英力股份</t>
  </si>
  <si>
    <t>贝泰妮</t>
  </si>
  <si>
    <t>建工修复</t>
  </si>
  <si>
    <t>线上线下</t>
  </si>
  <si>
    <t>通业科技</t>
  </si>
  <si>
    <t>深水海纳</t>
  </si>
  <si>
    <t>中金辐照</t>
  </si>
  <si>
    <t>中洲特材</t>
  </si>
  <si>
    <t>本川智能</t>
  </si>
  <si>
    <t>恒宇信通</t>
  </si>
  <si>
    <t>共同药业</t>
  </si>
  <si>
    <t>晓鸣股份</t>
  </si>
  <si>
    <t>格林精密</t>
  </si>
  <si>
    <t>恒帅股份</t>
  </si>
  <si>
    <t>华绿生物</t>
  </si>
  <si>
    <t>博亚精工</t>
  </si>
  <si>
    <t>万辰集团</t>
  </si>
  <si>
    <t>立高食品</t>
  </si>
  <si>
    <t>商络电子</t>
  </si>
  <si>
    <t>达瑞电子</t>
  </si>
  <si>
    <t>深圳瑞捷</t>
  </si>
  <si>
    <t>东箭科技</t>
  </si>
  <si>
    <t>华利集团</t>
  </si>
  <si>
    <t>纺织鞋类制造</t>
  </si>
  <si>
    <t>祥源新材</t>
  </si>
  <si>
    <t>中红医疗</t>
  </si>
  <si>
    <t>苏文电能</t>
  </si>
  <si>
    <t>尤安设计</t>
  </si>
  <si>
    <t>金沃股份</t>
  </si>
  <si>
    <t>致远新能</t>
  </si>
  <si>
    <t>志特新材</t>
  </si>
  <si>
    <t>川网传媒</t>
  </si>
  <si>
    <t>津荣天宇</t>
  </si>
  <si>
    <t>蕾奥规划</t>
  </si>
  <si>
    <t>同飞股份</t>
  </si>
  <si>
    <t>创益通</t>
  </si>
  <si>
    <t>泰福泵业</t>
  </si>
  <si>
    <t>玉马科技</t>
  </si>
  <si>
    <t>久祺股份</t>
  </si>
  <si>
    <t>奇德新材</t>
  </si>
  <si>
    <t>普联软件</t>
  </si>
  <si>
    <t>欢乐家</t>
  </si>
  <si>
    <t>宁波方正</t>
  </si>
  <si>
    <t>金龙鱼</t>
  </si>
  <si>
    <t>肇民科技</t>
  </si>
  <si>
    <t>凯淳股份</t>
  </si>
  <si>
    <t>崧盛股份</t>
  </si>
  <si>
    <t>江苏博云</t>
  </si>
  <si>
    <t>嘉益股份</t>
  </si>
  <si>
    <t>超捷股份</t>
  </si>
  <si>
    <t>迈拓股份</t>
  </si>
  <si>
    <t>德迈仕</t>
  </si>
  <si>
    <t>宏昌科技</t>
  </si>
  <si>
    <t>可靠股份</t>
  </si>
  <si>
    <t>晶雪节能</t>
  </si>
  <si>
    <t>华立科技</t>
  </si>
  <si>
    <t>扬电科技</t>
  </si>
  <si>
    <t>利和兴</t>
  </si>
  <si>
    <t>百洋医药</t>
  </si>
  <si>
    <t>雷尔伟</t>
  </si>
  <si>
    <t>漱玉平民</t>
  </si>
  <si>
    <t>申菱环境</t>
  </si>
  <si>
    <t>宁波色母</t>
  </si>
  <si>
    <t>密封科技</t>
  </si>
  <si>
    <t>英诺激光</t>
  </si>
  <si>
    <t>海泰科</t>
  </si>
  <si>
    <t>奕帆传动</t>
  </si>
  <si>
    <t>霍普股份</t>
  </si>
  <si>
    <t>读客文化</t>
  </si>
  <si>
    <t>浩通科技</t>
  </si>
  <si>
    <t>华蓝集团</t>
  </si>
  <si>
    <t>东亚机械</t>
  </si>
  <si>
    <t>怡合达</t>
  </si>
  <si>
    <t>仕净科技</t>
  </si>
  <si>
    <t>中熔电气</t>
  </si>
  <si>
    <t>新柴股份</t>
  </si>
  <si>
    <t>迈普医学</t>
  </si>
  <si>
    <t>润丰股份</t>
  </si>
  <si>
    <t>双乐股份</t>
  </si>
  <si>
    <t>保立佳</t>
  </si>
  <si>
    <t>深水规院</t>
  </si>
  <si>
    <t>中集车辆</t>
  </si>
  <si>
    <t>中环海陆</t>
  </si>
  <si>
    <t>金百泽</t>
  </si>
  <si>
    <t>安联锐视</t>
  </si>
  <si>
    <t>绿岛风</t>
  </si>
  <si>
    <t>天禄科技</t>
  </si>
  <si>
    <t>能辉科技</t>
  </si>
  <si>
    <t>义翘神州</t>
  </si>
  <si>
    <t>金鹰重工</t>
  </si>
  <si>
    <t>超越科技</t>
  </si>
  <si>
    <t>雷电微力</t>
  </si>
  <si>
    <t>信濠光电</t>
  </si>
  <si>
    <t>果麦文化</t>
  </si>
  <si>
    <t>远信工业</t>
  </si>
  <si>
    <t>张小泉</t>
  </si>
  <si>
    <t>森赫股份</t>
  </si>
  <si>
    <t>汇隆新材</t>
  </si>
  <si>
    <t>中粮科工</t>
  </si>
  <si>
    <t>金三江</t>
  </si>
  <si>
    <t>兰卫医学</t>
  </si>
  <si>
    <t>匠心家居</t>
  </si>
  <si>
    <t>上海艾录</t>
  </si>
  <si>
    <t>海锅股份</t>
  </si>
  <si>
    <t>本立科技</t>
  </si>
  <si>
    <t>万事利</t>
  </si>
  <si>
    <t>显盈科技</t>
  </si>
  <si>
    <t>大地海洋</t>
  </si>
  <si>
    <t>凯盛新材</t>
  </si>
  <si>
    <t>开勒股份</t>
  </si>
  <si>
    <t>力量钻石</t>
  </si>
  <si>
    <t>中捷精工</t>
  </si>
  <si>
    <t>君亭酒店</t>
  </si>
  <si>
    <t>多瑞医药</t>
  </si>
  <si>
    <t>新瀚新材</t>
  </si>
  <si>
    <t>星华新材</t>
  </si>
  <si>
    <t>孩子王</t>
  </si>
  <si>
    <t>邵阳液压</t>
  </si>
  <si>
    <t>百普赛斯</t>
  </si>
  <si>
    <t>严牌股份</t>
  </si>
  <si>
    <t>久盛电气</t>
  </si>
  <si>
    <t>百胜智能</t>
  </si>
  <si>
    <t>亚康股份</t>
  </si>
  <si>
    <t>鸿富瀚</t>
  </si>
  <si>
    <t>可孚医疗</t>
  </si>
  <si>
    <t>戎美股份</t>
  </si>
  <si>
    <t>拓新药业</t>
  </si>
  <si>
    <t>华润材料</t>
  </si>
  <si>
    <t>深城交</t>
  </si>
  <si>
    <t>争光股份</t>
  </si>
  <si>
    <t>华兰股份</t>
  </si>
  <si>
    <t>广立微</t>
  </si>
  <si>
    <t>百诚医药</t>
  </si>
  <si>
    <t>天益医疗</t>
  </si>
  <si>
    <t>金埔园林</t>
  </si>
  <si>
    <t>雅创电子</t>
  </si>
  <si>
    <t>风光股份</t>
  </si>
  <si>
    <t>明月镜片</t>
  </si>
  <si>
    <t>兆讯传媒</t>
  </si>
  <si>
    <t>何氏眼科</t>
  </si>
  <si>
    <t>鸿铭股份</t>
  </si>
  <si>
    <t>骏成科技</t>
  </si>
  <si>
    <t>瑜欣电子</t>
  </si>
  <si>
    <t>洁雅股份</t>
  </si>
  <si>
    <t>军信股份</t>
  </si>
  <si>
    <t>青木科技</t>
  </si>
  <si>
    <t>粤万年青</t>
  </si>
  <si>
    <t>信邦智能</t>
  </si>
  <si>
    <t>雅艺科技</t>
  </si>
  <si>
    <t>联检科技</t>
  </si>
  <si>
    <t>益客食品</t>
  </si>
  <si>
    <t>佳缘科技</t>
  </si>
  <si>
    <t>恒光股份</t>
  </si>
  <si>
    <t>正强股份</t>
  </si>
  <si>
    <t>新特电气</t>
  </si>
  <si>
    <t>紫建电子</t>
  </si>
  <si>
    <t>采纳股份</t>
  </si>
  <si>
    <t>奕东电子</t>
  </si>
  <si>
    <t>腾亚精工</t>
  </si>
  <si>
    <t>达嘉维康</t>
  </si>
  <si>
    <t>武汉天源</t>
  </si>
  <si>
    <t>强瑞技术</t>
  </si>
  <si>
    <t>瑞纳智能</t>
  </si>
  <si>
    <t>西点药业</t>
  </si>
  <si>
    <t>聚赛龙</t>
  </si>
  <si>
    <t>满坤科技</t>
  </si>
  <si>
    <t>金钟股份</t>
  </si>
  <si>
    <t>瑞德智能</t>
  </si>
  <si>
    <t>招标股份</t>
  </si>
  <si>
    <t>哈焊华通</t>
  </si>
  <si>
    <t>华研精机</t>
  </si>
  <si>
    <t>元道通信</t>
  </si>
  <si>
    <t>中科磁业</t>
  </si>
  <si>
    <t>嘉戎技术</t>
  </si>
  <si>
    <t>隆华新材</t>
  </si>
  <si>
    <t>中一科技</t>
  </si>
  <si>
    <t>冠龙节能</t>
  </si>
  <si>
    <t>天力锂能</t>
  </si>
  <si>
    <t>中科江南</t>
  </si>
  <si>
    <t>海力风电</t>
  </si>
  <si>
    <t>美农生物</t>
  </si>
  <si>
    <t>华塑科技</t>
  </si>
  <si>
    <t>德石股份</t>
  </si>
  <si>
    <t>三维天地</t>
  </si>
  <si>
    <t>翔楼新材</t>
  </si>
  <si>
    <t>唯万密封</t>
  </si>
  <si>
    <t>国能日新</t>
  </si>
  <si>
    <t>宏德股份</t>
  </si>
  <si>
    <t>锐捷网络</t>
  </si>
  <si>
    <t>优宁维</t>
  </si>
  <si>
    <t>建研设计</t>
  </si>
  <si>
    <t>通灵股份</t>
  </si>
  <si>
    <t>零点有数</t>
  </si>
  <si>
    <t>锡南科技</t>
  </si>
  <si>
    <t>易点天下</t>
  </si>
  <si>
    <t>君逸数码</t>
  </si>
  <si>
    <t>毓恬冠佳</t>
  </si>
  <si>
    <t>中科环保</t>
  </si>
  <si>
    <t>逸豪新材</t>
  </si>
  <si>
    <t>迪阿股份</t>
  </si>
  <si>
    <t>天亿马</t>
  </si>
  <si>
    <t>泽宇智能</t>
  </si>
  <si>
    <t>万祥科技</t>
  </si>
  <si>
    <t>标榜股份</t>
  </si>
  <si>
    <t>凯旺科技</t>
  </si>
  <si>
    <t>东田微</t>
  </si>
  <si>
    <t>鸥玛软件</t>
  </si>
  <si>
    <t>超达装备</t>
  </si>
  <si>
    <t>欧圣电气</t>
  </si>
  <si>
    <t>清洁小家电</t>
  </si>
  <si>
    <t>力诺药包</t>
  </si>
  <si>
    <t>奥尼电子</t>
  </si>
  <si>
    <t>善水科技</t>
  </si>
  <si>
    <t>菲菱科思</t>
  </si>
  <si>
    <t>泰祥股份</t>
  </si>
  <si>
    <t>家联科技</t>
  </si>
  <si>
    <t>北路智控</t>
  </si>
  <si>
    <t>唯科科技</t>
  </si>
  <si>
    <t>工大科雅</t>
  </si>
  <si>
    <t>喜悦智行</t>
  </si>
  <si>
    <t>迈赫股份</t>
  </si>
  <si>
    <t>大族数控</t>
  </si>
  <si>
    <t>诚达药业</t>
  </si>
  <si>
    <t>朗威股份</t>
  </si>
  <si>
    <t>国泰环保</t>
  </si>
  <si>
    <t>联特科技</t>
  </si>
  <si>
    <t>三元生物</t>
  </si>
  <si>
    <t>华兰疫苗</t>
  </si>
  <si>
    <t>中亦科技</t>
  </si>
  <si>
    <t>联合化学</t>
  </si>
  <si>
    <t>金杨精密</t>
  </si>
  <si>
    <t>亨迪药业</t>
  </si>
  <si>
    <t>联盛化学</t>
  </si>
  <si>
    <t>观想科技</t>
  </si>
  <si>
    <t>中汽股份</t>
  </si>
  <si>
    <t>万凯新材</t>
  </si>
  <si>
    <t>铜冠铜箔</t>
  </si>
  <si>
    <t>华是科技</t>
  </si>
  <si>
    <t>腾远钴业</t>
  </si>
  <si>
    <t>亚香股份</t>
  </si>
  <si>
    <t>光庭信息</t>
  </si>
  <si>
    <t>浙江恒威</t>
  </si>
  <si>
    <t>中荣股份</t>
  </si>
  <si>
    <t>恒勃股份</t>
  </si>
  <si>
    <t>祥明智能</t>
  </si>
  <si>
    <t>森鹰窗业</t>
  </si>
  <si>
    <t>实朴检测</t>
  </si>
  <si>
    <t>纽泰格</t>
  </si>
  <si>
    <t>泓博医药</t>
  </si>
  <si>
    <t>荣信文化</t>
  </si>
  <si>
    <t>飞沃科技</t>
  </si>
  <si>
    <t>盛帮股份</t>
  </si>
  <si>
    <t>五洲医疗</t>
  </si>
  <si>
    <t>华康洁净</t>
  </si>
  <si>
    <t>软通动力</t>
  </si>
  <si>
    <t>和顺科技</t>
  </si>
  <si>
    <t>瑞泰新材</t>
  </si>
  <si>
    <t>普瑞眼科</t>
  </si>
  <si>
    <t>宏源药业</t>
  </si>
  <si>
    <t>杰创智能</t>
  </si>
  <si>
    <t>威尔高</t>
  </si>
  <si>
    <t>同星科技</t>
  </si>
  <si>
    <t>通力科技</t>
  </si>
  <si>
    <t>华融化学</t>
  </si>
  <si>
    <t>普蕊斯</t>
  </si>
  <si>
    <t>富士莱</t>
  </si>
  <si>
    <t>艾布鲁</t>
  </si>
  <si>
    <t>格力博</t>
  </si>
  <si>
    <t>恒工精密</t>
  </si>
  <si>
    <t>海看股份</t>
  </si>
  <si>
    <t>泰恩康</t>
  </si>
  <si>
    <t>华新环保</t>
  </si>
  <si>
    <t>宇邦新材</t>
  </si>
  <si>
    <t>华厦眼科</t>
  </si>
  <si>
    <t>铭利达</t>
  </si>
  <si>
    <t>华大九天</t>
  </si>
  <si>
    <t>汉仪股份</t>
  </si>
  <si>
    <t>英华特</t>
  </si>
  <si>
    <t>瑞晨环保</t>
  </si>
  <si>
    <t>汉朔科技</t>
  </si>
  <si>
    <t>嘉曼服饰</t>
  </si>
  <si>
    <t>新天地</t>
  </si>
  <si>
    <t>快可电子</t>
  </si>
  <si>
    <t>金道科技</t>
  </si>
  <si>
    <t>珠城科技</t>
  </si>
  <si>
    <t>科源制药</t>
  </si>
  <si>
    <t>金禄电子</t>
  </si>
  <si>
    <t>聚胶股份</t>
  </si>
  <si>
    <t>鸿日达</t>
  </si>
  <si>
    <t>侨源股份</t>
  </si>
  <si>
    <t>康力源</t>
  </si>
  <si>
    <t>*ST清研</t>
  </si>
  <si>
    <t>国缆检测</t>
  </si>
  <si>
    <t>东星医疗</t>
  </si>
  <si>
    <t>明阳电气</t>
  </si>
  <si>
    <t>海科新源</t>
  </si>
  <si>
    <t>三博脑科</t>
  </si>
  <si>
    <t>美硕科技</t>
  </si>
  <si>
    <t>新巨丰</t>
  </si>
  <si>
    <t>富乐德</t>
  </si>
  <si>
    <t>东利机械</t>
  </si>
  <si>
    <t>卓创资讯</t>
  </si>
  <si>
    <t>产联网信息服务</t>
  </si>
  <si>
    <t>远翔新材</t>
  </si>
  <si>
    <t>川宁生物</t>
  </si>
  <si>
    <t>华如科技</t>
  </si>
  <si>
    <t>真兰仪表</t>
  </si>
  <si>
    <t>朗坤科技</t>
  </si>
  <si>
    <t>西测测试</t>
  </si>
  <si>
    <t>美利信</t>
  </si>
  <si>
    <t>江波龙</t>
  </si>
  <si>
    <t>万得凯</t>
  </si>
  <si>
    <t>鑫宏业</t>
  </si>
  <si>
    <t>昆船智能</t>
  </si>
  <si>
    <t>智立方</t>
  </si>
  <si>
    <t>其他自动化设备</t>
  </si>
  <si>
    <t>凡拓数创</t>
  </si>
  <si>
    <t>科瑞思</t>
  </si>
  <si>
    <t>威士顿</t>
  </si>
  <si>
    <t>慧博云通</t>
  </si>
  <si>
    <t>鑫磊股份</t>
  </si>
  <si>
    <t>维海德</t>
  </si>
  <si>
    <t>唯特偶</t>
  </si>
  <si>
    <t>豪江智能</t>
  </si>
  <si>
    <t>翰博高新</t>
  </si>
  <si>
    <t>绿通科技</t>
  </si>
  <si>
    <t>新莱福</t>
  </si>
  <si>
    <t>曼恩斯特</t>
  </si>
  <si>
    <t>捷邦科技</t>
  </si>
  <si>
    <t>华宝新能</t>
  </si>
  <si>
    <t>维峰电子</t>
  </si>
  <si>
    <t>信音电子</t>
  </si>
  <si>
    <t>熵基科技</t>
  </si>
  <si>
    <t>恩威医药</t>
  </si>
  <si>
    <t>德尔玛</t>
  </si>
  <si>
    <t>诺思格</t>
  </si>
  <si>
    <t>天元宠物</t>
  </si>
  <si>
    <t>趣睡科技</t>
  </si>
  <si>
    <t>亚华电子</t>
  </si>
  <si>
    <t>凯格精机</t>
  </si>
  <si>
    <t>通行宝</t>
  </si>
  <si>
    <t>涛涛车业</t>
  </si>
  <si>
    <t>蓝箭电子</t>
  </si>
  <si>
    <t>信德新材</t>
  </si>
  <si>
    <t>普莱得</t>
  </si>
  <si>
    <t>南王科技</t>
  </si>
  <si>
    <t>天振股份</t>
  </si>
  <si>
    <t>北方长龙</t>
  </si>
  <si>
    <t>湖南裕能</t>
  </si>
  <si>
    <t>东南电子</t>
  </si>
  <si>
    <t>荣旗科技</t>
  </si>
  <si>
    <t>众智科技</t>
  </si>
  <si>
    <t>民爆光电</t>
  </si>
  <si>
    <t>美好医疗</t>
  </si>
  <si>
    <t>矩阵股份</t>
  </si>
  <si>
    <t>一博科技</t>
  </si>
  <si>
    <t>瑞迈特</t>
  </si>
  <si>
    <t>丰立智能</t>
  </si>
  <si>
    <t>联动科技</t>
  </si>
  <si>
    <t>国科恒泰</t>
  </si>
  <si>
    <t>敷尔佳</t>
  </si>
  <si>
    <t>科净源</t>
  </si>
  <si>
    <t>凌玮科技</t>
  </si>
  <si>
    <t>致欧科技</t>
  </si>
  <si>
    <t>鼎泰高科</t>
  </si>
  <si>
    <t>通达海</t>
  </si>
  <si>
    <t>天山电子</t>
  </si>
  <si>
    <t>挖金客</t>
  </si>
  <si>
    <t>赛维时代</t>
  </si>
  <si>
    <t>蜂助手</t>
  </si>
  <si>
    <t>天键股份</t>
  </si>
  <si>
    <t>未来电器</t>
  </si>
  <si>
    <t>光大同创</t>
  </si>
  <si>
    <t>欣灵电气</t>
  </si>
  <si>
    <t>隆扬电子</t>
  </si>
  <si>
    <t>经纬股份</t>
  </si>
  <si>
    <t>卡莱特</t>
  </si>
  <si>
    <t>汇成真空</t>
  </si>
  <si>
    <t>昊帆生物</t>
  </si>
  <si>
    <t>仁信新材</t>
  </si>
  <si>
    <t>宏景科技</t>
  </si>
  <si>
    <t>溯联股份</t>
  </si>
  <si>
    <t>星源卓镁</t>
  </si>
  <si>
    <t>英特科技</t>
  </si>
  <si>
    <t>华人健康</t>
  </si>
  <si>
    <t>安培龙</t>
  </si>
  <si>
    <t>协昌科技</t>
  </si>
  <si>
    <t>阿莱德</t>
  </si>
  <si>
    <t>波长光电</t>
  </si>
  <si>
    <t>世纪恒通</t>
  </si>
  <si>
    <t>森泰股份</t>
  </si>
  <si>
    <t>泓淋电力</t>
  </si>
  <si>
    <t>福事特</t>
  </si>
  <si>
    <t>开创电气</t>
  </si>
  <si>
    <t>天溯计量</t>
  </si>
  <si>
    <t>盘古智能</t>
  </si>
  <si>
    <t>钧崴电子</t>
  </si>
  <si>
    <t>丰茂股份</t>
  </si>
  <si>
    <t>博盈特焊</t>
  </si>
  <si>
    <t>恒达新材</t>
  </si>
  <si>
    <t>弘景光电</t>
  </si>
  <si>
    <t>致尚科技</t>
  </si>
  <si>
    <t>盟固利</t>
  </si>
  <si>
    <t>豪恩汽电</t>
  </si>
  <si>
    <t>思泉新材</t>
  </si>
  <si>
    <t>汉桑科技</t>
  </si>
  <si>
    <t>乖宝宠物</t>
  </si>
  <si>
    <t>维科精密</t>
  </si>
  <si>
    <t>飞南资源</t>
  </si>
  <si>
    <t>恒鑫生活</t>
  </si>
  <si>
    <t>华阳智能</t>
  </si>
  <si>
    <t>智迪科技</t>
  </si>
  <si>
    <t>苏州规划</t>
  </si>
  <si>
    <t>民生健康</t>
  </si>
  <si>
    <t>中机认检</t>
  </si>
  <si>
    <t>金凯生科</t>
  </si>
  <si>
    <t>固高科技</t>
  </si>
  <si>
    <t>德福科技</t>
  </si>
  <si>
    <t>智信精密</t>
  </si>
  <si>
    <t>港通医疗</t>
  </si>
  <si>
    <t>中远通</t>
  </si>
  <si>
    <t>陕西华达</t>
  </si>
  <si>
    <t>长华化学</t>
  </si>
  <si>
    <t>舜禹股份</t>
  </si>
  <si>
    <t>万邦医药</t>
  </si>
  <si>
    <t>上大股份</t>
  </si>
  <si>
    <t>儒竞科技</t>
  </si>
  <si>
    <t>国际复材</t>
  </si>
  <si>
    <t>多浦乐</t>
  </si>
  <si>
    <t>福赛科技</t>
  </si>
  <si>
    <t>威马农机</t>
  </si>
  <si>
    <t>浙江华远</t>
  </si>
  <si>
    <t>星宸科技</t>
  </si>
  <si>
    <t>骏鼎达</t>
  </si>
  <si>
    <t>宏鑫科技</t>
  </si>
  <si>
    <t>崇德科技</t>
  </si>
  <si>
    <t>斯菱智驱</t>
  </si>
  <si>
    <t>无线传媒</t>
  </si>
  <si>
    <t>科力装备</t>
  </si>
  <si>
    <t>惠柏新材</t>
  </si>
  <si>
    <t>托普云农</t>
  </si>
  <si>
    <t>常友科技</t>
  </si>
  <si>
    <t>三态股份</t>
  </si>
  <si>
    <t>中集环科</t>
  </si>
  <si>
    <t>众捷汽车</t>
  </si>
  <si>
    <t>云汉芯城</t>
  </si>
  <si>
    <t>中仑新材</t>
  </si>
  <si>
    <t>达利凯普</t>
  </si>
  <si>
    <t>贝隆精密</t>
  </si>
  <si>
    <t>思泰克</t>
  </si>
  <si>
    <t>国科天成</t>
  </si>
  <si>
    <t>艾芬达</t>
  </si>
  <si>
    <t>美信科技</t>
  </si>
  <si>
    <t>辰奕智能</t>
  </si>
  <si>
    <t>爱迪特</t>
  </si>
  <si>
    <t>黄山谷捷</t>
  </si>
  <si>
    <t>建发致新</t>
  </si>
  <si>
    <t>蓝宇股份</t>
  </si>
  <si>
    <t>佳力奇</t>
  </si>
  <si>
    <t>中瑞股份</t>
  </si>
  <si>
    <t>美新科技</t>
  </si>
  <si>
    <t>诺瓦星云</t>
  </si>
  <si>
    <t>优优绿能</t>
  </si>
  <si>
    <t>肯特股份</t>
  </si>
  <si>
    <t>六九一二</t>
  </si>
  <si>
    <t>太力科技</t>
  </si>
  <si>
    <t>瑞迪智驱</t>
  </si>
  <si>
    <t>博科测试</t>
  </si>
  <si>
    <t>慧翰股份</t>
  </si>
  <si>
    <t>惠通科技</t>
  </si>
  <si>
    <t>超研股份</t>
  </si>
  <si>
    <t>乔锋智能</t>
  </si>
  <si>
    <t>绿联科技</t>
  </si>
  <si>
    <t>富特科技</t>
  </si>
  <si>
    <t>博实结</t>
  </si>
  <si>
    <t>山大电力</t>
  </si>
  <si>
    <t>珂玛科技</t>
  </si>
  <si>
    <t>新铝时代</t>
  </si>
  <si>
    <t>浙江华业</t>
  </si>
  <si>
    <t>博苑股份</t>
  </si>
  <si>
    <t>长联科技</t>
  </si>
  <si>
    <t>英思特</t>
  </si>
  <si>
    <t>苏州天脉</t>
  </si>
  <si>
    <t>强达电路</t>
  </si>
  <si>
    <t>矽电股份</t>
  </si>
  <si>
    <t>同宇新材</t>
  </si>
  <si>
    <t>壹连科技</t>
  </si>
  <si>
    <t>广东建科</t>
  </si>
  <si>
    <t>港迪技术</t>
  </si>
  <si>
    <t>泽润新能</t>
  </si>
  <si>
    <t>南网数字</t>
  </si>
  <si>
    <t>联合动力</t>
  </si>
  <si>
    <t>首航新能</t>
  </si>
  <si>
    <t>宏工科技</t>
  </si>
  <si>
    <t>泰禾股份</t>
  </si>
  <si>
    <t>纳百川</t>
  </si>
  <si>
    <t>昊创瑞通</t>
  </si>
  <si>
    <t>新恒汇</t>
  </si>
  <si>
    <t>新广益</t>
  </si>
  <si>
    <t>中航成飞</t>
  </si>
  <si>
    <t>浦发银行</t>
  </si>
  <si>
    <t>白云机场</t>
  </si>
  <si>
    <t>东风股份</t>
  </si>
  <si>
    <t>中国国贸</t>
  </si>
  <si>
    <t>首创环保</t>
  </si>
  <si>
    <t>上海机场</t>
  </si>
  <si>
    <t>包钢股份</t>
  </si>
  <si>
    <t>华能国际</t>
  </si>
  <si>
    <t>皖通高速</t>
  </si>
  <si>
    <t>华夏银行</t>
  </si>
  <si>
    <t>民生银行</t>
  </si>
  <si>
    <t>日照港</t>
  </si>
  <si>
    <t>上港集团</t>
  </si>
  <si>
    <t>宝钢股份</t>
  </si>
  <si>
    <t>中原高速</t>
  </si>
  <si>
    <t>上海电力</t>
  </si>
  <si>
    <t>山东钢铁</t>
  </si>
  <si>
    <t>浙能电力</t>
  </si>
  <si>
    <t>华能水电</t>
  </si>
  <si>
    <t>中远海能</t>
  </si>
  <si>
    <t>华电国际</t>
  </si>
  <si>
    <t>中国石化</t>
  </si>
  <si>
    <t>南方航空</t>
  </si>
  <si>
    <t>中信证券</t>
  </si>
  <si>
    <t>三一重工</t>
  </si>
  <si>
    <t>浙江新能</t>
  </si>
  <si>
    <t>福建高速</t>
  </si>
  <si>
    <t>楚天高速</t>
  </si>
  <si>
    <t>招商银行</t>
  </si>
  <si>
    <t>歌华有线</t>
  </si>
  <si>
    <t>中直股份</t>
  </si>
  <si>
    <t>四川路桥</t>
  </si>
  <si>
    <t>保利发展</t>
  </si>
  <si>
    <t>中国联通</t>
  </si>
  <si>
    <t>电信运营服务</t>
  </si>
  <si>
    <t>宁波联合</t>
  </si>
  <si>
    <t>东望时代</t>
  </si>
  <si>
    <t>九鼎投资</t>
  </si>
  <si>
    <t>黄山旅游</t>
  </si>
  <si>
    <t>万东医疗</t>
  </si>
  <si>
    <t>中国医药</t>
  </si>
  <si>
    <t>厦门象屿</t>
  </si>
  <si>
    <t>五矿发展</t>
  </si>
  <si>
    <t>古越龙山</t>
  </si>
  <si>
    <t>黄酒</t>
  </si>
  <si>
    <t>海信视像</t>
  </si>
  <si>
    <t>国投资本</t>
  </si>
  <si>
    <t>华润双鹤</t>
  </si>
  <si>
    <t>皖维高新</t>
  </si>
  <si>
    <t>南京高科</t>
  </si>
  <si>
    <t>产业地产</t>
  </si>
  <si>
    <t>宇通客车</t>
  </si>
  <si>
    <t>冠城新材</t>
  </si>
  <si>
    <t>凤凰光学</t>
  </si>
  <si>
    <t>中船科技</t>
  </si>
  <si>
    <t>光明肉业</t>
  </si>
  <si>
    <t>新疆天业</t>
  </si>
  <si>
    <t>康欣新材</t>
  </si>
  <si>
    <t>澄星股份</t>
  </si>
  <si>
    <t>ST人福</t>
  </si>
  <si>
    <t>金花股份</t>
  </si>
  <si>
    <t>东风科技</t>
  </si>
  <si>
    <t>海泰发展</t>
  </si>
  <si>
    <t>中信尼雅</t>
  </si>
  <si>
    <t>同仁堂</t>
  </si>
  <si>
    <t>中视传媒</t>
  </si>
  <si>
    <t>特变电工</t>
  </si>
  <si>
    <t>大名城</t>
  </si>
  <si>
    <t>湘财股份</t>
  </si>
  <si>
    <t>云天化</t>
  </si>
  <si>
    <t>开创国际</t>
  </si>
  <si>
    <t>广州发展</t>
  </si>
  <si>
    <t>林海股份</t>
  </si>
  <si>
    <t>同方股份</t>
  </si>
  <si>
    <t>明星电力</t>
  </si>
  <si>
    <t>青山纸业</t>
  </si>
  <si>
    <t>上汽集团</t>
  </si>
  <si>
    <t>永鼎股份</t>
  </si>
  <si>
    <t>重庆路桥</t>
  </si>
  <si>
    <t>ST尔雅</t>
  </si>
  <si>
    <t>亚盛集团</t>
  </si>
  <si>
    <t>其他种植业</t>
  </si>
  <si>
    <t>国金证券</t>
  </si>
  <si>
    <t>诺德股份</t>
  </si>
  <si>
    <t>北方稀土</t>
  </si>
  <si>
    <t>浙江东日</t>
  </si>
  <si>
    <t>东睦股份</t>
  </si>
  <si>
    <t>中国东航</t>
  </si>
  <si>
    <t>三峡水利</t>
  </si>
  <si>
    <t>西宁特钢</t>
  </si>
  <si>
    <t>中国卫星</t>
  </si>
  <si>
    <t>长江投资</t>
  </si>
  <si>
    <t>浙江东方</t>
  </si>
  <si>
    <t>郑州煤电</t>
  </si>
  <si>
    <t>兰花科创</t>
  </si>
  <si>
    <t>铁龙物流</t>
  </si>
  <si>
    <t>杭钢股份</t>
  </si>
  <si>
    <t>金健米业</t>
  </si>
  <si>
    <t>苏豪弘业</t>
  </si>
  <si>
    <t>太极集团</t>
  </si>
  <si>
    <t>*ST波导</t>
  </si>
  <si>
    <t>国网信通</t>
  </si>
  <si>
    <t>重庆啤酒</t>
  </si>
  <si>
    <t>东湖高新</t>
  </si>
  <si>
    <t>乐凯胶片</t>
  </si>
  <si>
    <t>ST明诚</t>
  </si>
  <si>
    <t>浪莎股份</t>
  </si>
  <si>
    <t>中青旅</t>
  </si>
  <si>
    <t>兴发集团</t>
  </si>
  <si>
    <t>金发科技</t>
  </si>
  <si>
    <t>长春一东</t>
  </si>
  <si>
    <t>廊坊发展</t>
  </si>
  <si>
    <t>中国船舶</t>
  </si>
  <si>
    <t>航天机电</t>
  </si>
  <si>
    <t>维科技术</t>
  </si>
  <si>
    <t>建发股份</t>
  </si>
  <si>
    <t>华创云信</t>
  </si>
  <si>
    <t>华升股份</t>
  </si>
  <si>
    <t>永泰能源</t>
  </si>
  <si>
    <t>中体产业</t>
  </si>
  <si>
    <t>大龙地产</t>
  </si>
  <si>
    <t>巨化股份</t>
  </si>
  <si>
    <t>天坛生物</t>
  </si>
  <si>
    <t>香江控股</t>
  </si>
  <si>
    <t>中闽能源</t>
  </si>
  <si>
    <t>ST宁科</t>
  </si>
  <si>
    <t>福田汽车</t>
  </si>
  <si>
    <t>联美控股</t>
  </si>
  <si>
    <t>武汉控股</t>
  </si>
  <si>
    <t>ST太重</t>
  </si>
  <si>
    <t>上海建工</t>
  </si>
  <si>
    <t>上海贝岭</t>
  </si>
  <si>
    <t>黄河旋风</t>
  </si>
  <si>
    <t>卧龙新能</t>
  </si>
  <si>
    <t>中国巨石</t>
  </si>
  <si>
    <t>雅戈尔</t>
  </si>
  <si>
    <t>东安动力</t>
  </si>
  <si>
    <t>安通控股</t>
  </si>
  <si>
    <t>瑞茂通</t>
  </si>
  <si>
    <t>S佳通</t>
  </si>
  <si>
    <t>生益科技</t>
  </si>
  <si>
    <t>光电股份</t>
  </si>
  <si>
    <t>珠免集团</t>
  </si>
  <si>
    <t>莲花控股</t>
  </si>
  <si>
    <t>国中水务</t>
  </si>
  <si>
    <t>兖矿能源</t>
  </si>
  <si>
    <t>泉阳泉</t>
  </si>
  <si>
    <t>华资实业</t>
  </si>
  <si>
    <t>长城电工</t>
  </si>
  <si>
    <t>*ST创兴</t>
  </si>
  <si>
    <t>中牧股份</t>
  </si>
  <si>
    <t>复星医药</t>
  </si>
  <si>
    <t>伊力特</t>
  </si>
  <si>
    <t>大唐电信</t>
  </si>
  <si>
    <t>金种子酒</t>
  </si>
  <si>
    <t>生物股份</t>
  </si>
  <si>
    <t>哈空调</t>
  </si>
  <si>
    <t>福日电子</t>
  </si>
  <si>
    <t>有研新材</t>
  </si>
  <si>
    <t>安彩高科</t>
  </si>
  <si>
    <t>衢州发展</t>
  </si>
  <si>
    <t>紫江企业</t>
  </si>
  <si>
    <t>西藏药业</t>
  </si>
  <si>
    <t>绿能慧充</t>
  </si>
  <si>
    <t>派斯林</t>
  </si>
  <si>
    <t>浙江医药</t>
  </si>
  <si>
    <t>中再资环</t>
  </si>
  <si>
    <t>全柴动力</t>
  </si>
  <si>
    <t>南山铝业</t>
  </si>
  <si>
    <t>海航控股</t>
  </si>
  <si>
    <t>太龙药业</t>
  </si>
  <si>
    <t>福瑞达</t>
  </si>
  <si>
    <t>亨通股份</t>
  </si>
  <si>
    <t>赤天化</t>
  </si>
  <si>
    <t>*ST返利</t>
  </si>
  <si>
    <t>城市传媒</t>
  </si>
  <si>
    <t>沧州大化</t>
  </si>
  <si>
    <t>凌钢股份</t>
  </si>
  <si>
    <t>金鹰股份</t>
  </si>
  <si>
    <t>圆通速递</t>
  </si>
  <si>
    <t>科新发展</t>
  </si>
  <si>
    <t>民丰特纸</t>
  </si>
  <si>
    <t>桂冠电力</t>
  </si>
  <si>
    <t>铜峰电子</t>
  </si>
  <si>
    <t>*ST椰岛</t>
  </si>
  <si>
    <t>云南城投</t>
  </si>
  <si>
    <t>时代万恒</t>
  </si>
  <si>
    <t>*ST海华</t>
  </si>
  <si>
    <t>万通发展</t>
  </si>
  <si>
    <t>陕建股份</t>
  </si>
  <si>
    <t>两面针</t>
  </si>
  <si>
    <t>南京商旅</t>
  </si>
  <si>
    <t>冠农股份</t>
  </si>
  <si>
    <t>中恒集团</t>
  </si>
  <si>
    <t>鑫科材料</t>
  </si>
  <si>
    <t>广汇能源</t>
  </si>
  <si>
    <t>大湖股份</t>
  </si>
  <si>
    <t>首旅酒店</t>
  </si>
  <si>
    <t>中稀有色</t>
  </si>
  <si>
    <t>阳光照明</t>
  </si>
  <si>
    <t>北方股份</t>
  </si>
  <si>
    <t>ST景谷</t>
  </si>
  <si>
    <t>城建发展</t>
  </si>
  <si>
    <t>海正药业</t>
  </si>
  <si>
    <t>国电南自</t>
  </si>
  <si>
    <t>赣粤高速</t>
  </si>
  <si>
    <t>航天信息</t>
  </si>
  <si>
    <t>开开实业</t>
  </si>
  <si>
    <t>嘉化能源</t>
  </si>
  <si>
    <t>恒瑞医药</t>
  </si>
  <si>
    <t>东方创业</t>
  </si>
  <si>
    <t>重庆港</t>
  </si>
  <si>
    <t>中央商场</t>
  </si>
  <si>
    <t>华阳新材</t>
  </si>
  <si>
    <t>南钢股份</t>
  </si>
  <si>
    <t>钱江水利</t>
  </si>
  <si>
    <t>浦东建设</t>
  </si>
  <si>
    <t>羚锐制药</t>
  </si>
  <si>
    <t>苏豪时尚</t>
  </si>
  <si>
    <t>大恒科技</t>
  </si>
  <si>
    <t>ST信通</t>
  </si>
  <si>
    <t>电投水电</t>
  </si>
  <si>
    <t>三峡新材</t>
  </si>
  <si>
    <t>鄂尔多斯</t>
  </si>
  <si>
    <t>冶钢辅料</t>
  </si>
  <si>
    <t>安琪酵母</t>
  </si>
  <si>
    <t>安迪苏</t>
  </si>
  <si>
    <t>维维股份</t>
  </si>
  <si>
    <t>华锡有色</t>
  </si>
  <si>
    <t>标准股份</t>
  </si>
  <si>
    <t>曙光股份</t>
  </si>
  <si>
    <t>恒顺醋业</t>
  </si>
  <si>
    <t>酒钢宏兴</t>
  </si>
  <si>
    <t>华泰股份</t>
  </si>
  <si>
    <t>万华化学</t>
  </si>
  <si>
    <t>广西能源</t>
  </si>
  <si>
    <t>平高电气</t>
  </si>
  <si>
    <t>农发种业</t>
  </si>
  <si>
    <t>上海家化</t>
  </si>
  <si>
    <t>洪都航空</t>
  </si>
  <si>
    <t>新力金融</t>
  </si>
  <si>
    <t>非货币银行</t>
  </si>
  <si>
    <t>亚星化学</t>
  </si>
  <si>
    <t>振华重工</t>
  </si>
  <si>
    <t>津投城开</t>
  </si>
  <si>
    <t>瀚蓝环境</t>
  </si>
  <si>
    <t>华发股份</t>
  </si>
  <si>
    <t>西藏天路</t>
  </si>
  <si>
    <t>大东方</t>
  </si>
  <si>
    <t>中盐化工</t>
  </si>
  <si>
    <t>达仁堂</t>
  </si>
  <si>
    <t>天通股份</t>
  </si>
  <si>
    <t>宏达股份</t>
  </si>
  <si>
    <t>白云山</t>
  </si>
  <si>
    <t>长春燃气</t>
  </si>
  <si>
    <t>国机汽车</t>
  </si>
  <si>
    <t>汽车经销商</t>
  </si>
  <si>
    <t>澳柯玛</t>
  </si>
  <si>
    <t>美克家居</t>
  </si>
  <si>
    <t>西藏珠峰</t>
  </si>
  <si>
    <t>中油工程</t>
  </si>
  <si>
    <t>华夏幸福</t>
  </si>
  <si>
    <t>航天动力</t>
  </si>
  <si>
    <t>长江通信</t>
  </si>
  <si>
    <t>恒力石化</t>
  </si>
  <si>
    <t>华阳股份</t>
  </si>
  <si>
    <t>山东高速</t>
  </si>
  <si>
    <t>亚宝药业</t>
  </si>
  <si>
    <t>浙江龙盛</t>
  </si>
  <si>
    <t>旭光电子</t>
  </si>
  <si>
    <t>敦煌种业</t>
  </si>
  <si>
    <t>*ST精伦</t>
  </si>
  <si>
    <t>恒丰纸业</t>
  </si>
  <si>
    <t>ST联合</t>
  </si>
  <si>
    <t>新农开发</t>
  </si>
  <si>
    <t>*ST华微</t>
  </si>
  <si>
    <t>创新新材</t>
  </si>
  <si>
    <t>江西铜业</t>
  </si>
  <si>
    <t>联创光电</t>
  </si>
  <si>
    <t>ST通葡</t>
  </si>
  <si>
    <t>宁波韵升</t>
  </si>
  <si>
    <t>红星发展</t>
  </si>
  <si>
    <t>五洲交通</t>
  </si>
  <si>
    <t>西南证券</t>
  </si>
  <si>
    <t>三房巷</t>
  </si>
  <si>
    <t>万向德农</t>
  </si>
  <si>
    <t>中航机载</t>
  </si>
  <si>
    <t>中文传媒</t>
  </si>
  <si>
    <t>汉马科技</t>
  </si>
  <si>
    <t>首开股份</t>
  </si>
  <si>
    <t>宁沪高速</t>
  </si>
  <si>
    <t>昊华科技</t>
  </si>
  <si>
    <t>宝光股份</t>
  </si>
  <si>
    <t>健康元</t>
  </si>
  <si>
    <t>*ST春天</t>
  </si>
  <si>
    <t>广东明珠</t>
  </si>
  <si>
    <t>金地集团</t>
  </si>
  <si>
    <t>北巴传媒</t>
  </si>
  <si>
    <t>龙净环保</t>
  </si>
  <si>
    <t>江山股份</t>
  </si>
  <si>
    <t>五矿资本</t>
  </si>
  <si>
    <t>航发科技</t>
  </si>
  <si>
    <t>盛和资源</t>
  </si>
  <si>
    <t>盘江股份</t>
  </si>
  <si>
    <t>华电辽能</t>
  </si>
  <si>
    <t>江钨装备</t>
  </si>
  <si>
    <t>海澜之家</t>
  </si>
  <si>
    <t>抚顺特钢</t>
  </si>
  <si>
    <t>红豆股份</t>
  </si>
  <si>
    <t>大有能源</t>
  </si>
  <si>
    <t>动力源</t>
  </si>
  <si>
    <t>国电南瑞</t>
  </si>
  <si>
    <t>安泰集团</t>
  </si>
  <si>
    <t>三友化工</t>
  </si>
  <si>
    <t>华胜天成</t>
  </si>
  <si>
    <t>小商品城</t>
  </si>
  <si>
    <t>湘电股份</t>
  </si>
  <si>
    <t>江淮汽车</t>
  </si>
  <si>
    <t>天润乳业</t>
  </si>
  <si>
    <t>国药现代</t>
  </si>
  <si>
    <t>*ST华嵘</t>
  </si>
  <si>
    <t>昆药集团</t>
  </si>
  <si>
    <t>柳化股份</t>
  </si>
  <si>
    <t>青松建化</t>
  </si>
  <si>
    <t>华鲁恒升</t>
  </si>
  <si>
    <t>中远海特</t>
  </si>
  <si>
    <t>三元股份</t>
  </si>
  <si>
    <t>冠豪高新</t>
  </si>
  <si>
    <t>北方导航</t>
  </si>
  <si>
    <t>片仔癀</t>
  </si>
  <si>
    <t>通威股份</t>
  </si>
  <si>
    <t>瑞贝卡</t>
  </si>
  <si>
    <t>其他饰品</t>
  </si>
  <si>
    <t>国机通用</t>
  </si>
  <si>
    <t>金证股份</t>
  </si>
  <si>
    <t>华纺股份</t>
  </si>
  <si>
    <t>印染</t>
  </si>
  <si>
    <t>宁夏建材</t>
  </si>
  <si>
    <t>涪陵电力</t>
  </si>
  <si>
    <t>博通股份</t>
  </si>
  <si>
    <t>宝钛股份</t>
  </si>
  <si>
    <t>时代新材</t>
  </si>
  <si>
    <t>贵研铂业</t>
  </si>
  <si>
    <t>士兰微</t>
  </si>
  <si>
    <t>洪城环境</t>
  </si>
  <si>
    <t>空港股份</t>
  </si>
  <si>
    <t>好当家</t>
  </si>
  <si>
    <t>百利电气</t>
  </si>
  <si>
    <t>风神股份</t>
  </si>
  <si>
    <t>六国化工</t>
  </si>
  <si>
    <t>华光环能</t>
  </si>
  <si>
    <t>湘邮科技</t>
  </si>
  <si>
    <t>杭萧钢构</t>
  </si>
  <si>
    <t>科力远</t>
  </si>
  <si>
    <t>千金药业</t>
  </si>
  <si>
    <t>凌云股份</t>
  </si>
  <si>
    <t>双良节能</t>
  </si>
  <si>
    <t>中国动力</t>
  </si>
  <si>
    <t>福能股份</t>
  </si>
  <si>
    <t>扬农化工</t>
  </si>
  <si>
    <t>亨通光电</t>
  </si>
  <si>
    <t>津药药业</t>
  </si>
  <si>
    <t>中金黄金</t>
  </si>
  <si>
    <t>鹏欣资源</t>
  </si>
  <si>
    <t>龙元建设</t>
  </si>
  <si>
    <t>凤竹纺织</t>
  </si>
  <si>
    <t>晋西车轴</t>
  </si>
  <si>
    <t>精工钢构</t>
  </si>
  <si>
    <t>驰宏锌锗</t>
  </si>
  <si>
    <t>烽火通信</t>
  </si>
  <si>
    <t>科达制造</t>
  </si>
  <si>
    <t>中化国际</t>
  </si>
  <si>
    <t>航天晨光</t>
  </si>
  <si>
    <t>安徽建工</t>
  </si>
  <si>
    <t>华丽家族</t>
  </si>
  <si>
    <t>西昌电力</t>
  </si>
  <si>
    <t>统一股份</t>
  </si>
  <si>
    <t>方大特钢</t>
  </si>
  <si>
    <t>上海能源</t>
  </si>
  <si>
    <t>天富能源</t>
  </si>
  <si>
    <t>黑牡丹</t>
  </si>
  <si>
    <t>国药股份</t>
  </si>
  <si>
    <t>腾达建设</t>
  </si>
  <si>
    <t>联环药业</t>
  </si>
  <si>
    <t>海南机场</t>
  </si>
  <si>
    <t>方大炭素</t>
  </si>
  <si>
    <t>国网英大</t>
  </si>
  <si>
    <t>康美药业</t>
  </si>
  <si>
    <t>贵州茅台</t>
  </si>
  <si>
    <t>三佳科技</t>
  </si>
  <si>
    <t>华海药业</t>
  </si>
  <si>
    <t>中天科技</t>
  </si>
  <si>
    <t>贵航股份</t>
  </si>
  <si>
    <t>ST长园</t>
  </si>
  <si>
    <t>菲达环保</t>
  </si>
  <si>
    <t>江南高纤</t>
  </si>
  <si>
    <t>中铁工业</t>
  </si>
  <si>
    <t>山东药玻</t>
  </si>
  <si>
    <t>交大昂立</t>
  </si>
  <si>
    <t>豫光金铅</t>
  </si>
  <si>
    <t>栖霞建设</t>
  </si>
  <si>
    <t>天士力</t>
  </si>
  <si>
    <t>中国软件</t>
  </si>
  <si>
    <t>亿晶光电</t>
  </si>
  <si>
    <t>国发股份</t>
  </si>
  <si>
    <t>狮头股份</t>
  </si>
  <si>
    <t>新赛股份</t>
  </si>
  <si>
    <t>莫高股份</t>
  </si>
  <si>
    <t>卓郎智能</t>
  </si>
  <si>
    <t>山煤国际</t>
  </si>
  <si>
    <t>山东黄金</t>
  </si>
  <si>
    <t>深高速</t>
  </si>
  <si>
    <t>厦门钨业</t>
  </si>
  <si>
    <t>保变电气</t>
  </si>
  <si>
    <t>时代出版</t>
  </si>
  <si>
    <t>凯盛科技</t>
  </si>
  <si>
    <t>天下秀</t>
  </si>
  <si>
    <t>康缘药业</t>
  </si>
  <si>
    <t>大西洋</t>
  </si>
  <si>
    <t>老白干酒</t>
  </si>
  <si>
    <t>金自天正</t>
  </si>
  <si>
    <t>江西长运</t>
  </si>
  <si>
    <t>国睿科技</t>
  </si>
  <si>
    <t>法拉电子</t>
  </si>
  <si>
    <t>济川药业</t>
  </si>
  <si>
    <t>山鹰国际</t>
  </si>
  <si>
    <t>ST中珠</t>
  </si>
  <si>
    <t>安阳钢铁</t>
  </si>
  <si>
    <t>恒生电子</t>
  </si>
  <si>
    <t>信雅达</t>
  </si>
  <si>
    <t>康恩贝</t>
  </si>
  <si>
    <t>惠泉啤酒</t>
  </si>
  <si>
    <t>淮河能源</t>
  </si>
  <si>
    <t>祥源文旅</t>
  </si>
  <si>
    <t>精达股份</t>
  </si>
  <si>
    <t>京能电力</t>
  </si>
  <si>
    <t>中化装备</t>
  </si>
  <si>
    <t>卧龙电驱</t>
  </si>
  <si>
    <t>八一钢铁</t>
  </si>
  <si>
    <t>天地科技</t>
  </si>
  <si>
    <t>海油工程</t>
  </si>
  <si>
    <t>长电科技</t>
  </si>
  <si>
    <t>海螺水泥</t>
  </si>
  <si>
    <t>金晶科技</t>
  </si>
  <si>
    <t>新华医疗</t>
  </si>
  <si>
    <t>用友网络</t>
  </si>
  <si>
    <t>大位科技</t>
  </si>
  <si>
    <t>泰豪科技</t>
  </si>
  <si>
    <t>龙溪股份</t>
  </si>
  <si>
    <t>大连圣亚</t>
  </si>
  <si>
    <t>益佰制药</t>
  </si>
  <si>
    <t>中孚实业</t>
  </si>
  <si>
    <t>新安股份</t>
  </si>
  <si>
    <t>光明乳业</t>
  </si>
  <si>
    <t>北大荒</t>
  </si>
  <si>
    <t>粮食种植</t>
  </si>
  <si>
    <t>*ST熊猫</t>
  </si>
  <si>
    <t>青岛啤酒</t>
  </si>
  <si>
    <t>方正科技</t>
  </si>
  <si>
    <t>云赛智联</t>
  </si>
  <si>
    <t>广汇物流</t>
  </si>
  <si>
    <t>市北高新</t>
  </si>
  <si>
    <t>汇通能源</t>
  </si>
  <si>
    <t>绿地控股</t>
  </si>
  <si>
    <t>*ST沪科</t>
  </si>
  <si>
    <t>金杯汽车</t>
  </si>
  <si>
    <t>中毅达</t>
  </si>
  <si>
    <t>大众交通</t>
  </si>
  <si>
    <t>老凤祥</t>
  </si>
  <si>
    <t>神奇制药</t>
  </si>
  <si>
    <t>鑫源智造</t>
  </si>
  <si>
    <t>金枫酒业</t>
  </si>
  <si>
    <t>国新能源</t>
  </si>
  <si>
    <t>氯碱化工</t>
  </si>
  <si>
    <t>海立股份</t>
  </si>
  <si>
    <t>天宸股份</t>
  </si>
  <si>
    <t>华鑫股份</t>
  </si>
  <si>
    <t>光大嘉宝</t>
  </si>
  <si>
    <t>华谊集团</t>
  </si>
  <si>
    <t>ST复华</t>
  </si>
  <si>
    <t>申达股份</t>
  </si>
  <si>
    <t>新世界</t>
  </si>
  <si>
    <t>华建集团</t>
  </si>
  <si>
    <t>龙头股份</t>
  </si>
  <si>
    <t>浙数文化</t>
  </si>
  <si>
    <t>大众公用</t>
  </si>
  <si>
    <t>*ST国化</t>
  </si>
  <si>
    <t>东方明珠</t>
  </si>
  <si>
    <t>新黄浦</t>
  </si>
  <si>
    <t>浦东金桥</t>
  </si>
  <si>
    <t>国脉文化</t>
  </si>
  <si>
    <t>先导基电</t>
  </si>
  <si>
    <t>申能股份</t>
  </si>
  <si>
    <t>爱建集团</t>
  </si>
  <si>
    <t>乐山电力</t>
  </si>
  <si>
    <t>中源协和</t>
  </si>
  <si>
    <t>外高桥</t>
  </si>
  <si>
    <t>城投控股</t>
  </si>
  <si>
    <t>锦江在线</t>
  </si>
  <si>
    <t>飞乐音响</t>
  </si>
  <si>
    <t>申华控股</t>
  </si>
  <si>
    <t>中安科</t>
  </si>
  <si>
    <t>豫园股份</t>
  </si>
  <si>
    <t>信达地产</t>
  </si>
  <si>
    <t>电子城</t>
  </si>
  <si>
    <t>福耀玻璃</t>
  </si>
  <si>
    <t>昂立教育</t>
  </si>
  <si>
    <t>外服控股</t>
  </si>
  <si>
    <t>陆家嘴</t>
  </si>
  <si>
    <t>哈药股份</t>
  </si>
  <si>
    <t>天地源</t>
  </si>
  <si>
    <t>奥瑞德</t>
  </si>
  <si>
    <t>太极实业</t>
  </si>
  <si>
    <t>尖峰集团</t>
  </si>
  <si>
    <t>天目药业</t>
  </si>
  <si>
    <t>东阳光</t>
  </si>
  <si>
    <t>川投能源</t>
  </si>
  <si>
    <t>中华企业</t>
  </si>
  <si>
    <t>交运股份</t>
  </si>
  <si>
    <t>四川金顶</t>
  </si>
  <si>
    <t>上海凤凰</t>
  </si>
  <si>
    <t>百川能源</t>
  </si>
  <si>
    <t>南京新百</t>
  </si>
  <si>
    <t>京投发展</t>
  </si>
  <si>
    <t>珠江股份</t>
  </si>
  <si>
    <t>中船防务</t>
  </si>
  <si>
    <t>金龙汽车</t>
  </si>
  <si>
    <t>上海石化</t>
  </si>
  <si>
    <t>上海三毛</t>
  </si>
  <si>
    <t>海尔智家</t>
  </si>
  <si>
    <t>潞化科技</t>
  </si>
  <si>
    <t>亚通股份</t>
  </si>
  <si>
    <t>东百集团</t>
  </si>
  <si>
    <t>大商股份</t>
  </si>
  <si>
    <t>*ST岩石</t>
  </si>
  <si>
    <t>欧亚集团</t>
  </si>
  <si>
    <t>湖南天雁</t>
  </si>
  <si>
    <t>均胜电子</t>
  </si>
  <si>
    <t>舍得酒业</t>
  </si>
  <si>
    <t>三安光电</t>
  </si>
  <si>
    <t>物产中大</t>
  </si>
  <si>
    <t>曲江文旅</t>
  </si>
  <si>
    <t>彩虹股份</t>
  </si>
  <si>
    <t>光明地产</t>
  </si>
  <si>
    <t>苏美达</t>
  </si>
  <si>
    <t>盛屯矿业</t>
  </si>
  <si>
    <t>南宁百货</t>
  </si>
  <si>
    <t>南京医药</t>
  </si>
  <si>
    <t>金瑞矿业</t>
  </si>
  <si>
    <t>文投控股</t>
  </si>
  <si>
    <t>凤凰股份</t>
  </si>
  <si>
    <t>天津港</t>
  </si>
  <si>
    <t>东软集团</t>
  </si>
  <si>
    <t>大连热电</t>
  </si>
  <si>
    <t>中交设计</t>
  </si>
  <si>
    <t>百花医药</t>
  </si>
  <si>
    <t>金牛化工</t>
  </si>
  <si>
    <t>宁波富达</t>
  </si>
  <si>
    <t>云维股份</t>
  </si>
  <si>
    <t>华电能源</t>
  </si>
  <si>
    <t>鲁北化工</t>
  </si>
  <si>
    <t>佳都科技</t>
  </si>
  <si>
    <t>重庆百货</t>
  </si>
  <si>
    <t>中国高科</t>
  </si>
  <si>
    <t>湖南海利</t>
  </si>
  <si>
    <t>爱旭股份</t>
  </si>
  <si>
    <t>北汽蓝谷</t>
  </si>
  <si>
    <t>实达集团</t>
  </si>
  <si>
    <t>ST新华锦</t>
  </si>
  <si>
    <t>苏州高新</t>
  </si>
  <si>
    <t>中粮糖业</t>
  </si>
  <si>
    <t>丽尚国潮</t>
  </si>
  <si>
    <t>辽宁成大</t>
  </si>
  <si>
    <t>山西焦化</t>
  </si>
  <si>
    <t>华域汽车</t>
  </si>
  <si>
    <t>富维股份</t>
  </si>
  <si>
    <t>华远控股</t>
  </si>
  <si>
    <t>华银电力</t>
  </si>
  <si>
    <t>闻泰科技</t>
  </si>
  <si>
    <t>江苏索普</t>
  </si>
  <si>
    <t>上实发展</t>
  </si>
  <si>
    <t>西藏旅游</t>
  </si>
  <si>
    <t>江中药业</t>
  </si>
  <si>
    <t>海航科技</t>
  </si>
  <si>
    <t>*ST海钦</t>
  </si>
  <si>
    <t>锦江酒店</t>
  </si>
  <si>
    <t>厦门国贸</t>
  </si>
  <si>
    <t>浪潮软件</t>
  </si>
  <si>
    <t>长江传媒</t>
  </si>
  <si>
    <t>辽宁能源</t>
  </si>
  <si>
    <t>洲际油气</t>
  </si>
  <si>
    <t>中航沈飞</t>
  </si>
  <si>
    <t>安徽合力</t>
  </si>
  <si>
    <t>通策医疗</t>
  </si>
  <si>
    <t>中国海防</t>
  </si>
  <si>
    <t>中航重机</t>
  </si>
  <si>
    <t>宁波富邦</t>
  </si>
  <si>
    <t>祥龙电业</t>
  </si>
  <si>
    <t>综艺股份</t>
  </si>
  <si>
    <t>广誉远</t>
  </si>
  <si>
    <t>西藏城投</t>
  </si>
  <si>
    <t>汉商集团</t>
  </si>
  <si>
    <t>南京熊猫</t>
  </si>
  <si>
    <t>东方通信</t>
  </si>
  <si>
    <t>*ST新潮</t>
  </si>
  <si>
    <t>友好集团</t>
  </si>
  <si>
    <t>水井坊</t>
  </si>
  <si>
    <t>通宝能源</t>
  </si>
  <si>
    <t>新钢股份</t>
  </si>
  <si>
    <t>鲁信创投</t>
  </si>
  <si>
    <t>鲁银投资</t>
  </si>
  <si>
    <t>新华百货</t>
  </si>
  <si>
    <t>中储股份</t>
  </si>
  <si>
    <t>鲁抗医药</t>
  </si>
  <si>
    <t>轻纺城</t>
  </si>
  <si>
    <t>京能置业</t>
  </si>
  <si>
    <t>云煤能源</t>
  </si>
  <si>
    <t>宜宾纸业</t>
  </si>
  <si>
    <t>保税科技</t>
  </si>
  <si>
    <t>国电电力</t>
  </si>
  <si>
    <t>钱江生化</t>
  </si>
  <si>
    <t>浙大网新</t>
  </si>
  <si>
    <t>宁波海运</t>
  </si>
  <si>
    <t>渤海化学</t>
  </si>
  <si>
    <t>华新建材</t>
  </si>
  <si>
    <t>福建水泥</t>
  </si>
  <si>
    <t>新奥股份</t>
  </si>
  <si>
    <t>悦达投资</t>
  </si>
  <si>
    <t>济高发展</t>
  </si>
  <si>
    <t>马钢股份</t>
  </si>
  <si>
    <t>山西汾酒</t>
  </si>
  <si>
    <t>神马股份</t>
  </si>
  <si>
    <t>华北制药</t>
  </si>
  <si>
    <t>杭州解百</t>
  </si>
  <si>
    <t>厦工股份</t>
  </si>
  <si>
    <t>建元信托</t>
  </si>
  <si>
    <t>宇通重工</t>
  </si>
  <si>
    <t>中路股份</t>
  </si>
  <si>
    <t>耀皮玻璃</t>
  </si>
  <si>
    <t>隧道股份</t>
  </si>
  <si>
    <t>金开新能</t>
  </si>
  <si>
    <t>上海物贸</t>
  </si>
  <si>
    <t>益民集团</t>
  </si>
  <si>
    <t>新华传媒</t>
  </si>
  <si>
    <t>兰生股份</t>
  </si>
  <si>
    <t>百联股份</t>
  </si>
  <si>
    <t>茂业商业</t>
  </si>
  <si>
    <t>人民同泰</t>
  </si>
  <si>
    <t>香溢融通</t>
  </si>
  <si>
    <t>广电网络</t>
  </si>
  <si>
    <t>第一医药</t>
  </si>
  <si>
    <t>申通地铁</t>
  </si>
  <si>
    <t>上海机电</t>
  </si>
  <si>
    <t>上海九百</t>
  </si>
  <si>
    <t>四川长虹</t>
  </si>
  <si>
    <t>动力新科</t>
  </si>
  <si>
    <t>上工申贝</t>
  </si>
  <si>
    <t>金煤科技</t>
  </si>
  <si>
    <t>宝信软件</t>
  </si>
  <si>
    <t>同济科技</t>
  </si>
  <si>
    <t>万里股份</t>
  </si>
  <si>
    <t>上海临港</t>
  </si>
  <si>
    <t>电科数字</t>
  </si>
  <si>
    <t>海欣股份</t>
  </si>
  <si>
    <t>龙建股份</t>
  </si>
  <si>
    <t>春兰股份</t>
  </si>
  <si>
    <t>航天长峰</t>
  </si>
  <si>
    <t>宁波中百</t>
  </si>
  <si>
    <t>银座股份</t>
  </si>
  <si>
    <t>王府井</t>
  </si>
  <si>
    <t>京城股份</t>
  </si>
  <si>
    <t>北京人力</t>
  </si>
  <si>
    <t>中航高科</t>
  </si>
  <si>
    <t>内蒙华电</t>
  </si>
  <si>
    <t>哈投股份</t>
  </si>
  <si>
    <t>百大集团</t>
  </si>
  <si>
    <t>星湖科技</t>
  </si>
  <si>
    <t>通化东宝</t>
  </si>
  <si>
    <t>梅雁吉祥</t>
  </si>
  <si>
    <t>远东股份</t>
  </si>
  <si>
    <t>石化油服</t>
  </si>
  <si>
    <t>中炬高新</t>
  </si>
  <si>
    <t>梅花生物</t>
  </si>
  <si>
    <t>创业环保</t>
  </si>
  <si>
    <t>东方电气</t>
  </si>
  <si>
    <t>凯盛新能</t>
  </si>
  <si>
    <t>电科芯片</t>
  </si>
  <si>
    <t>航天电子</t>
  </si>
  <si>
    <t>博瑞传播</t>
  </si>
  <si>
    <t>亚泰集团</t>
  </si>
  <si>
    <t>妙可蓝多</t>
  </si>
  <si>
    <t>博闻科技</t>
  </si>
  <si>
    <t>杉杉股份</t>
  </si>
  <si>
    <t>宏发股份</t>
  </si>
  <si>
    <t>国投电力</t>
  </si>
  <si>
    <t>伊利股份</t>
  </si>
  <si>
    <t>新疆众和</t>
  </si>
  <si>
    <t>南京化纤</t>
  </si>
  <si>
    <t>*ST大晟</t>
  </si>
  <si>
    <t>航发动力</t>
  </si>
  <si>
    <t>广日股份</t>
  </si>
  <si>
    <t>张江高科</t>
  </si>
  <si>
    <t>厦门空港</t>
  </si>
  <si>
    <t>长江电力</t>
  </si>
  <si>
    <t>江苏金租</t>
  </si>
  <si>
    <t>贵州燃气</t>
  </si>
  <si>
    <t>三峡能源</t>
  </si>
  <si>
    <t>财达证券</t>
  </si>
  <si>
    <t>无锡银行</t>
  </si>
  <si>
    <t>华安证券</t>
  </si>
  <si>
    <t>中国黄金</t>
  </si>
  <si>
    <t>重庆燃气</t>
  </si>
  <si>
    <t>中泰证券</t>
  </si>
  <si>
    <t>XD江苏银</t>
  </si>
  <si>
    <t>苏能股份</t>
  </si>
  <si>
    <t>杭州银行</t>
  </si>
  <si>
    <t>永安期货</t>
  </si>
  <si>
    <t>西安银行</t>
  </si>
  <si>
    <t>雪天盐业</t>
  </si>
  <si>
    <t>华电新能</t>
  </si>
  <si>
    <t>爱柯迪</t>
  </si>
  <si>
    <t>华塑股份</t>
  </si>
  <si>
    <t>北投科技</t>
  </si>
  <si>
    <t>中国海油</t>
  </si>
  <si>
    <t>重庆建工</t>
  </si>
  <si>
    <t>中国移动</t>
  </si>
  <si>
    <t>维远股份</t>
  </si>
  <si>
    <t>新天绿能</t>
  </si>
  <si>
    <t>东方证券</t>
  </si>
  <si>
    <t>江苏有线</t>
  </si>
  <si>
    <t>渤海汽车</t>
  </si>
  <si>
    <t>株冶集团</t>
  </si>
  <si>
    <t>国投中鲁</t>
  </si>
  <si>
    <t>岳阳林纸</t>
  </si>
  <si>
    <t>福成股份</t>
  </si>
  <si>
    <t>博汇纸业</t>
  </si>
  <si>
    <t>内蒙一机</t>
  </si>
  <si>
    <t>海油发展</t>
  </si>
  <si>
    <t>郴电国际</t>
  </si>
  <si>
    <t>中材国际</t>
  </si>
  <si>
    <t>恒源煤电</t>
  </si>
  <si>
    <t>宝胜股份</t>
  </si>
  <si>
    <t>新五丰</t>
  </si>
  <si>
    <t>健民集团</t>
  </si>
  <si>
    <t>中国电影</t>
  </si>
  <si>
    <t>广安爱众</t>
  </si>
  <si>
    <t>北矿科技</t>
  </si>
  <si>
    <t>苏豪汇鸿</t>
  </si>
  <si>
    <t>宁波能源</t>
  </si>
  <si>
    <t>惠而浦</t>
  </si>
  <si>
    <t>建设机械</t>
  </si>
  <si>
    <t>淮北矿业</t>
  </si>
  <si>
    <t>浙文互联</t>
  </si>
  <si>
    <t>航民股份</t>
  </si>
  <si>
    <t>赤峰黄金</t>
  </si>
  <si>
    <t>宝丰能源</t>
  </si>
  <si>
    <t>四创电子</t>
  </si>
  <si>
    <t>贵绳股份</t>
  </si>
  <si>
    <t>马应龙</t>
  </si>
  <si>
    <t>南网储能</t>
  </si>
  <si>
    <t>贵广网络</t>
  </si>
  <si>
    <t>开滦股份</t>
  </si>
  <si>
    <t>九州通</t>
  </si>
  <si>
    <t>招商证券</t>
  </si>
  <si>
    <t>唐山港</t>
  </si>
  <si>
    <t>晋控煤业</t>
  </si>
  <si>
    <t>晋亿实业</t>
  </si>
  <si>
    <t>柳钢股份</t>
  </si>
  <si>
    <t>重庆钢铁</t>
  </si>
  <si>
    <t>大秦铁路</t>
  </si>
  <si>
    <t>金陵饭店</t>
  </si>
  <si>
    <t>连云港</t>
  </si>
  <si>
    <t>南京银行</t>
  </si>
  <si>
    <t>文峰股份</t>
  </si>
  <si>
    <t>宝泰隆</t>
  </si>
  <si>
    <t>隆基绿能</t>
  </si>
  <si>
    <t>陕西黑猫</t>
  </si>
  <si>
    <t>节能风电</t>
  </si>
  <si>
    <t>宁波港</t>
  </si>
  <si>
    <t>山东出版</t>
  </si>
  <si>
    <t>华钰矿业</t>
  </si>
  <si>
    <t>春秋航空</t>
  </si>
  <si>
    <t>宁波远洋</t>
  </si>
  <si>
    <t>道生天合</t>
  </si>
  <si>
    <t>永兴股份</t>
  </si>
  <si>
    <t>一拖股份</t>
  </si>
  <si>
    <t>赛轮轮胎</t>
  </si>
  <si>
    <t>信达证券</t>
  </si>
  <si>
    <t>中信金属</t>
  </si>
  <si>
    <t>江盐集团</t>
  </si>
  <si>
    <t>中信建投</t>
  </si>
  <si>
    <t>中铝国际</t>
  </si>
  <si>
    <t>西部黄金</t>
  </si>
  <si>
    <t>渝农商行</t>
  </si>
  <si>
    <t>锦江航运</t>
  </si>
  <si>
    <t>国芳集团</t>
  </si>
  <si>
    <t>中国神华</t>
  </si>
  <si>
    <t>福元医药</t>
  </si>
  <si>
    <t>宏盛华源</t>
  </si>
  <si>
    <t>中南传媒</t>
  </si>
  <si>
    <t>太平洋</t>
  </si>
  <si>
    <t>恒立液压</t>
  </si>
  <si>
    <t>昊华能源</t>
  </si>
  <si>
    <t>中国一重</t>
  </si>
  <si>
    <t>四川成渝</t>
  </si>
  <si>
    <t>财通证券</t>
  </si>
  <si>
    <t>中国国航</t>
  </si>
  <si>
    <t>华鼎股份</t>
  </si>
  <si>
    <t>三江购物</t>
  </si>
  <si>
    <t>中国化学</t>
  </si>
  <si>
    <t>海南橡胶</t>
  </si>
  <si>
    <t>宝地矿业</t>
  </si>
  <si>
    <t>四方股份</t>
  </si>
  <si>
    <t>赛力斯</t>
  </si>
  <si>
    <t>常熟银行</t>
  </si>
  <si>
    <t>柏诚股份</t>
  </si>
  <si>
    <t>首创证券</t>
  </si>
  <si>
    <t>博威合金</t>
  </si>
  <si>
    <t>工业富联</t>
  </si>
  <si>
    <t>深圳燃气</t>
  </si>
  <si>
    <t>新城控股</t>
  </si>
  <si>
    <t>东航物流</t>
  </si>
  <si>
    <t>重庆水务</t>
  </si>
  <si>
    <t>天风证券</t>
  </si>
  <si>
    <t>三角轮胎</t>
  </si>
  <si>
    <t>兴业银行</t>
  </si>
  <si>
    <t>西部矿业</t>
  </si>
  <si>
    <t>北京银行</t>
  </si>
  <si>
    <t>杭齿前进</t>
  </si>
  <si>
    <t>中国西电</t>
  </si>
  <si>
    <t>中国铁建</t>
  </si>
  <si>
    <t>厦门银行</t>
  </si>
  <si>
    <t>龙江交通</t>
  </si>
  <si>
    <t>东兴证券</t>
  </si>
  <si>
    <t>江南水务</t>
  </si>
  <si>
    <t>上海环境</t>
  </si>
  <si>
    <t>东材科技</t>
  </si>
  <si>
    <t>国泰海通</t>
  </si>
  <si>
    <t>白银有色</t>
  </si>
  <si>
    <t>君正集团</t>
  </si>
  <si>
    <t>吉鑫科技</t>
  </si>
  <si>
    <t>林洋能源</t>
  </si>
  <si>
    <t>陕西煤业</t>
  </si>
  <si>
    <t>华电科工</t>
  </si>
  <si>
    <t>广州港</t>
  </si>
  <si>
    <t>上海银行</t>
  </si>
  <si>
    <t>环旭电子</t>
  </si>
  <si>
    <t>桐昆股份</t>
  </si>
  <si>
    <t>红塔证券</t>
  </si>
  <si>
    <t>广汽集团</t>
  </si>
  <si>
    <t>英利汽车</t>
  </si>
  <si>
    <t>农业银行</t>
  </si>
  <si>
    <t>国有大型银行</t>
  </si>
  <si>
    <t>青岛港</t>
  </si>
  <si>
    <t>骆驼股份</t>
  </si>
  <si>
    <t>中国平安</t>
  </si>
  <si>
    <t>保险</t>
  </si>
  <si>
    <t>中国人保</t>
  </si>
  <si>
    <t>秦港股份</t>
  </si>
  <si>
    <t>交通银行</t>
  </si>
  <si>
    <t>绿色动力</t>
  </si>
  <si>
    <t>广深铁路</t>
  </si>
  <si>
    <t>新华保险</t>
  </si>
  <si>
    <t>百隆东方</t>
  </si>
  <si>
    <t>三六零</t>
  </si>
  <si>
    <t>利群股份</t>
  </si>
  <si>
    <t>绿城水务</t>
  </si>
  <si>
    <t>陕鼓动力</t>
  </si>
  <si>
    <t>中原证券</t>
  </si>
  <si>
    <t>兴业证券</t>
  </si>
  <si>
    <t>怡球资源</t>
  </si>
  <si>
    <t>中国中铁</t>
  </si>
  <si>
    <t>工商银行</t>
  </si>
  <si>
    <t>国机重装</t>
  </si>
  <si>
    <t>国联民生</t>
  </si>
  <si>
    <t>通用股份</t>
  </si>
  <si>
    <t>中新集团</t>
  </si>
  <si>
    <t>衢州东峰</t>
  </si>
  <si>
    <t>吉林高速</t>
  </si>
  <si>
    <t>大智慧</t>
  </si>
  <si>
    <t>瑞丰银行</t>
  </si>
  <si>
    <t>东吴证券</t>
  </si>
  <si>
    <t>九牧王</t>
  </si>
  <si>
    <t>三星医疗</t>
  </si>
  <si>
    <t>北元集团</t>
  </si>
  <si>
    <t>长沙银行</t>
  </si>
  <si>
    <t>会稽山</t>
  </si>
  <si>
    <t>北辰实业</t>
  </si>
  <si>
    <t>上海电影</t>
  </si>
  <si>
    <t>中国外运</t>
  </si>
  <si>
    <t>浙文影业</t>
  </si>
  <si>
    <t>中国铝业</t>
  </si>
  <si>
    <t>中国太保</t>
  </si>
  <si>
    <t>长城军工</t>
  </si>
  <si>
    <t>上海医药</t>
  </si>
  <si>
    <t>中信重工</t>
  </si>
  <si>
    <t>金田股份</t>
  </si>
  <si>
    <t>中国核建</t>
  </si>
  <si>
    <t>明阳智能</t>
  </si>
  <si>
    <t>广电电气</t>
  </si>
  <si>
    <t>中国中冶</t>
  </si>
  <si>
    <t>嘉泽新能</t>
  </si>
  <si>
    <t>中国人寿</t>
  </si>
  <si>
    <t>长城汽车</t>
  </si>
  <si>
    <t>旗滨集团</t>
  </si>
  <si>
    <t>邮储银行</t>
  </si>
  <si>
    <t>齐鲁银行</t>
  </si>
  <si>
    <t>平煤股份</t>
  </si>
  <si>
    <t>中国建筑</t>
  </si>
  <si>
    <t>中国电建</t>
  </si>
  <si>
    <t>明泰铝业</t>
  </si>
  <si>
    <t>滨化股份</t>
  </si>
  <si>
    <t>友发集团</t>
  </si>
  <si>
    <t>华泰证券</t>
  </si>
  <si>
    <t>拓普集团</t>
  </si>
  <si>
    <t>中银证券</t>
  </si>
  <si>
    <t>中国卫通</t>
  </si>
  <si>
    <t>潞安环能</t>
  </si>
  <si>
    <t>风范股份</t>
  </si>
  <si>
    <t>华峰铝业</t>
  </si>
  <si>
    <t>中创智领</t>
  </si>
  <si>
    <t>际华集团</t>
  </si>
  <si>
    <t>上海电气</t>
  </si>
  <si>
    <t>中国电信</t>
  </si>
  <si>
    <t>中国中车</t>
  </si>
  <si>
    <t>千里科技</t>
  </si>
  <si>
    <t>晶科科技</t>
  </si>
  <si>
    <t>光大证券</t>
  </si>
  <si>
    <t>宁波建工</t>
  </si>
  <si>
    <t>蓝科高新</t>
  </si>
  <si>
    <t>星宇股份</t>
  </si>
  <si>
    <t>中国交建</t>
  </si>
  <si>
    <t>皖新传媒</t>
  </si>
  <si>
    <t>中海油服</t>
  </si>
  <si>
    <t>新华文轩</t>
  </si>
  <si>
    <t>京沪高铁</t>
  </si>
  <si>
    <t>光大银行</t>
  </si>
  <si>
    <t>沪农商行</t>
  </si>
  <si>
    <t>三峰环境</t>
  </si>
  <si>
    <t>美凯龙</t>
  </si>
  <si>
    <t>成都银行</t>
  </si>
  <si>
    <t>中国石油</t>
  </si>
  <si>
    <t>中国科传</t>
  </si>
  <si>
    <t>紫金银行</t>
  </si>
  <si>
    <t>福莱特</t>
  </si>
  <si>
    <t>中远海发</t>
  </si>
  <si>
    <t>中国能建</t>
  </si>
  <si>
    <t>长飞光纤</t>
  </si>
  <si>
    <t>招商轮船</t>
  </si>
  <si>
    <t>正泰电器</t>
  </si>
  <si>
    <t>浙商证券</t>
  </si>
  <si>
    <t>辽港股份</t>
  </si>
  <si>
    <t>中国银河</t>
  </si>
  <si>
    <t>海天精工</t>
  </si>
  <si>
    <t>江河集团</t>
  </si>
  <si>
    <t>中国中免</t>
  </si>
  <si>
    <t>亚星锚链</t>
  </si>
  <si>
    <t>中煤能源</t>
  </si>
  <si>
    <t>紫金矿业</t>
  </si>
  <si>
    <t>南方传媒</t>
  </si>
  <si>
    <t>方正证券</t>
  </si>
  <si>
    <t>京运通</t>
  </si>
  <si>
    <t>浙商银行</t>
  </si>
  <si>
    <t>新集能源</t>
  </si>
  <si>
    <t>中远海控</t>
  </si>
  <si>
    <t>浙版传媒</t>
  </si>
  <si>
    <t>凤凰传媒</t>
  </si>
  <si>
    <t>吉视传媒</t>
  </si>
  <si>
    <t>永辉超市</t>
  </si>
  <si>
    <t>建设银行</t>
  </si>
  <si>
    <t>中国出版</t>
  </si>
  <si>
    <t>苏垦农发</t>
  </si>
  <si>
    <t>东贝集团</t>
  </si>
  <si>
    <t>金钼股份</t>
  </si>
  <si>
    <t>重庆银行</t>
  </si>
  <si>
    <t>中国汽研</t>
  </si>
  <si>
    <t>玲珑轮胎</t>
  </si>
  <si>
    <t>宝钢包装</t>
  </si>
  <si>
    <t>海南矿业</t>
  </si>
  <si>
    <t>招商南油</t>
  </si>
  <si>
    <t>中国核电</t>
  </si>
  <si>
    <t>中国银行</t>
  </si>
  <si>
    <t>南京证券</t>
  </si>
  <si>
    <t>大唐发电</t>
  </si>
  <si>
    <t>金隅集团</t>
  </si>
  <si>
    <t>中金公司</t>
  </si>
  <si>
    <t>丰林集团</t>
  </si>
  <si>
    <t>贵阳银行</t>
  </si>
  <si>
    <t>中信银行</t>
  </si>
  <si>
    <t>出版传媒</t>
  </si>
  <si>
    <t>人民网</t>
  </si>
  <si>
    <t>奥康国际</t>
  </si>
  <si>
    <t>宏昌电子</t>
  </si>
  <si>
    <t>鼎龙科技</t>
  </si>
  <si>
    <t>晶方科技</t>
  </si>
  <si>
    <t>联明股份</t>
  </si>
  <si>
    <t>*ST花王</t>
  </si>
  <si>
    <t>喜临门</t>
  </si>
  <si>
    <t>北特科技</t>
  </si>
  <si>
    <t>万盛股份</t>
  </si>
  <si>
    <t>合锻智能</t>
  </si>
  <si>
    <t>创力集团</t>
  </si>
  <si>
    <t>亚普股份</t>
  </si>
  <si>
    <t>威高血净</t>
  </si>
  <si>
    <t>弘讯科技</t>
  </si>
  <si>
    <t>新宏泰</t>
  </si>
  <si>
    <t>中衡设计</t>
  </si>
  <si>
    <t>华设集团</t>
  </si>
  <si>
    <t>中科曙光</t>
  </si>
  <si>
    <t>爱普股份</t>
  </si>
  <si>
    <t>ST华鹏</t>
  </si>
  <si>
    <t>新通联</t>
  </si>
  <si>
    <t>威帝股份</t>
  </si>
  <si>
    <t>大豪科技</t>
  </si>
  <si>
    <t>石大胜华</t>
  </si>
  <si>
    <t>千禾味业</t>
  </si>
  <si>
    <t>赛福天</t>
  </si>
  <si>
    <t>天鹅股份</t>
  </si>
  <si>
    <t>全筑股份</t>
  </si>
  <si>
    <t>安孚科技</t>
  </si>
  <si>
    <t>德新科技</t>
  </si>
  <si>
    <t>三维股份</t>
  </si>
  <si>
    <t>常熟汽饰</t>
  </si>
  <si>
    <t>如通股份</t>
  </si>
  <si>
    <t>凯众股份</t>
  </si>
  <si>
    <t>华立股份</t>
  </si>
  <si>
    <t>泛微网络</t>
  </si>
  <si>
    <t>新坐标</t>
  </si>
  <si>
    <t>美思德</t>
  </si>
  <si>
    <t>华脉科技</t>
  </si>
  <si>
    <t>广州酒家</t>
  </si>
  <si>
    <t>福达合金</t>
  </si>
  <si>
    <t>浙江黎明</t>
  </si>
  <si>
    <t>中策橡胶</t>
  </si>
  <si>
    <t>科林电气</t>
  </si>
  <si>
    <t>鹿山新材</t>
  </si>
  <si>
    <t>可川科技</t>
  </si>
  <si>
    <t>成都燃气</t>
  </si>
  <si>
    <t>台华新材</t>
  </si>
  <si>
    <t>德邦股份</t>
  </si>
  <si>
    <t>紫燕食品</t>
  </si>
  <si>
    <t>永吉股份</t>
  </si>
  <si>
    <t>倍加洁</t>
  </si>
  <si>
    <t>国检集团</t>
  </si>
  <si>
    <t>金海通</t>
  </si>
  <si>
    <t>麦加芯彩</t>
  </si>
  <si>
    <t>禾望电气</t>
  </si>
  <si>
    <t>XD宿迁联</t>
  </si>
  <si>
    <t>音飞储存</t>
  </si>
  <si>
    <t>振华股份</t>
  </si>
  <si>
    <t>博通集成</t>
  </si>
  <si>
    <t>海汽集团</t>
  </si>
  <si>
    <t>万控智造</t>
  </si>
  <si>
    <t>物产环能</t>
  </si>
  <si>
    <t>天和磁材</t>
  </si>
  <si>
    <t>彩蝶实业</t>
  </si>
  <si>
    <t>热威股份</t>
  </si>
  <si>
    <t>乐惠国际</t>
  </si>
  <si>
    <t>和邦生物</t>
  </si>
  <si>
    <t>江化微</t>
  </si>
  <si>
    <t>圣达生物</t>
  </si>
  <si>
    <t>新疆火炬</t>
  </si>
  <si>
    <t>大丰实业</t>
  </si>
  <si>
    <t>北自科技</t>
  </si>
  <si>
    <t>剑桥科技</t>
  </si>
  <si>
    <t>天成自控</t>
  </si>
  <si>
    <t>先达股份</t>
  </si>
  <si>
    <t>甘李药业</t>
  </si>
  <si>
    <t>宁波精达</t>
  </si>
  <si>
    <t>正裕工业</t>
  </si>
  <si>
    <t>宏盛股份</t>
  </si>
  <si>
    <t>众鑫股份</t>
  </si>
  <si>
    <t>德力佳</t>
  </si>
  <si>
    <t>南华期货</t>
  </si>
  <si>
    <t>越剑智能</t>
  </si>
  <si>
    <t>新经典</t>
  </si>
  <si>
    <t>江苏华辰</t>
  </si>
  <si>
    <t>森特股份</t>
  </si>
  <si>
    <t>长白山</t>
  </si>
  <si>
    <t>川仪股份</t>
  </si>
  <si>
    <t>汇嘉时代</t>
  </si>
  <si>
    <t>百合股份</t>
  </si>
  <si>
    <t>横店影视</t>
  </si>
  <si>
    <t>芯能科技</t>
  </si>
  <si>
    <t>恒银科技</t>
  </si>
  <si>
    <t>上海汽配</t>
  </si>
  <si>
    <t>润达医疗</t>
  </si>
  <si>
    <t>神驰机电</t>
  </si>
  <si>
    <t>东方材料</t>
  </si>
  <si>
    <t>康尼机电</t>
  </si>
  <si>
    <t>华翔股份</t>
  </si>
  <si>
    <t>金能科技</t>
  </si>
  <si>
    <t>海星股份</t>
  </si>
  <si>
    <t>红蜻蜓</t>
  </si>
  <si>
    <t>万林物流</t>
  </si>
  <si>
    <t>共进股份</t>
  </si>
  <si>
    <t>浙江荣泰</t>
  </si>
  <si>
    <t>肯特催化</t>
  </si>
  <si>
    <t>华培动力</t>
  </si>
  <si>
    <t>合富中国</t>
  </si>
  <si>
    <t>翠微股份</t>
  </si>
  <si>
    <t>江南新材</t>
  </si>
  <si>
    <t>常青科技</t>
  </si>
  <si>
    <t>中材节能</t>
  </si>
  <si>
    <t>昭衍新药</t>
  </si>
  <si>
    <t>华贸物流</t>
  </si>
  <si>
    <t>春风动力</t>
  </si>
  <si>
    <t>云中马</t>
  </si>
  <si>
    <t>上海沪工</t>
  </si>
  <si>
    <t>金徽股份</t>
  </si>
  <si>
    <t>中重科技</t>
  </si>
  <si>
    <t>天目湖</t>
  </si>
  <si>
    <t>恒尚节能</t>
  </si>
  <si>
    <t>海量数据</t>
  </si>
  <si>
    <t>康惠股份</t>
  </si>
  <si>
    <t>万朗磁塑</t>
  </si>
  <si>
    <t>邦基科技</t>
  </si>
  <si>
    <t>上海建科</t>
  </si>
  <si>
    <t>新亚强</t>
  </si>
  <si>
    <t>养元饮品</t>
  </si>
  <si>
    <t>腾龙股份</t>
  </si>
  <si>
    <t>上海亚虹</t>
  </si>
  <si>
    <t>汇顶科技</t>
  </si>
  <si>
    <t>科华控股</t>
  </si>
  <si>
    <t>海通发展</t>
  </si>
  <si>
    <t>圣晖集成</t>
  </si>
  <si>
    <t>荣晟环保</t>
  </si>
  <si>
    <t>福达股份</t>
  </si>
  <si>
    <t>渤海轮渡</t>
  </si>
  <si>
    <t>莎普爱思</t>
  </si>
  <si>
    <t>兰石重装</t>
  </si>
  <si>
    <t>宝立食品</t>
  </si>
  <si>
    <t>税友股份</t>
  </si>
  <si>
    <t>万丰股份</t>
  </si>
  <si>
    <t>福斯达</t>
  </si>
  <si>
    <t>超颖电子</t>
  </si>
  <si>
    <t>汇通集团</t>
  </si>
  <si>
    <t>德创环保</t>
  </si>
  <si>
    <t>圣龙股份</t>
  </si>
  <si>
    <t>新泉股份</t>
  </si>
  <si>
    <t>金牌家居</t>
  </si>
  <si>
    <t>皇马科技</t>
  </si>
  <si>
    <t>嘉华股份</t>
  </si>
  <si>
    <t>建研院</t>
  </si>
  <si>
    <t>弘元绿能</t>
  </si>
  <si>
    <t>华正新材</t>
  </si>
  <si>
    <t>海容冷链</t>
  </si>
  <si>
    <t>亚邦股份</t>
  </si>
  <si>
    <t>网达软件</t>
  </si>
  <si>
    <t>亚通精工</t>
  </si>
  <si>
    <t>望变电气</t>
  </si>
  <si>
    <t>汇得科技</t>
  </si>
  <si>
    <t>润本股份</t>
  </si>
  <si>
    <t>中力股份</t>
  </si>
  <si>
    <t>公牛集团</t>
  </si>
  <si>
    <t>日播时尚</t>
  </si>
  <si>
    <t>保隆科技</t>
  </si>
  <si>
    <t>迎驾贡酒</t>
  </si>
  <si>
    <t>九华旅游</t>
  </si>
  <si>
    <t>上海洗霸</t>
  </si>
  <si>
    <t>常润股份</t>
  </si>
  <si>
    <t>天有为</t>
  </si>
  <si>
    <t>快克智能</t>
  </si>
  <si>
    <t>健尔康</t>
  </si>
  <si>
    <t>嘉环科技</t>
  </si>
  <si>
    <t>小方制药</t>
  </si>
  <si>
    <t>江山欧派</t>
  </si>
  <si>
    <t>兴通股份</t>
  </si>
  <si>
    <t>泰鸿万立</t>
  </si>
  <si>
    <t>晋拓股份</t>
  </si>
  <si>
    <t>赛伍技术</t>
  </si>
  <si>
    <t>镇洋发展</t>
  </si>
  <si>
    <t>爱婴室</t>
  </si>
  <si>
    <t>比依股份</t>
  </si>
  <si>
    <t>梦天家居</t>
  </si>
  <si>
    <t>元利科技</t>
  </si>
  <si>
    <t>日月股份</t>
  </si>
  <si>
    <t>富佳股份</t>
  </si>
  <si>
    <t>中贝通信</t>
  </si>
  <si>
    <t>爱丽家居</t>
  </si>
  <si>
    <t>济民健康</t>
  </si>
  <si>
    <t>恒通股份</t>
  </si>
  <si>
    <t>公路货运</t>
  </si>
  <si>
    <t>新凤鸣</t>
  </si>
  <si>
    <t>菲林格尔</t>
  </si>
  <si>
    <t>雪峰科技</t>
  </si>
  <si>
    <t>景旺电子</t>
  </si>
  <si>
    <t>奥翔药业</t>
  </si>
  <si>
    <t>内蒙新华</t>
  </si>
  <si>
    <t>索宝蛋白</t>
  </si>
  <si>
    <t>格尔软件</t>
  </si>
  <si>
    <t>大参林</t>
  </si>
  <si>
    <t>天新药业</t>
  </si>
  <si>
    <t>移远通信</t>
  </si>
  <si>
    <t>五芳斋</t>
  </si>
  <si>
    <t>诺邦股份</t>
  </si>
  <si>
    <t>浙江仙通</t>
  </si>
  <si>
    <t>锡华科技</t>
  </si>
  <si>
    <t>鼎际得</t>
  </si>
  <si>
    <t>宏和科技</t>
  </si>
  <si>
    <t>中国瑞林</t>
  </si>
  <si>
    <t>电魂网络</t>
  </si>
  <si>
    <t>药明康德</t>
  </si>
  <si>
    <t>合盛硅业</t>
  </si>
  <si>
    <t>*ST立航</t>
  </si>
  <si>
    <t>技源集团</t>
  </si>
  <si>
    <t>天龙股份</t>
  </si>
  <si>
    <t>鸿远电子</t>
  </si>
  <si>
    <t>*ST松发</t>
  </si>
  <si>
    <t>海鸥股份</t>
  </si>
  <si>
    <t>金帝股份</t>
  </si>
  <si>
    <t>永杰新材</t>
  </si>
  <si>
    <t>联翔股份</t>
  </si>
  <si>
    <t>天元智能</t>
  </si>
  <si>
    <t>众辰科技</t>
  </si>
  <si>
    <t>恒兴新材</t>
  </si>
  <si>
    <t>银都股份</t>
  </si>
  <si>
    <t>大业股份</t>
  </si>
  <si>
    <t>景津装备</t>
  </si>
  <si>
    <t>南方路机</t>
  </si>
  <si>
    <t>江瀚新材</t>
  </si>
  <si>
    <t>亚光股份</t>
  </si>
  <si>
    <t>赛腾股份</t>
  </si>
  <si>
    <t>键邦股份</t>
  </si>
  <si>
    <t>日盈电子</t>
  </si>
  <si>
    <t>海天味业</t>
  </si>
  <si>
    <t>泰瑞机器</t>
  </si>
  <si>
    <t>斯达半导</t>
  </si>
  <si>
    <t>联合水务</t>
  </si>
  <si>
    <t>华勤技术</t>
  </si>
  <si>
    <t>永新光学</t>
  </si>
  <si>
    <t>杭叉集团</t>
  </si>
  <si>
    <t>苏盐井神</t>
  </si>
  <si>
    <t>海南华铁</t>
  </si>
  <si>
    <t>振德医疗</t>
  </si>
  <si>
    <t>得邦照明</t>
  </si>
  <si>
    <t>旭升集团</t>
  </si>
  <si>
    <t>华懋科技</t>
  </si>
  <si>
    <t>扬州金泉</t>
  </si>
  <si>
    <t>应流股份</t>
  </si>
  <si>
    <t>维力医疗</t>
  </si>
  <si>
    <t>巍华新材</t>
  </si>
  <si>
    <t>金海高科</t>
  </si>
  <si>
    <t>西典新能</t>
  </si>
  <si>
    <t>梦百合</t>
  </si>
  <si>
    <t>福鞍股份</t>
  </si>
  <si>
    <t>诚邦股份</t>
  </si>
  <si>
    <t>天味食品</t>
  </si>
  <si>
    <t>水发燃气</t>
  </si>
  <si>
    <t>美湖股份</t>
  </si>
  <si>
    <t>迪贝电气</t>
  </si>
  <si>
    <t>梅轮电梯</t>
  </si>
  <si>
    <t>超讯通信</t>
  </si>
  <si>
    <t>苏农银行</t>
  </si>
  <si>
    <t>盛剑科技</t>
  </si>
  <si>
    <t>博隆技术</t>
  </si>
  <si>
    <t>我乐家居</t>
  </si>
  <si>
    <t>福蓉科技</t>
  </si>
  <si>
    <t>依顿电子</t>
  </si>
  <si>
    <t>上海雅仕</t>
  </si>
  <si>
    <t>天洋新材</t>
  </si>
  <si>
    <t>百达精工</t>
  </si>
  <si>
    <t>苏州龙杰</t>
  </si>
  <si>
    <t>尚纬股份</t>
  </si>
  <si>
    <t>丰倍生物</t>
  </si>
  <si>
    <t>迪生力</t>
  </si>
  <si>
    <t>宏辉果蔬</t>
  </si>
  <si>
    <t>杰克科技</t>
  </si>
  <si>
    <t>浙江鼎力</t>
  </si>
  <si>
    <t>四方科技</t>
  </si>
  <si>
    <t>龙旗科技</t>
  </si>
  <si>
    <t>星德胜</t>
  </si>
  <si>
    <t>安井食品</t>
  </si>
  <si>
    <t>文灿股份</t>
  </si>
  <si>
    <t>安乃达</t>
  </si>
  <si>
    <t>威尔药业</t>
  </si>
  <si>
    <t>和顺石油</t>
  </si>
  <si>
    <t>莱克电气</t>
  </si>
  <si>
    <t>华菱精工</t>
  </si>
  <si>
    <t>设计总院</t>
  </si>
  <si>
    <t>华达科技</t>
  </si>
  <si>
    <t>东珠生态</t>
  </si>
  <si>
    <t>百傲化学</t>
  </si>
  <si>
    <t>傲农生物</t>
  </si>
  <si>
    <t>水星家纺</t>
  </si>
  <si>
    <t>日出东方</t>
  </si>
  <si>
    <t>卫浴电器</t>
  </si>
  <si>
    <t>辰欣药业</t>
  </si>
  <si>
    <t>柳药集团</t>
  </si>
  <si>
    <t>今世缘</t>
  </si>
  <si>
    <t>华新精科</t>
  </si>
  <si>
    <t>安邦护卫</t>
  </si>
  <si>
    <t>盛景微</t>
  </si>
  <si>
    <t>大明电子</t>
  </si>
  <si>
    <t>ST东时</t>
  </si>
  <si>
    <t>亚士创能</t>
  </si>
  <si>
    <t>涂料</t>
  </si>
  <si>
    <t>三美股份</t>
  </si>
  <si>
    <t>易德龙</t>
  </si>
  <si>
    <t>永臻股份</t>
  </si>
  <si>
    <t>海阳科技</t>
  </si>
  <si>
    <t>顶点软件</t>
  </si>
  <si>
    <t>惠达卫浴</t>
  </si>
  <si>
    <t>骏亚科技</t>
  </si>
  <si>
    <t>基蛋生物</t>
  </si>
  <si>
    <t>*ST亚振</t>
  </si>
  <si>
    <t>通达电气</t>
  </si>
  <si>
    <t>力聚热能</t>
  </si>
  <si>
    <t>万泰生物</t>
  </si>
  <si>
    <t>新天然气</t>
  </si>
  <si>
    <t>红四方</t>
  </si>
  <si>
    <t>金辰股份</t>
  </si>
  <si>
    <t>*ST沐邦</t>
  </si>
  <si>
    <t>永杉锂业</t>
  </si>
  <si>
    <t>华之杰</t>
  </si>
  <si>
    <t>陕西旅游</t>
  </si>
  <si>
    <t>天富龙</t>
  </si>
  <si>
    <t>建霖家居</t>
  </si>
  <si>
    <t>汇通控股</t>
  </si>
  <si>
    <t>信捷电气</t>
  </si>
  <si>
    <t>友升股份</t>
  </si>
  <si>
    <t>鼎信通讯</t>
  </si>
  <si>
    <t>集友股份</t>
  </si>
  <si>
    <t>三力制药</t>
  </si>
  <si>
    <t>吉比特</t>
  </si>
  <si>
    <t>九洲药业</t>
  </si>
  <si>
    <t>勘设股份</t>
  </si>
  <si>
    <t>风语筑</t>
  </si>
  <si>
    <t>其他数字媒体</t>
  </si>
  <si>
    <t>巨星农牧</t>
  </si>
  <si>
    <t>科沃斯</t>
  </si>
  <si>
    <t>展鹏科技</t>
  </si>
  <si>
    <t>八方股份</t>
  </si>
  <si>
    <t>恒为科技</t>
  </si>
  <si>
    <t>翔港科技</t>
  </si>
  <si>
    <t>祥和实业</t>
  </si>
  <si>
    <t>豪威集团</t>
  </si>
  <si>
    <t>金石资源</t>
  </si>
  <si>
    <t>南都物业</t>
  </si>
  <si>
    <t>振江股份</t>
  </si>
  <si>
    <t>思维列控</t>
  </si>
  <si>
    <t>爱慕股份</t>
  </si>
  <si>
    <t>欧普照明</t>
  </si>
  <si>
    <t>淳中科技</t>
  </si>
  <si>
    <t>ST绝味</t>
  </si>
  <si>
    <t>锦泓集团</t>
  </si>
  <si>
    <t>立霸股份</t>
  </si>
  <si>
    <t>司太立</t>
  </si>
  <si>
    <t>众源新材</t>
  </si>
  <si>
    <t>多伦科技</t>
  </si>
  <si>
    <t>爱玛科技</t>
  </si>
  <si>
    <t>神马电力</t>
  </si>
  <si>
    <t>掌阅科技</t>
  </si>
  <si>
    <t>嘉诚国际</t>
  </si>
  <si>
    <t>惠发食品</t>
  </si>
  <si>
    <t>美诺华</t>
  </si>
  <si>
    <t>奥普科技</t>
  </si>
  <si>
    <t>海兴电力</t>
  </si>
  <si>
    <t>ST起步</t>
  </si>
  <si>
    <t>健盛集团</t>
  </si>
  <si>
    <t>ST通脉</t>
  </si>
  <si>
    <t>中谷物流</t>
  </si>
  <si>
    <t>普莱柯</t>
  </si>
  <si>
    <t>珍宝岛</t>
  </si>
  <si>
    <t>伟明环保</t>
  </si>
  <si>
    <t>长久物流</t>
  </si>
  <si>
    <t>汇金通</t>
  </si>
  <si>
    <t>三星新材</t>
  </si>
  <si>
    <t>荣泰健康</t>
  </si>
  <si>
    <t>*ST艾艾</t>
  </si>
  <si>
    <t>捷昌驱动</t>
  </si>
  <si>
    <t>苏利股份</t>
  </si>
  <si>
    <t>金麒麟</t>
  </si>
  <si>
    <t>地素时尚</t>
  </si>
  <si>
    <t>高能环境</t>
  </si>
  <si>
    <t>口子窖</t>
  </si>
  <si>
    <t>康辰药业</t>
  </si>
  <si>
    <t>ST东尼</t>
  </si>
  <si>
    <t>伯特利</t>
  </si>
  <si>
    <t>引力传媒</t>
  </si>
  <si>
    <t>广信股份</t>
  </si>
  <si>
    <t>永艺股份</t>
  </si>
  <si>
    <t>再升科技</t>
  </si>
  <si>
    <t>纵横通信</t>
  </si>
  <si>
    <t>珀莱雅</t>
  </si>
  <si>
    <t>东方电缆</t>
  </si>
  <si>
    <t>京华激光</t>
  </si>
  <si>
    <t>天创时尚</t>
  </si>
  <si>
    <t>禾丰股份</t>
  </si>
  <si>
    <t>麒盛科技</t>
  </si>
  <si>
    <t>诺力股份</t>
  </si>
  <si>
    <t>索通发展</t>
  </si>
  <si>
    <t>国联股份</t>
  </si>
  <si>
    <t>茶花股份</t>
  </si>
  <si>
    <t>韩建河山</t>
  </si>
  <si>
    <t>君禾股份</t>
  </si>
  <si>
    <t>杭电股份</t>
  </si>
  <si>
    <t>中曼石油</t>
  </si>
  <si>
    <t>科森科技</t>
  </si>
  <si>
    <t>清源股份</t>
  </si>
  <si>
    <t>利通电子</t>
  </si>
  <si>
    <t>拉芳家化</t>
  </si>
  <si>
    <t>徕木股份</t>
  </si>
  <si>
    <t>南威软件</t>
  </si>
  <si>
    <t>镇海股份</t>
  </si>
  <si>
    <t>艾迪精密</t>
  </si>
  <si>
    <t>海利尔</t>
  </si>
  <si>
    <t>畅联股份</t>
  </si>
  <si>
    <t>彤程新材</t>
  </si>
  <si>
    <t>朗博科技</t>
  </si>
  <si>
    <t>泰禾智能</t>
  </si>
  <si>
    <t>春光科技</t>
  </si>
  <si>
    <t>安图生物</t>
  </si>
  <si>
    <t>璞泰来</t>
  </si>
  <si>
    <t>苏州科达</t>
  </si>
  <si>
    <t>恒林股份</t>
  </si>
  <si>
    <t>柯力传感</t>
  </si>
  <si>
    <t>三祥新材</t>
  </si>
  <si>
    <t>康隆达</t>
  </si>
  <si>
    <t>亿嘉和</t>
  </si>
  <si>
    <t>五洲新春</t>
  </si>
  <si>
    <t>天马科技</t>
  </si>
  <si>
    <t>灵康药业</t>
  </si>
  <si>
    <t>卫信康</t>
  </si>
  <si>
    <t>奇精机械</t>
  </si>
  <si>
    <t>火炬电子</t>
  </si>
  <si>
    <t>华体科技</t>
  </si>
  <si>
    <t>今创集团</t>
  </si>
  <si>
    <t>永冠新材</t>
  </si>
  <si>
    <t>锦和商管</t>
  </si>
  <si>
    <t>晶华新材</t>
  </si>
  <si>
    <t>晨丰科技</t>
  </si>
  <si>
    <t>福龙马</t>
  </si>
  <si>
    <t>大胜达</t>
  </si>
  <si>
    <t>石英股份</t>
  </si>
  <si>
    <t>皖天然气</t>
  </si>
  <si>
    <t>至纯科技</t>
  </si>
  <si>
    <t>江苏新能</t>
  </si>
  <si>
    <t>安记食品</t>
  </si>
  <si>
    <t>有友食品</t>
  </si>
  <si>
    <t>航天工程</t>
  </si>
  <si>
    <t>纽威股份</t>
  </si>
  <si>
    <t>宁水集团</t>
  </si>
  <si>
    <t>德宏股份</t>
  </si>
  <si>
    <t>盛洋科技</t>
  </si>
  <si>
    <t>东方环宇</t>
  </si>
  <si>
    <t>健友股份</t>
  </si>
  <si>
    <t>家家悦</t>
  </si>
  <si>
    <t>中源家居</t>
  </si>
  <si>
    <t>香飘飘</t>
  </si>
  <si>
    <t>七一二</t>
  </si>
  <si>
    <t>密尔克卫</t>
  </si>
  <si>
    <t>塞力医疗</t>
  </si>
  <si>
    <t>天域生物</t>
  </si>
  <si>
    <t>海利生物</t>
  </si>
  <si>
    <t>良品铺子</t>
  </si>
  <si>
    <t>*ST天择</t>
  </si>
  <si>
    <t>阿科力</t>
  </si>
  <si>
    <t>天安新材</t>
  </si>
  <si>
    <t>朗迪集团</t>
  </si>
  <si>
    <t>博迈科</t>
  </si>
  <si>
    <t>鸣志电器</t>
  </si>
  <si>
    <t>龙韵股份</t>
  </si>
  <si>
    <t>岱美股份</t>
  </si>
  <si>
    <t>仙鹤股份</t>
  </si>
  <si>
    <t>三棵树</t>
  </si>
  <si>
    <t>泰晶科技</t>
  </si>
  <si>
    <t>蔚蓝生物</t>
  </si>
  <si>
    <t>日辰股份</t>
  </si>
  <si>
    <t>大元泵业</t>
  </si>
  <si>
    <t>秦安股份</t>
  </si>
  <si>
    <t>海天股份</t>
  </si>
  <si>
    <t>隆鑫通用</t>
  </si>
  <si>
    <t>中马传动</t>
  </si>
  <si>
    <t>常青股份</t>
  </si>
  <si>
    <t>沃格光电</t>
  </si>
  <si>
    <t>永安行</t>
  </si>
  <si>
    <t>来伊份</t>
  </si>
  <si>
    <t>国晟科技</t>
  </si>
  <si>
    <t>威龙股份</t>
  </si>
  <si>
    <t>科博达</t>
  </si>
  <si>
    <t>新日股份</t>
  </si>
  <si>
    <t>宁波高发</t>
  </si>
  <si>
    <t>*ST星农</t>
  </si>
  <si>
    <t>雅运股份</t>
  </si>
  <si>
    <t>联泰环保</t>
  </si>
  <si>
    <t>康普顿</t>
  </si>
  <si>
    <t>华友钴业</t>
  </si>
  <si>
    <t>洪田股份</t>
  </si>
  <si>
    <t>志邦家居</t>
  </si>
  <si>
    <t>瑞斯康达</t>
  </si>
  <si>
    <t>福斯特</t>
  </si>
  <si>
    <t>歌力思</t>
  </si>
  <si>
    <t>豪能股份</t>
  </si>
  <si>
    <t>丰山集团</t>
  </si>
  <si>
    <t>诚意药业</t>
  </si>
  <si>
    <t>*ST原尚</t>
  </si>
  <si>
    <t>交建股份</t>
  </si>
  <si>
    <t>顾家家居</t>
  </si>
  <si>
    <t>海峡环保</t>
  </si>
  <si>
    <t>曲美家居</t>
  </si>
  <si>
    <t>神力股份</t>
  </si>
  <si>
    <t>ST嘉澳</t>
  </si>
  <si>
    <t>百合花</t>
  </si>
  <si>
    <t>ST华扬</t>
  </si>
  <si>
    <t>坤彩科技</t>
  </si>
  <si>
    <t>ST柯利达</t>
  </si>
  <si>
    <t>洛凯股份</t>
  </si>
  <si>
    <t>欧派家居</t>
  </si>
  <si>
    <t>海程邦达</t>
  </si>
  <si>
    <t>*ST四通</t>
  </si>
  <si>
    <t>安正时尚</t>
  </si>
  <si>
    <t>*ST正平</t>
  </si>
  <si>
    <t>好太太</t>
  </si>
  <si>
    <t>华荣股份</t>
  </si>
  <si>
    <t>东宏股份</t>
  </si>
  <si>
    <t>步长制药</t>
  </si>
  <si>
    <t>能科科技</t>
  </si>
  <si>
    <t>中公高科</t>
  </si>
  <si>
    <t>白云电器</t>
  </si>
  <si>
    <t>松炀资源</t>
  </si>
  <si>
    <t>桃李面包</t>
  </si>
  <si>
    <t>新化股份</t>
  </si>
  <si>
    <t>飞科电器</t>
  </si>
  <si>
    <t>ST智知</t>
  </si>
  <si>
    <t>嘉友国际</t>
  </si>
  <si>
    <t>鼎胜新材</t>
  </si>
  <si>
    <t>太平鸟</t>
  </si>
  <si>
    <t>武进不锈</t>
  </si>
  <si>
    <t>永悦科技</t>
  </si>
  <si>
    <t>南卫股份</t>
  </si>
  <si>
    <t>数据港</t>
  </si>
  <si>
    <t>金域医学</t>
  </si>
  <si>
    <t>老百姓</t>
  </si>
  <si>
    <t>吉祥航空</t>
  </si>
  <si>
    <t>元祖股份</t>
  </si>
  <si>
    <t>城地香江</t>
  </si>
  <si>
    <t>新华网</t>
  </si>
  <si>
    <t>新澳股份</t>
  </si>
  <si>
    <t>春秋电子</t>
  </si>
  <si>
    <t>瑞芯微</t>
  </si>
  <si>
    <t>天永智能</t>
  </si>
  <si>
    <t>寿仙谷</t>
  </si>
  <si>
    <t>长城科技</t>
  </si>
  <si>
    <t>好莱客</t>
  </si>
  <si>
    <t>晨光股份</t>
  </si>
  <si>
    <t>莱绅通灵</t>
  </si>
  <si>
    <t>永创智能</t>
  </si>
  <si>
    <t>中持股份</t>
  </si>
  <si>
    <t>龙蟠科技</t>
  </si>
  <si>
    <t>牧高笛</t>
  </si>
  <si>
    <t>建发合诚</t>
  </si>
  <si>
    <t>佳力图</t>
  </si>
  <si>
    <t>国茂股份</t>
  </si>
  <si>
    <t>苏博特</t>
  </si>
  <si>
    <t>合力科技</t>
  </si>
  <si>
    <t>金桥信息</t>
  </si>
  <si>
    <t>金徽酒</t>
  </si>
  <si>
    <t>世运电路</t>
  </si>
  <si>
    <t>金鸿顺</t>
  </si>
  <si>
    <t>铁流股份</t>
  </si>
  <si>
    <t>中科软</t>
  </si>
  <si>
    <t>兴业股份</t>
  </si>
  <si>
    <t>亚翔集成</t>
  </si>
  <si>
    <t>格林达</t>
  </si>
  <si>
    <t>睿能科技</t>
  </si>
  <si>
    <t>博敏电子</t>
  </si>
  <si>
    <t>丽岛新材</t>
  </si>
  <si>
    <t>三孚股份</t>
  </si>
  <si>
    <t>益丰药房</t>
  </si>
  <si>
    <t>建业股份</t>
  </si>
  <si>
    <t>雪龙集团</t>
  </si>
  <si>
    <t>长源东谷</t>
  </si>
  <si>
    <t>大千生态</t>
  </si>
  <si>
    <t>威派格</t>
  </si>
  <si>
    <t>哈森股份</t>
  </si>
  <si>
    <t>百利科技</t>
  </si>
  <si>
    <t>克来机电</t>
  </si>
  <si>
    <t>法兰泰克</t>
  </si>
  <si>
    <t>中创物流</t>
  </si>
  <si>
    <t>醋化股份</t>
  </si>
  <si>
    <t>银龙股份</t>
  </si>
  <si>
    <t>中农立华</t>
  </si>
  <si>
    <t>正川股份</t>
  </si>
  <si>
    <t>国泰集团</t>
  </si>
  <si>
    <t>深圳新星</t>
  </si>
  <si>
    <t>金诚信</t>
  </si>
  <si>
    <t>吉华集团</t>
  </si>
  <si>
    <t>泉峰汽车</t>
  </si>
  <si>
    <t>丸美生物</t>
  </si>
  <si>
    <t>恒润股份</t>
  </si>
  <si>
    <t>兆易创新</t>
  </si>
  <si>
    <t>康德莱</t>
  </si>
  <si>
    <t>中电电机</t>
  </si>
  <si>
    <t>艾华集团</t>
  </si>
  <si>
    <t>麦迪科技</t>
  </si>
  <si>
    <t>至正股份</t>
  </si>
  <si>
    <t>松霖科技</t>
  </si>
  <si>
    <t>洛阳钼业</t>
  </si>
  <si>
    <t>甬金股份</t>
  </si>
  <si>
    <t>继峰股份</t>
  </si>
  <si>
    <t>方盛制药</t>
  </si>
  <si>
    <t>读者传媒</t>
  </si>
  <si>
    <t>威奥股份</t>
  </si>
  <si>
    <t>众望布艺</t>
  </si>
  <si>
    <t>合兴股份</t>
  </si>
  <si>
    <t>山东玻纤</t>
  </si>
  <si>
    <t>五洲特纸</t>
  </si>
  <si>
    <t>长鸿高科</t>
  </si>
  <si>
    <t>豪悦护理</t>
  </si>
  <si>
    <t>杭州热电</t>
  </si>
  <si>
    <t>百龙创园</t>
  </si>
  <si>
    <t>长华集团</t>
  </si>
  <si>
    <t>永和股份</t>
  </si>
  <si>
    <t>世茂能源</t>
  </si>
  <si>
    <t>美邦股份</t>
  </si>
  <si>
    <t>福然德</t>
  </si>
  <si>
    <t>迎丰股份</t>
  </si>
  <si>
    <t>咸亨国际</t>
  </si>
  <si>
    <t>澳弘电子</t>
  </si>
  <si>
    <t>联德股份</t>
  </si>
  <si>
    <t>天正电气</t>
  </si>
  <si>
    <t>明新旭腾</t>
  </si>
  <si>
    <t>正和生态</t>
  </si>
  <si>
    <t>华康股份</t>
  </si>
  <si>
    <t>浙江自然</t>
  </si>
  <si>
    <t>*ST太和</t>
  </si>
  <si>
    <t>龙高股份</t>
  </si>
  <si>
    <t>冠盛股份</t>
  </si>
  <si>
    <t>味知香</t>
  </si>
  <si>
    <t>九丰能源</t>
  </si>
  <si>
    <t>行动教育</t>
  </si>
  <si>
    <t>共创草坪</t>
  </si>
  <si>
    <t>华丰股份</t>
  </si>
  <si>
    <t>同庆楼</t>
  </si>
  <si>
    <t>新洁能</t>
  </si>
  <si>
    <t>奥锐特</t>
  </si>
  <si>
    <t>德业股份</t>
  </si>
  <si>
    <t>力鼎光电</t>
  </si>
  <si>
    <t>四方新材</t>
  </si>
  <si>
    <t>派克新材</t>
  </si>
  <si>
    <t>上海沿浦</t>
  </si>
  <si>
    <t>嵘泰股份</t>
  </si>
  <si>
    <t>丽人丽妆</t>
  </si>
  <si>
    <t>盛泰集团</t>
  </si>
  <si>
    <t>西上海</t>
  </si>
  <si>
    <t>西大门</t>
  </si>
  <si>
    <t>华达新材</t>
  </si>
  <si>
    <t>新中港</t>
  </si>
  <si>
    <t>聚合顺</t>
  </si>
  <si>
    <t>利柏特</t>
  </si>
  <si>
    <t>三人行</t>
  </si>
  <si>
    <t>洪通燃气</t>
  </si>
  <si>
    <t>东亚药业</t>
  </si>
  <si>
    <t>时空科技</t>
  </si>
  <si>
    <t>一鸣食品</t>
  </si>
  <si>
    <t>华生科技</t>
  </si>
  <si>
    <t>确成股份</t>
  </si>
  <si>
    <t>健麾信息</t>
  </si>
  <si>
    <t>国光连锁</t>
  </si>
  <si>
    <t>富春染织</t>
  </si>
  <si>
    <t>华通线缆</t>
  </si>
  <si>
    <t>安德利</t>
  </si>
  <si>
    <t>ST葫芦娃</t>
  </si>
  <si>
    <t>永茂泰</t>
  </si>
  <si>
    <t>伟时电子</t>
  </si>
  <si>
    <t>起帆电缆</t>
  </si>
  <si>
    <t>神通科技</t>
  </si>
  <si>
    <t>天普股份</t>
  </si>
  <si>
    <t>协和电子</t>
  </si>
  <si>
    <t>绿田机械</t>
  </si>
  <si>
    <t>健之佳</t>
  </si>
  <si>
    <t>王力安防</t>
  </si>
  <si>
    <t>新亚电子</t>
  </si>
  <si>
    <t>同力天启</t>
  </si>
  <si>
    <t>德才股份</t>
  </si>
  <si>
    <t>凯迪股份</t>
  </si>
  <si>
    <t>罗曼股份</t>
  </si>
  <si>
    <t>神农集团</t>
  </si>
  <si>
    <t>必得科技</t>
  </si>
  <si>
    <t>舒华体育</t>
  </si>
  <si>
    <t>佳禾食品</t>
  </si>
  <si>
    <t>园林股份</t>
  </si>
  <si>
    <t>中际联合</t>
  </si>
  <si>
    <t>法狮龙</t>
  </si>
  <si>
    <t>无锡振华</t>
  </si>
  <si>
    <t>沪光股份</t>
  </si>
  <si>
    <t>帅丰电器</t>
  </si>
  <si>
    <t>李子园</t>
  </si>
  <si>
    <t>巴比食品</t>
  </si>
  <si>
    <t>南侨食品</t>
  </si>
  <si>
    <t>立昂微</t>
  </si>
  <si>
    <t>立达信</t>
  </si>
  <si>
    <t>宏柏新材</t>
  </si>
  <si>
    <t>蓝天燃气</t>
  </si>
  <si>
    <t>拱东医疗</t>
  </si>
  <si>
    <t>博迁新材</t>
  </si>
  <si>
    <t>镍</t>
  </si>
  <si>
    <t>华旺科技</t>
  </si>
  <si>
    <t>野马电池</t>
  </si>
  <si>
    <t>均瑶健康</t>
  </si>
  <si>
    <t>长龄液压</t>
  </si>
  <si>
    <t>新炬网络</t>
  </si>
  <si>
    <t>晨光新材</t>
  </si>
  <si>
    <t>福莱新材</t>
  </si>
  <si>
    <t>东鹏饮料</t>
  </si>
  <si>
    <t>森林包装</t>
  </si>
  <si>
    <t>国邦医药</t>
  </si>
  <si>
    <t>德昌股份</t>
  </si>
  <si>
    <t>福莱蒽特</t>
  </si>
  <si>
    <t>春雪食品</t>
  </si>
  <si>
    <t>龙版传媒</t>
  </si>
  <si>
    <t>恒盛能源</t>
  </si>
  <si>
    <t>冠石科技</t>
  </si>
  <si>
    <t>圣泉集团</t>
  </si>
  <si>
    <t>上海港湾</t>
  </si>
  <si>
    <t>菜百股份</t>
  </si>
  <si>
    <t>华兴源创</t>
  </si>
  <si>
    <t>睿创微纳</t>
  </si>
  <si>
    <t>天准科技</t>
  </si>
  <si>
    <t>博汇科技</t>
  </si>
  <si>
    <t>容百科技</t>
  </si>
  <si>
    <t>杭可科技</t>
  </si>
  <si>
    <t>光峰科技</t>
  </si>
  <si>
    <t>澜起科技</t>
  </si>
  <si>
    <t>中国通号</t>
  </si>
  <si>
    <t>福光股份</t>
  </si>
  <si>
    <t>新光光电</t>
  </si>
  <si>
    <t>中微公司</t>
  </si>
  <si>
    <t>天臣医疗</t>
  </si>
  <si>
    <t>交控科技</t>
  </si>
  <si>
    <t>心脉医疗</t>
  </si>
  <si>
    <t>绿的谐波</t>
  </si>
  <si>
    <t>乐鑫科技</t>
  </si>
  <si>
    <t>安集科技</t>
  </si>
  <si>
    <t>方邦股份</t>
  </si>
  <si>
    <t>奥福科技</t>
  </si>
  <si>
    <t>瀚川智能</t>
  </si>
  <si>
    <t>安恒信息</t>
  </si>
  <si>
    <t>杰普特</t>
  </si>
  <si>
    <t>洁特生物</t>
  </si>
  <si>
    <t>国盾量子</t>
  </si>
  <si>
    <t>沃尔德</t>
  </si>
  <si>
    <t>南微医学</t>
  </si>
  <si>
    <t>山石网科</t>
  </si>
  <si>
    <t>星环科技-U</t>
  </si>
  <si>
    <t>禾迈股份</t>
  </si>
  <si>
    <t>天宜新材</t>
  </si>
  <si>
    <t>德邦科技</t>
  </si>
  <si>
    <t>传音控股</t>
  </si>
  <si>
    <t>芯源微</t>
  </si>
  <si>
    <t>中科通达</t>
  </si>
  <si>
    <t>当虹科技</t>
  </si>
  <si>
    <t>海光信息</t>
  </si>
  <si>
    <t>必易微</t>
  </si>
  <si>
    <t>药康生物</t>
  </si>
  <si>
    <t>龙芯中科</t>
  </si>
  <si>
    <t>长光华芯</t>
  </si>
  <si>
    <t>炬芯科技</t>
  </si>
  <si>
    <t>爱博医疗</t>
  </si>
  <si>
    <t>佳华科技</t>
  </si>
  <si>
    <t>纳芯微</t>
  </si>
  <si>
    <t>ST思科瑞</t>
  </si>
  <si>
    <t>龙腾光电</t>
  </si>
  <si>
    <t>莱伯泰科</t>
  </si>
  <si>
    <t>金达莱</t>
  </si>
  <si>
    <t>宝兰德</t>
  </si>
  <si>
    <t>华锐精密</t>
  </si>
  <si>
    <t>云涌科技</t>
  </si>
  <si>
    <t>灿瑞科技</t>
  </si>
  <si>
    <t>迈威生物-U</t>
  </si>
  <si>
    <t>派能科技</t>
  </si>
  <si>
    <t>凯赛生物</t>
  </si>
  <si>
    <t>航天宏图</t>
  </si>
  <si>
    <t>爱威科技</t>
  </si>
  <si>
    <t>热景生物</t>
  </si>
  <si>
    <t>德林海</t>
  </si>
  <si>
    <t>纵横股份</t>
  </si>
  <si>
    <t>华依科技</t>
  </si>
  <si>
    <t>拓荆科技</t>
  </si>
  <si>
    <t>毕得医药</t>
  </si>
  <si>
    <t>安旭生物</t>
  </si>
  <si>
    <t>ST诺泰</t>
  </si>
  <si>
    <t>大地熊</t>
  </si>
  <si>
    <t>龙软科技</t>
  </si>
  <si>
    <t>美迪凯</t>
  </si>
  <si>
    <t>映翰通</t>
  </si>
  <si>
    <t>兴图新科</t>
  </si>
  <si>
    <t>盛美上海</t>
  </si>
  <si>
    <t>中望软件</t>
  </si>
  <si>
    <t>晶品特装</t>
  </si>
  <si>
    <t>三友医疗</t>
  </si>
  <si>
    <t>英科再生</t>
  </si>
  <si>
    <t>虹软科技</t>
  </si>
  <si>
    <t>嘉必优</t>
  </si>
  <si>
    <t>瑞松科技</t>
  </si>
  <si>
    <t>上海谊众</t>
  </si>
  <si>
    <t>爱科科技</t>
  </si>
  <si>
    <t>世华科技</t>
  </si>
  <si>
    <t>福昕软件</t>
  </si>
  <si>
    <t>京源环保</t>
  </si>
  <si>
    <t>博众精工</t>
  </si>
  <si>
    <t>申联生物</t>
  </si>
  <si>
    <t>晶晨股份</t>
  </si>
  <si>
    <t>威胜信息</t>
  </si>
  <si>
    <t>三达膜</t>
  </si>
  <si>
    <t>斯瑞新材</t>
  </si>
  <si>
    <t>国力电子</t>
  </si>
  <si>
    <t>诺唯赞</t>
  </si>
  <si>
    <t>金宏气体</t>
  </si>
  <si>
    <t>安路科技</t>
  </si>
  <si>
    <t>赛诺医疗</t>
  </si>
  <si>
    <t>品茗科技</t>
  </si>
  <si>
    <t>东芯股份</t>
  </si>
  <si>
    <t>金山办公</t>
  </si>
  <si>
    <t>鼎阳科技</t>
  </si>
  <si>
    <t>联测科技</t>
  </si>
  <si>
    <t>华大智造</t>
  </si>
  <si>
    <t>思林杰</t>
  </si>
  <si>
    <t>天奈科技</t>
  </si>
  <si>
    <t>圣诺生物</t>
  </si>
  <si>
    <t>普元信息</t>
  </si>
  <si>
    <t>中钢洛耐</t>
  </si>
  <si>
    <t>华海清科</t>
  </si>
  <si>
    <t>卓然股份</t>
  </si>
  <si>
    <t>西部超导</t>
  </si>
  <si>
    <t>聚辰股份</t>
  </si>
  <si>
    <t>安达智能</t>
  </si>
  <si>
    <t>沪硅产业</t>
  </si>
  <si>
    <t>蓝特光学</t>
  </si>
  <si>
    <t>中国电研</t>
  </si>
  <si>
    <t>东来技术</t>
  </si>
  <si>
    <t>晶华微</t>
  </si>
  <si>
    <t>皓元医药</t>
  </si>
  <si>
    <t>邦彦技术</t>
  </si>
  <si>
    <t>泰坦科技</t>
  </si>
  <si>
    <t>利扬芯片</t>
  </si>
  <si>
    <t>科兴制药</t>
  </si>
  <si>
    <t>近岸蛋白</t>
  </si>
  <si>
    <t>清溢光电</t>
  </si>
  <si>
    <t>海尔生物</t>
  </si>
  <si>
    <t>杰华特</t>
  </si>
  <si>
    <t>长盈通</t>
  </si>
  <si>
    <t>中船特气</t>
  </si>
  <si>
    <t>微导纳米</t>
  </si>
  <si>
    <t>芳源股份</t>
  </si>
  <si>
    <t>莱特光电</t>
  </si>
  <si>
    <t>华强科技</t>
  </si>
  <si>
    <t>麒麟信安</t>
  </si>
  <si>
    <t>唯捷创芯</t>
  </si>
  <si>
    <t>先惠技术</t>
  </si>
  <si>
    <t>路德科技</t>
  </si>
  <si>
    <t>松井股份</t>
  </si>
  <si>
    <t>优刻得-W</t>
  </si>
  <si>
    <t>有方科技</t>
  </si>
  <si>
    <t>步科股份</t>
  </si>
  <si>
    <t>威高骨科</t>
  </si>
  <si>
    <t>巨一科技</t>
  </si>
  <si>
    <t>赛伦生物</t>
  </si>
  <si>
    <t>埃夫特-U</t>
  </si>
  <si>
    <t>博瑞医药</t>
  </si>
  <si>
    <t>炬光科技</t>
  </si>
  <si>
    <t>安博通</t>
  </si>
  <si>
    <t>石头科技</t>
  </si>
  <si>
    <t>德龙激光</t>
  </si>
  <si>
    <t>纬德信息</t>
  </si>
  <si>
    <t>燕东微</t>
  </si>
  <si>
    <t>希荻微</t>
  </si>
  <si>
    <t>高凌信息</t>
  </si>
  <si>
    <t>亚虹医药-U</t>
  </si>
  <si>
    <t>百奥泰</t>
  </si>
  <si>
    <t>万德斯</t>
  </si>
  <si>
    <t>阿拉丁</t>
  </si>
  <si>
    <t>君实生物-U</t>
  </si>
  <si>
    <t>八亿时空</t>
  </si>
  <si>
    <t>灿勤科技</t>
  </si>
  <si>
    <t>生益电子</t>
  </si>
  <si>
    <t>ST帕瓦</t>
  </si>
  <si>
    <t>康希诺</t>
  </si>
  <si>
    <t>广大特材</t>
  </si>
  <si>
    <t>时代电气</t>
  </si>
  <si>
    <t>柏楚电子</t>
  </si>
  <si>
    <t>南新制药</t>
  </si>
  <si>
    <t>云路股份</t>
  </si>
  <si>
    <t>智洋创新</t>
  </si>
  <si>
    <t>迪哲医药-U</t>
  </si>
  <si>
    <t>仁度生物</t>
  </si>
  <si>
    <t>腾景科技</t>
  </si>
  <si>
    <t>卓越新能</t>
  </si>
  <si>
    <t>首药控股-U</t>
  </si>
  <si>
    <t>佰仁医疗</t>
  </si>
  <si>
    <t>久日新材</t>
  </si>
  <si>
    <t>华峰测控</t>
  </si>
  <si>
    <t>信安世纪</t>
  </si>
  <si>
    <t>美迪西</t>
  </si>
  <si>
    <t>海正生材</t>
  </si>
  <si>
    <t>德科立</t>
  </si>
  <si>
    <t>概伦电子</t>
  </si>
  <si>
    <t>格灵深瞳</t>
  </si>
  <si>
    <t>道通科技</t>
  </si>
  <si>
    <t>英集芯</t>
  </si>
  <si>
    <t>统联精密</t>
  </si>
  <si>
    <t>中科微至</t>
  </si>
  <si>
    <t>澳华内镜</t>
  </si>
  <si>
    <t>思特威-W</t>
  </si>
  <si>
    <t>瑞晟智能</t>
  </si>
  <si>
    <t>气派科技</t>
  </si>
  <si>
    <t>睿昂基因</t>
  </si>
  <si>
    <t>江苏北人</t>
  </si>
  <si>
    <t>会通股份</t>
  </si>
  <si>
    <t>翱捷科技-U</t>
  </si>
  <si>
    <t>前沿生物-U</t>
  </si>
  <si>
    <t>成都先导</t>
  </si>
  <si>
    <t>晶科能源</t>
  </si>
  <si>
    <t>亚信安全</t>
  </si>
  <si>
    <t>威腾电气</t>
  </si>
  <si>
    <t>品高股份</t>
  </si>
  <si>
    <t>开普云</t>
  </si>
  <si>
    <t>博睿数据</t>
  </si>
  <si>
    <t>芯导科技</t>
  </si>
  <si>
    <t>隆达股份</t>
  </si>
  <si>
    <t>新点软件</t>
  </si>
  <si>
    <t>神工股份</t>
  </si>
  <si>
    <t>天岳先进</t>
  </si>
  <si>
    <t>百济神州-U</t>
  </si>
  <si>
    <t>春立医疗</t>
  </si>
  <si>
    <t>超卓航科</t>
  </si>
  <si>
    <t>和元生物</t>
  </si>
  <si>
    <t>航宇科技</t>
  </si>
  <si>
    <t>永信至诚</t>
  </si>
  <si>
    <t>嘉和美康</t>
  </si>
  <si>
    <t>宣泰医药</t>
  </si>
  <si>
    <t>南网科技</t>
  </si>
  <si>
    <t>晶合集成</t>
  </si>
  <si>
    <t>井松智能</t>
  </si>
  <si>
    <t>天德钰</t>
  </si>
  <si>
    <t>英诺特</t>
  </si>
  <si>
    <t>凯尔达</t>
  </si>
  <si>
    <t>寒武纪-U</t>
  </si>
  <si>
    <t>新锐股份</t>
  </si>
  <si>
    <t>卓易信息</t>
  </si>
  <si>
    <t>创耀科技</t>
  </si>
  <si>
    <t>昀冢科技</t>
  </si>
  <si>
    <t>东微半导</t>
  </si>
  <si>
    <t>国芯科技</t>
  </si>
  <si>
    <t>南模生物</t>
  </si>
  <si>
    <t>泽璟制药-U</t>
  </si>
  <si>
    <t>中触媒</t>
  </si>
  <si>
    <t>华特气体</t>
  </si>
  <si>
    <t>凯立新材</t>
  </si>
  <si>
    <t>臻镭科技</t>
  </si>
  <si>
    <t>联影医疗</t>
  </si>
  <si>
    <t>富吉瑞</t>
  </si>
  <si>
    <t>麦澜德</t>
  </si>
  <si>
    <t>万润新能</t>
  </si>
  <si>
    <t>百克生物</t>
  </si>
  <si>
    <t>天智航-U</t>
  </si>
  <si>
    <t>特宝生物</t>
  </si>
  <si>
    <t>峰岹科技</t>
  </si>
  <si>
    <t>精进电动-UW</t>
  </si>
  <si>
    <t>华秦科技</t>
  </si>
  <si>
    <t>理工导航</t>
  </si>
  <si>
    <t>坤恒顺维</t>
  </si>
  <si>
    <t>高铁电气</t>
  </si>
  <si>
    <t>敏芯股份</t>
  </si>
  <si>
    <t>*ST观典</t>
  </si>
  <si>
    <t>鸿泉技术</t>
  </si>
  <si>
    <t>圣湘生物</t>
  </si>
  <si>
    <t>景业智能</t>
  </si>
  <si>
    <t>金橙子</t>
  </si>
  <si>
    <t>浩瀚深度</t>
  </si>
  <si>
    <t>奥浦迈</t>
  </si>
  <si>
    <t>中复神鹰</t>
  </si>
  <si>
    <t>和达科技</t>
  </si>
  <si>
    <t>中无人机</t>
  </si>
  <si>
    <t>东方生物</t>
  </si>
  <si>
    <t>长阳科技</t>
  </si>
  <si>
    <t>联瑞新材</t>
  </si>
  <si>
    <t>奕瑞科技</t>
  </si>
  <si>
    <t>海创药业-U</t>
  </si>
  <si>
    <t>大全能源</t>
  </si>
  <si>
    <t>科德数控</t>
  </si>
  <si>
    <t>均普智能</t>
  </si>
  <si>
    <t>中润光学</t>
  </si>
  <si>
    <t>欧科亿</t>
  </si>
  <si>
    <t>恒誉环保</t>
  </si>
  <si>
    <t>迈得医疗</t>
  </si>
  <si>
    <t>盟升电子</t>
  </si>
  <si>
    <t>燕麦科技</t>
  </si>
  <si>
    <t>仕佳光子</t>
  </si>
  <si>
    <t>康拓医疗</t>
  </si>
  <si>
    <t>诺禾致源</t>
  </si>
  <si>
    <t>青云科技-U</t>
  </si>
  <si>
    <t>之江生物</t>
  </si>
  <si>
    <t>财富趋势</t>
  </si>
  <si>
    <t>欧林生物</t>
  </si>
  <si>
    <t>禾川科技</t>
  </si>
  <si>
    <t>微芯生物</t>
  </si>
  <si>
    <t>奥比中光-UW</t>
  </si>
  <si>
    <t>瑞华泰</t>
  </si>
  <si>
    <t>赛微微电</t>
  </si>
  <si>
    <t>经纬恒润-W</t>
  </si>
  <si>
    <t>云从科技-UW</t>
  </si>
  <si>
    <t>深科达</t>
  </si>
  <si>
    <t>艾隆科技</t>
  </si>
  <si>
    <t>宏力达</t>
  </si>
  <si>
    <t>荣昌生物</t>
  </si>
  <si>
    <t>中科蓝讯</t>
  </si>
  <si>
    <t>铂力特</t>
  </si>
  <si>
    <t>西高院</t>
  </si>
  <si>
    <t>复洁科技</t>
  </si>
  <si>
    <t>三生国健</t>
  </si>
  <si>
    <t>普源精电</t>
  </si>
  <si>
    <t>赛科希德</t>
  </si>
  <si>
    <t>亿华通-U</t>
  </si>
  <si>
    <t>云天励飞-U</t>
  </si>
  <si>
    <t>博力威</t>
  </si>
  <si>
    <t>华虹公司</t>
  </si>
  <si>
    <t>昱能科技</t>
  </si>
  <si>
    <t>三一重能</t>
  </si>
  <si>
    <t>富淼科技</t>
  </si>
  <si>
    <t>微电生理</t>
  </si>
  <si>
    <t>颀中科技</t>
  </si>
  <si>
    <t>华盛锂电</t>
  </si>
  <si>
    <t>明志科技</t>
  </si>
  <si>
    <t>键凯科技</t>
  </si>
  <si>
    <t>建龙微纳</t>
  </si>
  <si>
    <t>祥生医疗</t>
  </si>
  <si>
    <t>三孚新科</t>
  </si>
  <si>
    <t>德马科技</t>
  </si>
  <si>
    <t>中科飞测</t>
  </si>
  <si>
    <t>甬矽电子</t>
  </si>
  <si>
    <t>华熙生物</t>
  </si>
  <si>
    <t>光云科技</t>
  </si>
  <si>
    <t>昊海生科</t>
  </si>
  <si>
    <t>工大高科</t>
  </si>
  <si>
    <t>晶丰明源</t>
  </si>
  <si>
    <t>致远互联</t>
  </si>
  <si>
    <t>丛麟科技</t>
  </si>
  <si>
    <t>菲沃泰</t>
  </si>
  <si>
    <t>伟测科技</t>
  </si>
  <si>
    <t>盟科药业-U</t>
  </si>
  <si>
    <t>国博电子</t>
  </si>
  <si>
    <t>美埃科技</t>
  </si>
  <si>
    <t>迪威尔</t>
  </si>
  <si>
    <t>奥来德</t>
  </si>
  <si>
    <t>华光新材</t>
  </si>
  <si>
    <t>中微半导</t>
  </si>
  <si>
    <t>帝奥微</t>
  </si>
  <si>
    <t>益方生物-U</t>
  </si>
  <si>
    <t>新益昌</t>
  </si>
  <si>
    <t>复旦微电</t>
  </si>
  <si>
    <t>泛亚微透</t>
  </si>
  <si>
    <t>信科移动-U</t>
  </si>
  <si>
    <t>嘉元科技</t>
  </si>
  <si>
    <t>普门科技</t>
  </si>
  <si>
    <t>固德威</t>
  </si>
  <si>
    <t>钜泉科技</t>
  </si>
  <si>
    <t>骄成超声</t>
  </si>
  <si>
    <t>安必平</t>
  </si>
  <si>
    <t>正弦电气</t>
  </si>
  <si>
    <t>华润微</t>
  </si>
  <si>
    <t>赛特新材</t>
  </si>
  <si>
    <t>硕世生物</t>
  </si>
  <si>
    <t>凌云光</t>
  </si>
  <si>
    <t>路维光电</t>
  </si>
  <si>
    <t>汇成股份</t>
  </si>
  <si>
    <t>中信博</t>
  </si>
  <si>
    <t>富创精密</t>
  </si>
  <si>
    <t>山外山</t>
  </si>
  <si>
    <t>海博思创</t>
  </si>
  <si>
    <t>恒烁股份</t>
  </si>
  <si>
    <t>震有科技</t>
  </si>
  <si>
    <t>耐科装备</t>
  </si>
  <si>
    <t>美腾科技</t>
  </si>
  <si>
    <t>铁建重工</t>
  </si>
  <si>
    <t>康为世纪</t>
  </si>
  <si>
    <t>诺诚健华-U</t>
  </si>
  <si>
    <t>时创能源</t>
  </si>
  <si>
    <t>有研硅</t>
  </si>
  <si>
    <t>华曙高科</t>
  </si>
  <si>
    <t>英方软件</t>
  </si>
  <si>
    <t>振华风光</t>
  </si>
  <si>
    <t>智翔金泰-U</t>
  </si>
  <si>
    <t>磁谷科技</t>
  </si>
  <si>
    <t>联芸科技</t>
  </si>
  <si>
    <t>光格科技</t>
  </si>
  <si>
    <t>科捷智能</t>
  </si>
  <si>
    <t>有研粉材</t>
  </si>
  <si>
    <t>美芯晟</t>
  </si>
  <si>
    <t>哈铁科技</t>
  </si>
  <si>
    <t>金科环境</t>
  </si>
  <si>
    <t>科美诊断</t>
  </si>
  <si>
    <t>芯联集成-U</t>
  </si>
  <si>
    <t>阿特斯</t>
  </si>
  <si>
    <t>萤石网络</t>
  </si>
  <si>
    <t>晶升股份</t>
  </si>
  <si>
    <t>友车科技</t>
  </si>
  <si>
    <t>赛恩斯</t>
  </si>
  <si>
    <t>南芯科技</t>
  </si>
  <si>
    <t>九州一轨</t>
  </si>
  <si>
    <t>龙迅股份</t>
  </si>
  <si>
    <t>艾迪药业</t>
  </si>
  <si>
    <t>三未信安</t>
  </si>
  <si>
    <t>清越科技</t>
  </si>
  <si>
    <t>源杰科技</t>
  </si>
  <si>
    <t>利元亨</t>
  </si>
  <si>
    <t>慧辰股份</t>
  </si>
  <si>
    <t>青达环保</t>
  </si>
  <si>
    <t>茂莱光学</t>
  </si>
  <si>
    <t>聚和材料</t>
  </si>
  <si>
    <t>复旦张江</t>
  </si>
  <si>
    <t>百利天恒</t>
  </si>
  <si>
    <t>索辰科技</t>
  </si>
  <si>
    <t>芯朋微</t>
  </si>
  <si>
    <t>正元地信</t>
  </si>
  <si>
    <t>航亚科技</t>
  </si>
  <si>
    <t>*ST天微</t>
  </si>
  <si>
    <t>慧智微-U</t>
  </si>
  <si>
    <t>苑东生物</t>
  </si>
  <si>
    <t>裕太微-U</t>
  </si>
  <si>
    <t>奥特维</t>
  </si>
  <si>
    <t>金冠电气</t>
  </si>
  <si>
    <t>联赢激光</t>
  </si>
  <si>
    <t>南亚新材</t>
  </si>
  <si>
    <t>神州细胞</t>
  </si>
  <si>
    <t>芯原股份</t>
  </si>
  <si>
    <t>纳睿雷达</t>
  </si>
  <si>
    <t>航天环宇</t>
  </si>
  <si>
    <t>佰维存储</t>
  </si>
  <si>
    <t>科前生物</t>
  </si>
  <si>
    <t>秦川物联</t>
  </si>
  <si>
    <t>豪森智能</t>
  </si>
  <si>
    <t>欧莱新材</t>
  </si>
  <si>
    <t>日联科技</t>
  </si>
  <si>
    <t>上声电子</t>
  </si>
  <si>
    <t>华海诚科</t>
  </si>
  <si>
    <t>思瑞浦</t>
  </si>
  <si>
    <t>和辉光电-U</t>
  </si>
  <si>
    <t>高华科技</t>
  </si>
  <si>
    <t>国科军工</t>
  </si>
  <si>
    <t>兴福电子</t>
  </si>
  <si>
    <t>广钢气体</t>
  </si>
  <si>
    <t>中巨芯-U</t>
  </si>
  <si>
    <t>瑞联新材</t>
  </si>
  <si>
    <t>科威尔</t>
  </si>
  <si>
    <t>航天南湖</t>
  </si>
  <si>
    <t>汇宇制药-W</t>
  </si>
  <si>
    <t>高测股份</t>
  </si>
  <si>
    <t>兰剑智能</t>
  </si>
  <si>
    <t>国盛智科</t>
  </si>
  <si>
    <t>海目星</t>
  </si>
  <si>
    <t>明冠新材</t>
  </si>
  <si>
    <t>奇安信-U</t>
  </si>
  <si>
    <t>航天软件</t>
  </si>
  <si>
    <t>航材股份</t>
  </si>
  <si>
    <t>力源科技</t>
  </si>
  <si>
    <t>吉贝尔</t>
  </si>
  <si>
    <t>孚能科技</t>
  </si>
  <si>
    <t>中科星图</t>
  </si>
  <si>
    <t>铁科轨道</t>
  </si>
  <si>
    <t>天玛智控</t>
  </si>
  <si>
    <t>杭华股份</t>
  </si>
  <si>
    <t>信宇人</t>
  </si>
  <si>
    <t>亚辉龙</t>
  </si>
  <si>
    <t>西山科技</t>
  </si>
  <si>
    <t>浙海德曼</t>
  </si>
  <si>
    <t>艾力斯</t>
  </si>
  <si>
    <t>山大地纬</t>
  </si>
  <si>
    <t>伟思医疗</t>
  </si>
  <si>
    <t>安杰思</t>
  </si>
  <si>
    <t>芯动联科</t>
  </si>
  <si>
    <t>思看科技</t>
  </si>
  <si>
    <t>上海合晶</t>
  </si>
  <si>
    <t>上纬新材</t>
  </si>
  <si>
    <t>江航装备</t>
  </si>
  <si>
    <t>凌志软件</t>
  </si>
  <si>
    <t>力合微</t>
  </si>
  <si>
    <t>新致软件</t>
  </si>
  <si>
    <t>泰凌微</t>
  </si>
  <si>
    <t>司南导航</t>
  </si>
  <si>
    <t>新相微</t>
  </si>
  <si>
    <t>芯海科技</t>
  </si>
  <si>
    <t>正帆科技</t>
  </si>
  <si>
    <t>煜邦电力</t>
  </si>
  <si>
    <t>金博股份</t>
  </si>
  <si>
    <t>天合光能</t>
  </si>
  <si>
    <t>皖仪科技</t>
  </si>
  <si>
    <t>力芯微</t>
  </si>
  <si>
    <t>康鹏科技</t>
  </si>
  <si>
    <t>天承科技</t>
  </si>
  <si>
    <t>先锋精科</t>
  </si>
  <si>
    <t>奥泰生物</t>
  </si>
  <si>
    <t>康众医疗</t>
  </si>
  <si>
    <t>恒玄科技</t>
  </si>
  <si>
    <t>九联科技</t>
  </si>
  <si>
    <t>埃科光电</t>
  </si>
  <si>
    <t>杭州柯林</t>
  </si>
  <si>
    <t>威迈斯</t>
  </si>
  <si>
    <t>奥精医疗</t>
  </si>
  <si>
    <t>合合信息</t>
  </si>
  <si>
    <t>西力科技</t>
  </si>
  <si>
    <t>惠泰医疗</t>
  </si>
  <si>
    <t>三旺通信</t>
  </si>
  <si>
    <t>罗普特</t>
  </si>
  <si>
    <t>安凯微</t>
  </si>
  <si>
    <t>阳光诺和</t>
  </si>
  <si>
    <t>禾信仪器</t>
  </si>
  <si>
    <t>双元科技</t>
  </si>
  <si>
    <t>呈和科技</t>
  </si>
  <si>
    <t>翔宇医疗</t>
  </si>
  <si>
    <t>精智达</t>
  </si>
  <si>
    <t>优利德</t>
  </si>
  <si>
    <t>华丰科技</t>
  </si>
  <si>
    <t>芯碁微装</t>
  </si>
  <si>
    <t>莱斯信息</t>
  </si>
  <si>
    <t>星球石墨</t>
  </si>
  <si>
    <t>智明达</t>
  </si>
  <si>
    <t>誉辰智能</t>
  </si>
  <si>
    <t>华恒生物</t>
  </si>
  <si>
    <t>ST逸飞</t>
  </si>
  <si>
    <t>中邮科技</t>
  </si>
  <si>
    <t>盛邦安全</t>
  </si>
  <si>
    <t>京仪装备</t>
  </si>
  <si>
    <t>康希通信</t>
  </si>
  <si>
    <t>迅捷兴</t>
  </si>
  <si>
    <t>浩欧博</t>
  </si>
  <si>
    <t>浩辰软件</t>
  </si>
  <si>
    <t>悦康药业</t>
  </si>
  <si>
    <t>元琛科技</t>
  </si>
  <si>
    <t>电气风电</t>
  </si>
  <si>
    <t>和林微纳</t>
  </si>
  <si>
    <t>富信科技</t>
  </si>
  <si>
    <t>新风光</t>
  </si>
  <si>
    <t>四方光电</t>
  </si>
  <si>
    <t>菱电电控</t>
  </si>
  <si>
    <t>鼎通科技</t>
  </si>
  <si>
    <t>聚石化学</t>
  </si>
  <si>
    <t>金迪克</t>
  </si>
  <si>
    <t>碧兴物联</t>
  </si>
  <si>
    <t>金盘科技</t>
  </si>
  <si>
    <t>海泰新光</t>
  </si>
  <si>
    <t>福立旺</t>
  </si>
  <si>
    <t>通源环境</t>
  </si>
  <si>
    <t>海优新材</t>
  </si>
  <si>
    <t>科汇股份</t>
  </si>
  <si>
    <t>霍莱沃</t>
  </si>
  <si>
    <t>莱尔科技</t>
  </si>
  <si>
    <t>迈信林</t>
  </si>
  <si>
    <t>奥普特</t>
  </si>
  <si>
    <t>凯因科技</t>
  </si>
  <si>
    <t>银河微电</t>
  </si>
  <si>
    <t>纳微科技</t>
  </si>
  <si>
    <t>灿芯股份</t>
  </si>
  <si>
    <t>达梦数据</t>
  </si>
  <si>
    <t>锴威特</t>
  </si>
  <si>
    <t>中创股份</t>
  </si>
  <si>
    <t>极米科技</t>
  </si>
  <si>
    <t>纽威数控</t>
  </si>
  <si>
    <t>伟创电气</t>
  </si>
  <si>
    <t>明微电子</t>
  </si>
  <si>
    <t>东威科技</t>
  </si>
  <si>
    <t>卓锦股份</t>
  </si>
  <si>
    <t>盛科通信-U</t>
  </si>
  <si>
    <t>振华新材</t>
  </si>
  <si>
    <t>佳驰科技</t>
  </si>
  <si>
    <t>成都华微</t>
  </si>
  <si>
    <t>益诺思</t>
  </si>
  <si>
    <t>宏微科技</t>
  </si>
  <si>
    <t>中研股份</t>
  </si>
  <si>
    <t>艾罗能源</t>
  </si>
  <si>
    <t>唯赛勃</t>
  </si>
  <si>
    <t>爱科赛博</t>
  </si>
  <si>
    <t>艾森股份</t>
  </si>
  <si>
    <t>龙图光罩</t>
  </si>
  <si>
    <t>同益中</t>
  </si>
  <si>
    <t>拉普拉斯</t>
  </si>
  <si>
    <t>恒坤新材</t>
  </si>
  <si>
    <t>格科微</t>
  </si>
  <si>
    <t>屹唐股份</t>
  </si>
  <si>
    <t>壹石通</t>
  </si>
  <si>
    <t>中自科技</t>
  </si>
  <si>
    <t>成大生物</t>
  </si>
  <si>
    <t>金天钛业</t>
  </si>
  <si>
    <t>汉邦科技</t>
  </si>
  <si>
    <t>胜科纳米</t>
  </si>
  <si>
    <t>赛分科技</t>
  </si>
  <si>
    <t>必贝特-U</t>
  </si>
  <si>
    <t>禾元生物-U</t>
  </si>
  <si>
    <t>普冉股份</t>
  </si>
  <si>
    <t>博拓生物</t>
  </si>
  <si>
    <t>容知日新</t>
  </si>
  <si>
    <t>珠海冠宇</t>
  </si>
  <si>
    <t>影石创新</t>
  </si>
  <si>
    <t>国光电气</t>
  </si>
  <si>
    <t>中控技术</t>
  </si>
  <si>
    <t>厦钨新能</t>
  </si>
  <si>
    <t>五矿新能</t>
  </si>
  <si>
    <t>西安奕材-U</t>
  </si>
  <si>
    <t>悦安新材</t>
  </si>
  <si>
    <t>海天瑞声</t>
  </si>
  <si>
    <t>科思科技</t>
  </si>
  <si>
    <t>宏华数科</t>
  </si>
  <si>
    <t>昂瑞微-UW</t>
  </si>
  <si>
    <t>倍轻松</t>
  </si>
  <si>
    <t>摩尔线程-U</t>
  </si>
  <si>
    <t>百奥赛图</t>
  </si>
  <si>
    <t>艾为电子</t>
  </si>
  <si>
    <t>华纳药厂</t>
  </si>
  <si>
    <t>瑞可达</t>
  </si>
  <si>
    <t>沐曦股份-U</t>
  </si>
  <si>
    <t>健信超导</t>
  </si>
  <si>
    <t>优迅股份</t>
  </si>
  <si>
    <t>强一股份</t>
  </si>
  <si>
    <t>天能股份</t>
  </si>
  <si>
    <t>中芯国际</t>
  </si>
  <si>
    <t>九号公司-WD</t>
  </si>
  <si>
    <t>振石股份</t>
  </si>
  <si>
    <t>至信股份</t>
  </si>
  <si>
    <t>恒运昌</t>
  </si>
  <si>
    <t>安徽凤凰</t>
  </si>
  <si>
    <t>纬达光电</t>
  </si>
  <si>
    <t>万达轴承</t>
  </si>
  <si>
    <t>中诚咨询</t>
  </si>
  <si>
    <t>鼎佳精密</t>
  </si>
  <si>
    <t>晟楠科技</t>
  </si>
  <si>
    <t>酉立智能</t>
  </si>
  <si>
    <t>成电光信</t>
  </si>
  <si>
    <t>丹娜生物</t>
  </si>
  <si>
    <t>凯添燃气</t>
  </si>
  <si>
    <t>特瑞斯</t>
  </si>
  <si>
    <t>锦华新材</t>
  </si>
  <si>
    <t>中草香料</t>
  </si>
  <si>
    <t>星昊医药</t>
  </si>
  <si>
    <t>宏远股份</t>
  </si>
  <si>
    <t>铜冠矿建</t>
  </si>
  <si>
    <t>泰凯英</t>
  </si>
  <si>
    <t>流金科技</t>
  </si>
  <si>
    <t>世昌股份</t>
  </si>
  <si>
    <t>田野股份</t>
  </si>
  <si>
    <t>卓兆点胶</t>
  </si>
  <si>
    <t>交大铁发</t>
  </si>
  <si>
    <t>开发科技</t>
  </si>
  <si>
    <t>德众汽车</t>
  </si>
  <si>
    <t>康普化学</t>
  </si>
  <si>
    <t>精创电气</t>
  </si>
  <si>
    <t>广信科技</t>
  </si>
  <si>
    <t>国义招标</t>
  </si>
  <si>
    <t>蘅东光</t>
  </si>
  <si>
    <t>亿能电力</t>
  </si>
  <si>
    <t>诺思兰德</t>
  </si>
  <si>
    <t>能之光</t>
  </si>
  <si>
    <t>百甲科技</t>
  </si>
  <si>
    <t>华洋赛车</t>
  </si>
  <si>
    <t>万源通</t>
  </si>
  <si>
    <t>西磁科技</t>
  </si>
  <si>
    <t>科润智控</t>
  </si>
  <si>
    <t>科拜尔</t>
  </si>
  <si>
    <t>天工股份</t>
  </si>
  <si>
    <t>柏星龙</t>
  </si>
  <si>
    <t>国亮新材</t>
  </si>
  <si>
    <t>吉林碳谷</t>
  </si>
  <si>
    <t>奥美森</t>
  </si>
  <si>
    <t>方正阀门</t>
  </si>
  <si>
    <t>秋乐种业</t>
  </si>
  <si>
    <t>科力股份</t>
  </si>
  <si>
    <t>禾昌聚合</t>
  </si>
  <si>
    <t>同辉信息</t>
  </si>
  <si>
    <t>大鹏工业</t>
  </si>
  <si>
    <t>汉鑫科技</t>
  </si>
  <si>
    <t>科隆新材</t>
  </si>
  <si>
    <t>瑞华技术</t>
  </si>
  <si>
    <t>三协电机</t>
  </si>
  <si>
    <t>志高机械</t>
  </si>
  <si>
    <t>林泰新材</t>
  </si>
  <si>
    <t>宏海科技</t>
  </si>
  <si>
    <t>雷特科技</t>
  </si>
  <si>
    <t>聚星科技</t>
  </si>
  <si>
    <t>巴兰仕</t>
  </si>
  <si>
    <t>星图测控</t>
  </si>
  <si>
    <t>太湖远大</t>
  </si>
  <si>
    <t>江天科技</t>
  </si>
  <si>
    <t>中纺标</t>
  </si>
  <si>
    <t>芭薇股份</t>
  </si>
  <si>
    <t>南特科技</t>
  </si>
  <si>
    <t>胜业电气</t>
  </si>
  <si>
    <t>立方控股</t>
  </si>
  <si>
    <t>泰鹏智能</t>
  </si>
  <si>
    <t>华岭股份</t>
  </si>
  <si>
    <t>恒合股份</t>
  </si>
  <si>
    <t>华阳变速</t>
  </si>
  <si>
    <t>旭杰科技</t>
  </si>
  <si>
    <t>昆工科技</t>
  </si>
  <si>
    <t>长江能科</t>
  </si>
  <si>
    <t>北矿检测</t>
  </si>
  <si>
    <t>方大新材</t>
  </si>
  <si>
    <t>同享科技</t>
  </si>
  <si>
    <t>七丰精工</t>
  </si>
  <si>
    <t>志晟信息</t>
  </si>
  <si>
    <t>五新隧装</t>
  </si>
  <si>
    <t>东方碳素</t>
  </si>
  <si>
    <t>凯德石英</t>
  </si>
  <si>
    <t>国源科技</t>
  </si>
  <si>
    <t>贝特瑞</t>
  </si>
  <si>
    <t>雷神科技</t>
  </si>
  <si>
    <t>三祥科技</t>
  </si>
  <si>
    <t>微创光电</t>
  </si>
  <si>
    <t>倍益康</t>
  </si>
  <si>
    <t>沪江材料</t>
  </si>
  <si>
    <t>众诚科技</t>
  </si>
  <si>
    <t>青矩技术</t>
  </si>
  <si>
    <t>智新电子</t>
  </si>
  <si>
    <t>易实精密</t>
  </si>
  <si>
    <t>荣亿精密</t>
  </si>
  <si>
    <t>利通科技</t>
  </si>
  <si>
    <t>美登科技</t>
  </si>
  <si>
    <t>欧康医药</t>
  </si>
  <si>
    <t>力佳科技</t>
  </si>
  <si>
    <t>长虹能源</t>
  </si>
  <si>
    <t>建邦科技</t>
  </si>
  <si>
    <t>威博液压</t>
  </si>
  <si>
    <t>华密新材</t>
  </si>
  <si>
    <t>利尔达</t>
  </si>
  <si>
    <t>天宏锂电</t>
  </si>
  <si>
    <t>中寰股份</t>
  </si>
  <si>
    <t>一诺威</t>
  </si>
  <si>
    <t>太湖雪</t>
  </si>
  <si>
    <t>中航泰达</t>
  </si>
  <si>
    <t>生物谷</t>
  </si>
  <si>
    <t>鑫汇科</t>
  </si>
  <si>
    <t>天铭科技</t>
  </si>
  <si>
    <t>邦德股份</t>
  </si>
  <si>
    <t>一致魔芋</t>
  </si>
  <si>
    <t>宏裕包材</t>
  </si>
  <si>
    <t>驱动力</t>
  </si>
  <si>
    <t>鹿得医疗</t>
  </si>
  <si>
    <t>灵鸽科技</t>
  </si>
  <si>
    <t>灿能电力</t>
  </si>
  <si>
    <t>辰光医疗</t>
  </si>
  <si>
    <t>迪尔化工</t>
  </si>
  <si>
    <t>*ST云创</t>
  </si>
  <si>
    <t>恒太照明</t>
  </si>
  <si>
    <t>三元基因</t>
  </si>
  <si>
    <t>威贸电子</t>
  </si>
  <si>
    <t>华光源海</t>
  </si>
  <si>
    <t>雅葆轩</t>
  </si>
  <si>
    <t>莱赛激光</t>
  </si>
  <si>
    <t>新赣江</t>
  </si>
  <si>
    <t>连城数控</t>
  </si>
  <si>
    <t>新安洁</t>
  </si>
  <si>
    <t>欧福蛋业</t>
  </si>
  <si>
    <t>云里物里</t>
  </si>
  <si>
    <t>派诺科技</t>
  </si>
  <si>
    <t>泰德股份</t>
  </si>
  <si>
    <t>佳合科技</t>
  </si>
  <si>
    <t>民士达</t>
  </si>
  <si>
    <t>朗鸿科技</t>
  </si>
  <si>
    <t>常辅股份</t>
  </si>
  <si>
    <t>硅烷科技</t>
  </si>
  <si>
    <t>康农种业</t>
  </si>
  <si>
    <t>海希通讯</t>
  </si>
  <si>
    <t>驰诚股份</t>
  </si>
  <si>
    <t>欧普泰</t>
  </si>
  <si>
    <t>恒拓开源</t>
  </si>
  <si>
    <t>苏轴股份</t>
  </si>
  <si>
    <t>路斯股份</t>
  </si>
  <si>
    <t>润普食品</t>
  </si>
  <si>
    <t>乐创技术</t>
  </si>
  <si>
    <t>华维设计</t>
  </si>
  <si>
    <t>康比特</t>
  </si>
  <si>
    <t>大唐药业</t>
  </si>
  <si>
    <t>大地电气</t>
  </si>
  <si>
    <t>戈碧迦</t>
  </si>
  <si>
    <t>龙竹科技</t>
  </si>
  <si>
    <t>同心传动</t>
  </si>
  <si>
    <t>汇隆活塞</t>
  </si>
  <si>
    <t>富恒新材</t>
  </si>
  <si>
    <t>美邦科技</t>
  </si>
  <si>
    <t>三友科技</t>
  </si>
  <si>
    <t>海能技术</t>
  </si>
  <si>
    <t>峆一药业</t>
  </si>
  <si>
    <t>佳先股份</t>
  </si>
  <si>
    <t>奥迪威</t>
  </si>
  <si>
    <t>并行科技</t>
  </si>
  <si>
    <t>许昌智能</t>
  </si>
  <si>
    <t>博迅生物</t>
  </si>
  <si>
    <t>九菱科技</t>
  </si>
  <si>
    <t>殷图网联</t>
  </si>
  <si>
    <t>同惠电子</t>
  </si>
  <si>
    <t>丰光精密</t>
  </si>
  <si>
    <t>万德股份</t>
  </si>
  <si>
    <t>纳科诺尔</t>
  </si>
  <si>
    <t>德瑞锂电</t>
  </si>
  <si>
    <t>凯华材料</t>
  </si>
  <si>
    <t>夜光明</t>
  </si>
  <si>
    <t>骏创科技</t>
  </si>
  <si>
    <t>铁大科技</t>
  </si>
  <si>
    <t>无锡晶海</t>
  </si>
  <si>
    <t>凯腾精工</t>
  </si>
  <si>
    <t>雅达股份</t>
  </si>
  <si>
    <t>天润科技</t>
  </si>
  <si>
    <t>梓橦宫</t>
  </si>
  <si>
    <t>坤博精工</t>
  </si>
  <si>
    <t>国航远洋</t>
  </si>
  <si>
    <t>康乐卫士</t>
  </si>
  <si>
    <t>天力复合</t>
  </si>
  <si>
    <t>巨能股份</t>
  </si>
  <si>
    <t>机科股份</t>
  </si>
  <si>
    <t>科创新材</t>
  </si>
  <si>
    <t>华信永道</t>
  </si>
  <si>
    <t>鼎智科技</t>
  </si>
  <si>
    <t>同力股份</t>
  </si>
  <si>
    <t>丰安股份</t>
  </si>
  <si>
    <t>力王股份</t>
  </si>
  <si>
    <t>新威凌</t>
  </si>
  <si>
    <t>晨光电缆</t>
  </si>
  <si>
    <t>富士达</t>
  </si>
  <si>
    <t>格利尔</t>
  </si>
  <si>
    <t>通易航天</t>
  </si>
  <si>
    <t>天罡股份</t>
  </si>
  <si>
    <t>海昇药业</t>
  </si>
  <si>
    <t>方盛股份</t>
  </si>
  <si>
    <t>明阳科技</t>
  </si>
  <si>
    <t>科强股份</t>
  </si>
  <si>
    <t>数字人</t>
  </si>
  <si>
    <t>秉扬科技</t>
  </si>
  <si>
    <t>前进科技</t>
  </si>
  <si>
    <t>球冠电缆</t>
  </si>
  <si>
    <t>新芝生物</t>
  </si>
  <si>
    <t>克莱特</t>
  </si>
  <si>
    <t>捷众科技</t>
  </si>
  <si>
    <t>阿为特</t>
  </si>
  <si>
    <t>中裕科技</t>
  </si>
  <si>
    <t>海达尔</t>
  </si>
  <si>
    <t>豪声电子</t>
  </si>
  <si>
    <t>广厦环能</t>
  </si>
  <si>
    <t>铁拓机械</t>
  </si>
  <si>
    <t>瑞星股份</t>
  </si>
  <si>
    <t>合肥高科</t>
  </si>
  <si>
    <t>宁新新材</t>
  </si>
  <si>
    <t>吉冈精密</t>
  </si>
  <si>
    <t>惠丰钻石</t>
  </si>
  <si>
    <t>朱老六</t>
  </si>
  <si>
    <t>永顺生物</t>
  </si>
  <si>
    <t>德源药业</t>
  </si>
  <si>
    <t>路桥信息</t>
  </si>
  <si>
    <t>惠同新材</t>
  </si>
  <si>
    <t>天纺标</t>
  </si>
  <si>
    <t>美之高</t>
  </si>
  <si>
    <t>拾比佰</t>
  </si>
  <si>
    <t>艾能聚</t>
  </si>
  <si>
    <t>武汉蓝电</t>
  </si>
  <si>
    <t>瑞奇智造</t>
  </si>
  <si>
    <t>骑士乳业</t>
  </si>
  <si>
    <t>联迪信息</t>
  </si>
  <si>
    <t>东和新材</t>
  </si>
  <si>
    <t>艾融软件</t>
  </si>
  <si>
    <t>保丽洁</t>
  </si>
  <si>
    <t>云星宇</t>
  </si>
  <si>
    <t>奔朗新材</t>
  </si>
  <si>
    <t>曙光数创</t>
  </si>
  <si>
    <t>安达科技</t>
  </si>
  <si>
    <t>春光智能</t>
  </si>
  <si>
    <t>颖泰生物</t>
  </si>
  <si>
    <t>则成电子</t>
  </si>
  <si>
    <t>盖世食品</t>
  </si>
  <si>
    <t>齐鲁华信</t>
  </si>
  <si>
    <t>美心翼申</t>
  </si>
  <si>
    <t>三维装备</t>
  </si>
  <si>
    <t>华原股份</t>
  </si>
  <si>
    <t>万通液压</t>
  </si>
  <si>
    <t>浙江大农</t>
  </si>
  <si>
    <t>浩淼科技</t>
  </si>
  <si>
    <t>泓禧科技</t>
  </si>
  <si>
    <t>绿亨科技</t>
  </si>
  <si>
    <t>恒进感应</t>
  </si>
  <si>
    <t>派特尔</t>
  </si>
  <si>
    <t>中设咨询</t>
  </si>
  <si>
    <t>慧为智能</t>
  </si>
  <si>
    <t>基康技术</t>
  </si>
  <si>
    <t>星辰科技</t>
  </si>
  <si>
    <t>广咨国际</t>
  </si>
  <si>
    <t>花溪科技</t>
  </si>
  <si>
    <t>旺成科技</t>
  </si>
  <si>
    <t>舜宇精工</t>
  </si>
  <si>
    <t>远航精密</t>
  </si>
  <si>
    <t>广脉科技</t>
  </si>
  <si>
    <t>锦好医疗</t>
  </si>
  <si>
    <t>鸿智科技</t>
  </si>
  <si>
    <t>无锡鼎邦</t>
  </si>
  <si>
    <t>科达自控</t>
  </si>
  <si>
    <t>恒立钻具</t>
  </si>
  <si>
    <t>优机股份</t>
  </si>
  <si>
    <t>森萱医药</t>
  </si>
  <si>
    <t>迅安科技</t>
  </si>
  <si>
    <t>国子软件</t>
  </si>
  <si>
    <t>汉维科技</t>
  </si>
  <si>
    <t>创远信科</t>
  </si>
  <si>
    <t>润农节水</t>
  </si>
  <si>
    <t>大禹生物</t>
  </si>
  <si>
    <t>天马新材</t>
  </si>
  <si>
    <t>凯大催化</t>
  </si>
  <si>
    <t>视声智能</t>
  </si>
  <si>
    <t>开特股份</t>
  </si>
  <si>
    <t>晶赛科技</t>
  </si>
  <si>
    <t>锦波生物</t>
  </si>
  <si>
    <t>海泰新能</t>
  </si>
  <si>
    <t>中科美菱</t>
  </si>
  <si>
    <t>爱舍伦</t>
  </si>
  <si>
    <t>科马材料</t>
  </si>
  <si>
    <t>#数据来源:通达信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</si>
</sst>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477"/>
  <sheetViews>
    <sheetView tabSelected="1" zoomScaleSheetLayoutView="60" workbookViewId="0">
      <selection activeCell="G11" sqref="G11"/>
    </sheetView>
  </sheetViews>
  <sheetFormatPr defaultColWidth="10" defaultRowHeight="14.4"/>
  <cols>
    <col min="3" max="3" width="22.7777777777778" customWidth="1"/>
    <col min="4" max="4" width="10.6666666666667"/>
    <col min="5" max="5" width="15.6666666666667" customWidth="1"/>
    <col min="6" max="6" width="14.2222222222222" customWidth="1"/>
    <col min="7" max="7" width="13.4444444444444" customWidth="1"/>
    <col min="9" max="9" width="15.8888888888889" customWidth="1"/>
    <col min="11" max="11" width="20.6666666666667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tr">
        <f>"000001"</f>
        <v>000001</v>
      </c>
      <c r="B2" t="s">
        <v>11</v>
      </c>
      <c r="C2">
        <v>2204.48</v>
      </c>
      <c r="D2">
        <v>57667.64</v>
      </c>
      <c r="E2">
        <v>5179.3</v>
      </c>
      <c r="F2">
        <v>194.06</v>
      </c>
      <c r="G2">
        <v>194.06</v>
      </c>
      <c r="H2">
        <v>453515</v>
      </c>
      <c r="I2">
        <v>0.49</v>
      </c>
      <c r="J2">
        <v>4.31</v>
      </c>
      <c r="K2" t="s">
        <v>12</v>
      </c>
    </row>
    <row r="3" spans="1:11">
      <c r="A3" t="str">
        <f>"000002"</f>
        <v>000002</v>
      </c>
      <c r="B3" t="s">
        <v>13</v>
      </c>
      <c r="C3">
        <v>455.7</v>
      </c>
      <c r="D3">
        <v>11365.95</v>
      </c>
      <c r="E3">
        <v>1757.56</v>
      </c>
      <c r="F3">
        <v>119.31</v>
      </c>
      <c r="G3">
        <v>97.16</v>
      </c>
      <c r="H3">
        <v>493176</v>
      </c>
      <c r="I3">
        <v>0.32</v>
      </c>
      <c r="J3" t="s">
        <v>14</v>
      </c>
      <c r="K3" t="s">
        <v>15</v>
      </c>
    </row>
    <row r="4" spans="1:11">
      <c r="A4" t="str">
        <f>"000004"</f>
        <v>000004</v>
      </c>
      <c r="B4" t="s">
        <v>16</v>
      </c>
      <c r="C4">
        <v>14.4</v>
      </c>
      <c r="D4">
        <v>2.61</v>
      </c>
      <c r="E4">
        <v>0.37</v>
      </c>
      <c r="F4">
        <v>1.32</v>
      </c>
      <c r="G4">
        <v>1.26</v>
      </c>
      <c r="H4">
        <v>16631</v>
      </c>
      <c r="I4">
        <v>40.86</v>
      </c>
      <c r="J4" t="s">
        <v>14</v>
      </c>
      <c r="K4" t="s">
        <v>17</v>
      </c>
    </row>
    <row r="5" spans="1:11">
      <c r="A5" t="str">
        <f>"000006"</f>
        <v>000006</v>
      </c>
      <c r="B5" t="s">
        <v>18</v>
      </c>
      <c r="C5">
        <v>127.71</v>
      </c>
      <c r="D5">
        <v>172.69</v>
      </c>
      <c r="E5">
        <v>53.97</v>
      </c>
      <c r="F5">
        <v>13.5</v>
      </c>
      <c r="G5">
        <v>13.5</v>
      </c>
      <c r="H5">
        <v>56467</v>
      </c>
      <c r="I5">
        <v>2.37</v>
      </c>
      <c r="J5" t="s">
        <v>14</v>
      </c>
      <c r="K5" t="s">
        <v>15</v>
      </c>
    </row>
    <row r="6" spans="1:11">
      <c r="A6" t="str">
        <f>"000007"</f>
        <v>000007</v>
      </c>
      <c r="B6" t="s">
        <v>19</v>
      </c>
      <c r="C6">
        <v>39.91</v>
      </c>
      <c r="D6">
        <v>3.71</v>
      </c>
      <c r="E6">
        <v>1.83</v>
      </c>
      <c r="F6">
        <v>3.46</v>
      </c>
      <c r="G6">
        <v>3.46</v>
      </c>
      <c r="H6">
        <v>12551</v>
      </c>
      <c r="I6">
        <v>21.86</v>
      </c>
      <c r="J6">
        <v>875.77</v>
      </c>
      <c r="K6" t="s">
        <v>20</v>
      </c>
    </row>
    <row r="7" spans="1:11">
      <c r="A7" t="str">
        <f>"000008"</f>
        <v>000008</v>
      </c>
      <c r="B7" t="s">
        <v>21</v>
      </c>
      <c r="C7">
        <v>83.39</v>
      </c>
      <c r="D7">
        <v>91.1</v>
      </c>
      <c r="E7">
        <v>29.31</v>
      </c>
      <c r="F7">
        <v>27.16</v>
      </c>
      <c r="G7">
        <v>27.16</v>
      </c>
      <c r="H7">
        <v>96750</v>
      </c>
      <c r="I7">
        <v>2.85</v>
      </c>
      <c r="J7" t="s">
        <v>14</v>
      </c>
      <c r="K7" t="s">
        <v>22</v>
      </c>
    </row>
    <row r="8" spans="1:11">
      <c r="A8" t="str">
        <f>"000009"</f>
        <v>000009</v>
      </c>
      <c r="B8" t="s">
        <v>23</v>
      </c>
      <c r="C8">
        <v>259.66</v>
      </c>
      <c r="D8">
        <v>565.79</v>
      </c>
      <c r="E8">
        <v>100.78</v>
      </c>
      <c r="F8">
        <v>25.79</v>
      </c>
      <c r="G8">
        <v>25.76</v>
      </c>
      <c r="H8">
        <v>145000</v>
      </c>
      <c r="I8">
        <v>2.58</v>
      </c>
      <c r="J8">
        <v>68.84</v>
      </c>
      <c r="K8" t="s">
        <v>24</v>
      </c>
    </row>
    <row r="9" spans="1:11">
      <c r="A9" t="str">
        <f>"000010"</f>
        <v>000010</v>
      </c>
      <c r="B9" t="s">
        <v>25</v>
      </c>
      <c r="C9">
        <v>31.63</v>
      </c>
      <c r="D9">
        <v>27.19</v>
      </c>
      <c r="E9">
        <v>3.26</v>
      </c>
      <c r="F9">
        <v>11.5</v>
      </c>
      <c r="G9">
        <v>8.48</v>
      </c>
      <c r="H9">
        <v>34767</v>
      </c>
      <c r="I9">
        <v>13.13</v>
      </c>
      <c r="J9" t="s">
        <v>14</v>
      </c>
      <c r="K9" t="s">
        <v>26</v>
      </c>
    </row>
    <row r="10" spans="1:11">
      <c r="A10" t="str">
        <f>"000011"</f>
        <v>000011</v>
      </c>
      <c r="B10" t="s">
        <v>27</v>
      </c>
      <c r="C10">
        <v>46.17</v>
      </c>
      <c r="D10">
        <v>153.04</v>
      </c>
      <c r="E10">
        <v>33.94</v>
      </c>
      <c r="F10">
        <v>5.96</v>
      </c>
      <c r="G10">
        <v>5.26</v>
      </c>
      <c r="H10">
        <v>37276</v>
      </c>
      <c r="I10">
        <v>1.54</v>
      </c>
      <c r="J10">
        <v>121.66</v>
      </c>
      <c r="K10" t="s">
        <v>28</v>
      </c>
    </row>
    <row r="11" spans="1:11">
      <c r="A11" t="str">
        <f>"000012"</f>
        <v>000012</v>
      </c>
      <c r="B11" t="s">
        <v>29</v>
      </c>
      <c r="C11">
        <v>87.78</v>
      </c>
      <c r="D11">
        <v>312.7</v>
      </c>
      <c r="E11">
        <v>132.5</v>
      </c>
      <c r="F11">
        <v>30.71</v>
      </c>
      <c r="G11">
        <v>19.59</v>
      </c>
      <c r="H11">
        <v>125141</v>
      </c>
      <c r="I11">
        <v>1.04</v>
      </c>
      <c r="J11">
        <v>68.6</v>
      </c>
      <c r="K11" t="s">
        <v>30</v>
      </c>
    </row>
    <row r="12" spans="1:11">
      <c r="A12" t="str">
        <f>"000014"</f>
        <v>000014</v>
      </c>
      <c r="B12" t="s">
        <v>31</v>
      </c>
      <c r="C12">
        <v>32.43</v>
      </c>
      <c r="D12">
        <v>23.18</v>
      </c>
      <c r="E12">
        <v>15.91</v>
      </c>
      <c r="F12">
        <v>2.42</v>
      </c>
      <c r="G12">
        <v>2.42</v>
      </c>
      <c r="H12">
        <v>26220</v>
      </c>
      <c r="I12">
        <v>2.04</v>
      </c>
      <c r="J12" t="s">
        <v>14</v>
      </c>
      <c r="K12" t="s">
        <v>15</v>
      </c>
    </row>
    <row r="13" spans="1:11">
      <c r="A13" t="str">
        <f>"000016"</f>
        <v>000016</v>
      </c>
      <c r="B13" t="s">
        <v>32</v>
      </c>
      <c r="C13">
        <v>80.79</v>
      </c>
      <c r="D13">
        <v>292.09</v>
      </c>
      <c r="E13">
        <v>12.66</v>
      </c>
      <c r="F13">
        <v>24.08</v>
      </c>
      <c r="G13">
        <v>15.97</v>
      </c>
      <c r="H13">
        <v>146741</v>
      </c>
      <c r="I13">
        <v>9.62</v>
      </c>
      <c r="J13" t="s">
        <v>14</v>
      </c>
      <c r="K13" t="s">
        <v>33</v>
      </c>
    </row>
    <row r="14" spans="1:11">
      <c r="A14" t="str">
        <f>"000017"</f>
        <v>000017</v>
      </c>
      <c r="B14" t="s">
        <v>34</v>
      </c>
      <c r="C14">
        <v>34.82</v>
      </c>
      <c r="D14">
        <v>4.67</v>
      </c>
      <c r="E14">
        <v>3.74</v>
      </c>
      <c r="F14">
        <v>6.89</v>
      </c>
      <c r="G14">
        <v>4.41</v>
      </c>
      <c r="H14">
        <v>54235</v>
      </c>
      <c r="I14">
        <v>14.55</v>
      </c>
      <c r="J14">
        <v>131.99</v>
      </c>
      <c r="K14" t="s">
        <v>35</v>
      </c>
    </row>
    <row r="15" spans="1:11">
      <c r="A15" t="str">
        <f>"000019"</f>
        <v>000019</v>
      </c>
      <c r="B15" t="s">
        <v>36</v>
      </c>
      <c r="C15">
        <v>28.8</v>
      </c>
      <c r="D15">
        <v>70.12</v>
      </c>
      <c r="E15">
        <v>49.89</v>
      </c>
      <c r="F15">
        <v>11.53</v>
      </c>
      <c r="G15">
        <v>4.16</v>
      </c>
      <c r="H15">
        <v>41835</v>
      </c>
      <c r="I15">
        <v>1.6</v>
      </c>
      <c r="J15">
        <v>24.56</v>
      </c>
      <c r="K15" t="s">
        <v>37</v>
      </c>
    </row>
    <row r="16" spans="1:11">
      <c r="A16" t="str">
        <f>"000020"</f>
        <v>000020</v>
      </c>
      <c r="B16" t="s">
        <v>38</v>
      </c>
      <c r="C16">
        <v>25.94</v>
      </c>
      <c r="D16">
        <v>7.53</v>
      </c>
      <c r="E16">
        <v>4.25</v>
      </c>
      <c r="F16">
        <v>2.83</v>
      </c>
      <c r="G16">
        <v>1.81</v>
      </c>
      <c r="H16">
        <v>28401</v>
      </c>
      <c r="I16">
        <v>9.54</v>
      </c>
      <c r="J16">
        <v>143</v>
      </c>
      <c r="K16" t="s">
        <v>39</v>
      </c>
    </row>
    <row r="17" spans="1:11">
      <c r="A17" t="str">
        <f>"000021"</f>
        <v>000021</v>
      </c>
      <c r="B17" t="s">
        <v>40</v>
      </c>
      <c r="C17">
        <v>422.69</v>
      </c>
      <c r="D17">
        <v>275.57</v>
      </c>
      <c r="E17">
        <v>127.35</v>
      </c>
      <c r="F17">
        <v>15.72</v>
      </c>
      <c r="G17">
        <v>15.71</v>
      </c>
      <c r="H17">
        <v>225560</v>
      </c>
      <c r="I17">
        <v>3.32</v>
      </c>
      <c r="J17">
        <v>41.95</v>
      </c>
      <c r="K17" t="s">
        <v>41</v>
      </c>
    </row>
    <row r="18" spans="1:11">
      <c r="A18" t="str">
        <f>"000025"</f>
        <v>000025</v>
      </c>
      <c r="B18" t="s">
        <v>42</v>
      </c>
      <c r="C18">
        <v>71.49</v>
      </c>
      <c r="D18">
        <v>26.51</v>
      </c>
      <c r="E18">
        <v>18.07</v>
      </c>
      <c r="F18">
        <v>4.31</v>
      </c>
      <c r="G18">
        <v>3.93</v>
      </c>
      <c r="H18">
        <v>49366</v>
      </c>
      <c r="I18">
        <v>4.34</v>
      </c>
      <c r="J18">
        <v>47.6</v>
      </c>
      <c r="K18" t="s">
        <v>43</v>
      </c>
    </row>
    <row r="19" spans="1:11">
      <c r="A19" t="str">
        <f>"000026"</f>
        <v>000026</v>
      </c>
      <c r="B19" t="s">
        <v>44</v>
      </c>
      <c r="C19">
        <v>61.79</v>
      </c>
      <c r="D19">
        <v>39.17</v>
      </c>
      <c r="E19">
        <v>33.77</v>
      </c>
      <c r="F19">
        <v>4.06</v>
      </c>
      <c r="G19">
        <v>3.65</v>
      </c>
      <c r="H19">
        <v>34494</v>
      </c>
      <c r="I19">
        <v>2.04</v>
      </c>
      <c r="J19">
        <v>41.26</v>
      </c>
      <c r="K19" t="s">
        <v>35</v>
      </c>
    </row>
    <row r="20" spans="1:11">
      <c r="A20" t="str">
        <f>"000027"</f>
        <v>000027</v>
      </c>
      <c r="B20" t="s">
        <v>45</v>
      </c>
      <c r="C20">
        <v>335.4</v>
      </c>
      <c r="D20">
        <v>1709.82</v>
      </c>
      <c r="E20">
        <v>502.39</v>
      </c>
      <c r="F20">
        <v>47.57</v>
      </c>
      <c r="G20">
        <v>47.57</v>
      </c>
      <c r="H20">
        <v>116504</v>
      </c>
      <c r="I20">
        <v>1.02</v>
      </c>
      <c r="J20">
        <v>12.8</v>
      </c>
      <c r="K20" t="s">
        <v>46</v>
      </c>
    </row>
    <row r="21" spans="1:11">
      <c r="A21" t="str">
        <f>"000028"</f>
        <v>000028</v>
      </c>
      <c r="B21" t="s">
        <v>47</v>
      </c>
      <c r="C21">
        <v>120.04</v>
      </c>
      <c r="D21">
        <v>505.59</v>
      </c>
      <c r="E21">
        <v>184.3</v>
      </c>
      <c r="F21">
        <v>5.57</v>
      </c>
      <c r="G21">
        <v>4.78</v>
      </c>
      <c r="H21">
        <v>41385</v>
      </c>
      <c r="I21">
        <v>0.76</v>
      </c>
      <c r="J21">
        <v>10.95</v>
      </c>
      <c r="K21" t="s">
        <v>48</v>
      </c>
    </row>
    <row r="22" spans="1:11">
      <c r="A22" t="str">
        <f>"000029"</f>
        <v>000029</v>
      </c>
      <c r="B22" t="s">
        <v>49</v>
      </c>
      <c r="C22">
        <v>189.03</v>
      </c>
      <c r="D22">
        <v>52.11</v>
      </c>
      <c r="E22">
        <v>36.63</v>
      </c>
      <c r="F22">
        <v>10.12</v>
      </c>
      <c r="G22">
        <v>8.92</v>
      </c>
      <c r="H22">
        <v>38419</v>
      </c>
      <c r="I22">
        <v>5.85</v>
      </c>
      <c r="J22">
        <v>110.84</v>
      </c>
      <c r="K22" t="s">
        <v>15</v>
      </c>
    </row>
    <row r="23" spans="1:11">
      <c r="A23" t="str">
        <f>"000030"</f>
        <v>000030</v>
      </c>
      <c r="B23" t="s">
        <v>50</v>
      </c>
      <c r="C23">
        <v>92.4</v>
      </c>
      <c r="D23">
        <v>188.63</v>
      </c>
      <c r="E23">
        <v>81.49</v>
      </c>
      <c r="F23">
        <v>17.2</v>
      </c>
      <c r="G23">
        <v>16.71</v>
      </c>
      <c r="H23">
        <v>27932</v>
      </c>
      <c r="I23">
        <v>1.17</v>
      </c>
      <c r="J23">
        <v>16.22</v>
      </c>
      <c r="K23" t="s">
        <v>51</v>
      </c>
    </row>
    <row r="24" spans="1:11">
      <c r="A24" t="str">
        <f>"000031"</f>
        <v>000031</v>
      </c>
      <c r="B24" t="s">
        <v>52</v>
      </c>
      <c r="C24">
        <v>126.02</v>
      </c>
      <c r="D24">
        <v>1672.78</v>
      </c>
      <c r="E24">
        <v>101.33</v>
      </c>
      <c r="F24">
        <v>42.86</v>
      </c>
      <c r="G24">
        <v>42.86</v>
      </c>
      <c r="H24">
        <v>89652</v>
      </c>
      <c r="I24">
        <v>1.24</v>
      </c>
      <c r="J24" t="s">
        <v>14</v>
      </c>
      <c r="K24" t="s">
        <v>53</v>
      </c>
    </row>
    <row r="25" spans="1:11">
      <c r="A25" t="str">
        <f>"000032"</f>
        <v>000032</v>
      </c>
      <c r="B25" t="s">
        <v>54</v>
      </c>
      <c r="C25">
        <v>253.39</v>
      </c>
      <c r="D25">
        <v>672.15</v>
      </c>
      <c r="E25">
        <v>61.21</v>
      </c>
      <c r="F25">
        <v>11.38</v>
      </c>
      <c r="G25">
        <v>10.89</v>
      </c>
      <c r="H25">
        <v>69795</v>
      </c>
      <c r="I25">
        <v>4.32</v>
      </c>
      <c r="J25" t="s">
        <v>14</v>
      </c>
      <c r="K25" t="s">
        <v>55</v>
      </c>
    </row>
    <row r="26" spans="1:11">
      <c r="A26" t="str">
        <f>"000034"</f>
        <v>000034</v>
      </c>
      <c r="B26" t="s">
        <v>56</v>
      </c>
      <c r="C26">
        <v>253.28</v>
      </c>
      <c r="D26">
        <v>503.71</v>
      </c>
      <c r="E26">
        <v>111.05</v>
      </c>
      <c r="F26">
        <v>7.23</v>
      </c>
      <c r="G26">
        <v>6.05</v>
      </c>
      <c r="H26">
        <v>123700</v>
      </c>
      <c r="I26">
        <v>2.73</v>
      </c>
      <c r="J26">
        <v>33.91</v>
      </c>
      <c r="K26" t="s">
        <v>57</v>
      </c>
    </row>
    <row r="27" spans="1:11">
      <c r="A27" t="str">
        <f>"000035"</f>
        <v>000035</v>
      </c>
      <c r="B27" t="s">
        <v>58</v>
      </c>
      <c r="C27">
        <v>132.54</v>
      </c>
      <c r="D27">
        <v>324.08</v>
      </c>
      <c r="E27">
        <v>109.34</v>
      </c>
      <c r="F27">
        <v>23.88</v>
      </c>
      <c r="G27">
        <v>23.13</v>
      </c>
      <c r="H27">
        <v>43317</v>
      </c>
      <c r="I27">
        <v>1.31</v>
      </c>
      <c r="J27">
        <v>32.75</v>
      </c>
      <c r="K27" t="s">
        <v>59</v>
      </c>
    </row>
    <row r="28" spans="1:11">
      <c r="A28" t="str">
        <f>"000036"</f>
        <v>000036</v>
      </c>
      <c r="B28" t="s">
        <v>60</v>
      </c>
      <c r="C28">
        <v>96.96</v>
      </c>
      <c r="D28">
        <v>76.43</v>
      </c>
      <c r="E28">
        <v>50.83</v>
      </c>
      <c r="F28">
        <v>14.04</v>
      </c>
      <c r="G28">
        <v>14.01</v>
      </c>
      <c r="H28">
        <v>46783</v>
      </c>
      <c r="I28">
        <v>1.91</v>
      </c>
      <c r="J28">
        <v>204.18</v>
      </c>
      <c r="K28" t="s">
        <v>15</v>
      </c>
    </row>
    <row r="29" spans="1:11">
      <c r="A29" t="str">
        <f>"000037"</f>
        <v>000037</v>
      </c>
      <c r="B29" t="s">
        <v>61</v>
      </c>
      <c r="C29">
        <v>29.59</v>
      </c>
      <c r="D29">
        <v>20.12</v>
      </c>
      <c r="E29">
        <v>14.7</v>
      </c>
      <c r="F29">
        <v>6.03</v>
      </c>
      <c r="G29">
        <v>3.39</v>
      </c>
      <c r="H29">
        <v>46770</v>
      </c>
      <c r="I29">
        <v>3.58</v>
      </c>
      <c r="J29" t="s">
        <v>14</v>
      </c>
      <c r="K29" t="s">
        <v>46</v>
      </c>
    </row>
    <row r="30" spans="1:11">
      <c r="A30" t="str">
        <f>"000039"</f>
        <v>000039</v>
      </c>
      <c r="B30" t="s">
        <v>62</v>
      </c>
      <c r="C30">
        <v>221.17</v>
      </c>
      <c r="D30">
        <v>1752.52</v>
      </c>
      <c r="E30">
        <v>526.35</v>
      </c>
      <c r="F30">
        <v>53.93</v>
      </c>
      <c r="G30">
        <v>23.01</v>
      </c>
      <c r="H30">
        <v>115873</v>
      </c>
      <c r="I30">
        <v>1.07</v>
      </c>
      <c r="J30">
        <v>24.83</v>
      </c>
      <c r="K30" t="s">
        <v>63</v>
      </c>
    </row>
    <row r="31" spans="1:11">
      <c r="A31" t="str">
        <f>"000042"</f>
        <v>000042</v>
      </c>
      <c r="B31" t="s">
        <v>64</v>
      </c>
      <c r="C31">
        <v>56.12</v>
      </c>
      <c r="D31">
        <v>345.64</v>
      </c>
      <c r="E31">
        <v>32.96</v>
      </c>
      <c r="F31">
        <v>6.65</v>
      </c>
      <c r="G31">
        <v>6.64</v>
      </c>
      <c r="H31">
        <v>15689</v>
      </c>
      <c r="I31">
        <v>1.7</v>
      </c>
      <c r="J31">
        <v>68.5</v>
      </c>
      <c r="K31" t="s">
        <v>15</v>
      </c>
    </row>
    <row r="32" spans="1:11">
      <c r="A32" t="str">
        <f>"000045"</f>
        <v>000045</v>
      </c>
      <c r="B32" t="s">
        <v>65</v>
      </c>
      <c r="C32">
        <v>55.85</v>
      </c>
      <c r="D32">
        <v>52.81</v>
      </c>
      <c r="E32">
        <v>29.75</v>
      </c>
      <c r="F32">
        <v>5.07</v>
      </c>
      <c r="G32">
        <v>4.57</v>
      </c>
      <c r="H32">
        <v>34361</v>
      </c>
      <c r="I32">
        <v>2.08</v>
      </c>
      <c r="J32">
        <v>78.09</v>
      </c>
      <c r="K32" t="s">
        <v>66</v>
      </c>
    </row>
    <row r="33" spans="1:11">
      <c r="A33" t="str">
        <f>"000048"</f>
        <v>000048</v>
      </c>
      <c r="B33" t="s">
        <v>67</v>
      </c>
      <c r="C33">
        <v>78.32</v>
      </c>
      <c r="D33">
        <v>104.92</v>
      </c>
      <c r="E33">
        <v>42.25</v>
      </c>
      <c r="F33">
        <v>5.3</v>
      </c>
      <c r="G33">
        <v>5.26</v>
      </c>
      <c r="H33">
        <v>16511</v>
      </c>
      <c r="I33">
        <v>1.87</v>
      </c>
      <c r="J33">
        <v>19.87</v>
      </c>
      <c r="K33" t="s">
        <v>68</v>
      </c>
    </row>
    <row r="34" spans="1:11">
      <c r="A34" t="str">
        <f>"000049"</f>
        <v>000049</v>
      </c>
      <c r="B34" t="s">
        <v>69</v>
      </c>
      <c r="C34">
        <v>102.94</v>
      </c>
      <c r="D34">
        <v>173.48</v>
      </c>
      <c r="E34">
        <v>66.62</v>
      </c>
      <c r="F34">
        <v>3.85</v>
      </c>
      <c r="G34">
        <v>3.85</v>
      </c>
      <c r="H34">
        <v>59309</v>
      </c>
      <c r="I34">
        <v>1.55</v>
      </c>
      <c r="J34">
        <v>34.23</v>
      </c>
      <c r="K34" t="s">
        <v>70</v>
      </c>
    </row>
    <row r="35" spans="1:11">
      <c r="A35" t="str">
        <f>"000050"</f>
        <v>000050</v>
      </c>
      <c r="B35" t="s">
        <v>71</v>
      </c>
      <c r="C35">
        <v>249.21</v>
      </c>
      <c r="D35">
        <v>772.63</v>
      </c>
      <c r="E35">
        <v>275.03</v>
      </c>
      <c r="F35">
        <v>24.58</v>
      </c>
      <c r="G35">
        <v>24.58</v>
      </c>
      <c r="H35">
        <v>75273</v>
      </c>
      <c r="I35">
        <v>0.91</v>
      </c>
      <c r="J35">
        <v>59.69</v>
      </c>
      <c r="K35" t="s">
        <v>39</v>
      </c>
    </row>
    <row r="36" spans="1:11">
      <c r="A36" t="str">
        <f>"000055"</f>
        <v>000055</v>
      </c>
      <c r="B36" t="s">
        <v>72</v>
      </c>
      <c r="C36">
        <v>29.13</v>
      </c>
      <c r="D36">
        <v>131.27</v>
      </c>
      <c r="E36">
        <v>60.89</v>
      </c>
      <c r="F36">
        <v>10.74</v>
      </c>
      <c r="G36">
        <v>6.76</v>
      </c>
      <c r="H36">
        <v>44847</v>
      </c>
      <c r="I36">
        <v>0.76</v>
      </c>
      <c r="J36">
        <v>218.45</v>
      </c>
      <c r="K36" t="s">
        <v>73</v>
      </c>
    </row>
    <row r="37" spans="1:11">
      <c r="A37" t="str">
        <f>"000056"</f>
        <v>000056</v>
      </c>
      <c r="B37" t="s">
        <v>74</v>
      </c>
      <c r="C37">
        <v>18.89</v>
      </c>
      <c r="D37">
        <v>20.96</v>
      </c>
      <c r="E37">
        <v>-20.87</v>
      </c>
      <c r="F37">
        <v>11.83</v>
      </c>
      <c r="G37">
        <v>9.04</v>
      </c>
      <c r="H37">
        <v>58475</v>
      </c>
      <c r="I37">
        <v>-1.18</v>
      </c>
      <c r="J37" t="s">
        <v>14</v>
      </c>
      <c r="K37" t="s">
        <v>20</v>
      </c>
    </row>
    <row r="38" spans="1:11">
      <c r="A38" t="str">
        <f>"000058"</f>
        <v>000058</v>
      </c>
      <c r="B38" t="s">
        <v>75</v>
      </c>
      <c r="C38">
        <v>93.65</v>
      </c>
      <c r="D38">
        <v>50.46</v>
      </c>
      <c r="E38">
        <v>20.83</v>
      </c>
      <c r="F38">
        <v>12.31</v>
      </c>
      <c r="G38">
        <v>9.85</v>
      </c>
      <c r="H38">
        <v>57044</v>
      </c>
      <c r="I38">
        <v>5.62</v>
      </c>
      <c r="J38">
        <v>94.54</v>
      </c>
      <c r="K38" t="s">
        <v>20</v>
      </c>
    </row>
    <row r="39" spans="1:11">
      <c r="A39" t="str">
        <f>"000059"</f>
        <v>000059</v>
      </c>
      <c r="B39" t="s">
        <v>76</v>
      </c>
      <c r="C39">
        <v>88.29</v>
      </c>
      <c r="D39">
        <v>244.72</v>
      </c>
      <c r="E39">
        <v>100.8</v>
      </c>
      <c r="F39">
        <v>15.99</v>
      </c>
      <c r="G39">
        <v>15.99</v>
      </c>
      <c r="H39">
        <v>41066</v>
      </c>
      <c r="I39">
        <v>0.88</v>
      </c>
      <c r="J39" t="s">
        <v>14</v>
      </c>
      <c r="K39" t="s">
        <v>77</v>
      </c>
    </row>
    <row r="40" spans="1:11">
      <c r="A40" t="str">
        <f>"000060"</f>
        <v>000060</v>
      </c>
      <c r="B40" t="s">
        <v>78</v>
      </c>
      <c r="C40">
        <v>291.78</v>
      </c>
      <c r="D40">
        <v>504.81</v>
      </c>
      <c r="E40">
        <v>164.61</v>
      </c>
      <c r="F40">
        <v>44.41</v>
      </c>
      <c r="G40">
        <v>44.41</v>
      </c>
      <c r="H40">
        <v>126436</v>
      </c>
      <c r="I40">
        <v>1.54</v>
      </c>
      <c r="J40">
        <v>26.03</v>
      </c>
      <c r="K40" t="s">
        <v>79</v>
      </c>
    </row>
    <row r="41" spans="1:11">
      <c r="A41" t="str">
        <f>"000061"</f>
        <v>000061</v>
      </c>
      <c r="B41" t="s">
        <v>80</v>
      </c>
      <c r="C41">
        <v>168.68</v>
      </c>
      <c r="D41">
        <v>239</v>
      </c>
      <c r="E41">
        <v>84.01</v>
      </c>
      <c r="F41">
        <v>19.85</v>
      </c>
      <c r="G41">
        <v>16.97</v>
      </c>
      <c r="H41">
        <v>38333</v>
      </c>
      <c r="I41">
        <v>2.35</v>
      </c>
      <c r="J41">
        <v>56.08</v>
      </c>
      <c r="K41" t="s">
        <v>20</v>
      </c>
    </row>
    <row r="42" spans="1:11">
      <c r="A42" t="str">
        <f>"000062"</f>
        <v>000062</v>
      </c>
      <c r="B42" t="s">
        <v>81</v>
      </c>
      <c r="C42">
        <v>264.78</v>
      </c>
      <c r="D42">
        <v>166.6</v>
      </c>
      <c r="E42">
        <v>68.76</v>
      </c>
      <c r="F42">
        <v>10.46</v>
      </c>
      <c r="G42">
        <v>10.45</v>
      </c>
      <c r="H42">
        <v>105894</v>
      </c>
      <c r="I42">
        <v>3.85</v>
      </c>
      <c r="J42">
        <v>55.05</v>
      </c>
      <c r="K42" t="s">
        <v>82</v>
      </c>
    </row>
    <row r="43" spans="1:11">
      <c r="A43" t="str">
        <f>"000063"</f>
        <v>000063</v>
      </c>
      <c r="B43" t="s">
        <v>83</v>
      </c>
      <c r="C43">
        <v>1626.76</v>
      </c>
      <c r="D43">
        <v>2146.58</v>
      </c>
      <c r="E43">
        <v>750.91</v>
      </c>
      <c r="F43">
        <v>47.84</v>
      </c>
      <c r="G43">
        <v>40.28</v>
      </c>
      <c r="H43">
        <v>624136</v>
      </c>
      <c r="I43">
        <v>2.58</v>
      </c>
      <c r="J43">
        <v>27.23</v>
      </c>
      <c r="K43" t="s">
        <v>84</v>
      </c>
    </row>
    <row r="44" spans="1:11">
      <c r="A44" t="str">
        <f>"000065"</f>
        <v>000065</v>
      </c>
      <c r="B44" t="s">
        <v>85</v>
      </c>
      <c r="C44">
        <v>117.68</v>
      </c>
      <c r="D44">
        <v>252.8</v>
      </c>
      <c r="E44">
        <v>101.79</v>
      </c>
      <c r="F44">
        <v>10.71</v>
      </c>
      <c r="G44">
        <v>9.75</v>
      </c>
      <c r="H44">
        <v>50189</v>
      </c>
      <c r="I44">
        <v>1.27</v>
      </c>
      <c r="J44">
        <v>20.01</v>
      </c>
      <c r="K44" t="s">
        <v>86</v>
      </c>
    </row>
    <row r="45" spans="1:11">
      <c r="A45" t="str">
        <f>"000066"</f>
        <v>000066</v>
      </c>
      <c r="B45" t="s">
        <v>87</v>
      </c>
      <c r="C45">
        <v>539.96</v>
      </c>
      <c r="D45">
        <v>318.81</v>
      </c>
      <c r="E45">
        <v>110.93</v>
      </c>
      <c r="F45">
        <v>32.26</v>
      </c>
      <c r="G45">
        <v>32.26</v>
      </c>
      <c r="H45">
        <v>376467</v>
      </c>
      <c r="I45">
        <v>4.87</v>
      </c>
      <c r="J45">
        <v>2520.75</v>
      </c>
      <c r="K45" t="s">
        <v>88</v>
      </c>
    </row>
    <row r="46" spans="1:11">
      <c r="A46" t="str">
        <f>"000068"</f>
        <v>000068</v>
      </c>
      <c r="B46" t="s">
        <v>89</v>
      </c>
      <c r="C46">
        <v>34.23</v>
      </c>
      <c r="D46">
        <v>40.22</v>
      </c>
      <c r="E46">
        <v>6.08</v>
      </c>
      <c r="F46">
        <v>10.07</v>
      </c>
      <c r="G46">
        <v>10.07</v>
      </c>
      <c r="H46">
        <v>38067</v>
      </c>
      <c r="I46">
        <v>5.63</v>
      </c>
      <c r="J46" t="s">
        <v>14</v>
      </c>
      <c r="K46" t="s">
        <v>90</v>
      </c>
    </row>
    <row r="47" spans="1:11">
      <c r="A47" t="str">
        <f>"000069"</f>
        <v>000069</v>
      </c>
      <c r="B47" t="s">
        <v>91</v>
      </c>
      <c r="C47">
        <v>177.29</v>
      </c>
      <c r="D47">
        <v>3057.1</v>
      </c>
      <c r="E47">
        <v>489.84</v>
      </c>
      <c r="F47">
        <v>80.38</v>
      </c>
      <c r="G47">
        <v>68.99</v>
      </c>
      <c r="H47">
        <v>105228</v>
      </c>
      <c r="I47">
        <v>0.45</v>
      </c>
      <c r="J47" t="s">
        <v>14</v>
      </c>
      <c r="K47" t="s">
        <v>15</v>
      </c>
    </row>
    <row r="48" spans="1:11">
      <c r="A48" t="str">
        <f>"000070"</f>
        <v>000070</v>
      </c>
      <c r="B48" t="s">
        <v>92</v>
      </c>
      <c r="C48">
        <v>111.88</v>
      </c>
      <c r="D48">
        <v>73.07</v>
      </c>
      <c r="E48">
        <v>15.08</v>
      </c>
      <c r="F48">
        <v>9</v>
      </c>
      <c r="G48">
        <v>8.89</v>
      </c>
      <c r="H48">
        <v>97364</v>
      </c>
      <c r="I48">
        <v>7.52</v>
      </c>
      <c r="J48">
        <v>1063.22</v>
      </c>
      <c r="K48" t="s">
        <v>93</v>
      </c>
    </row>
    <row r="49" spans="1:11">
      <c r="A49" t="str">
        <f>"000078"</f>
        <v>000078</v>
      </c>
      <c r="B49" t="s">
        <v>94</v>
      </c>
      <c r="C49">
        <v>117.93</v>
      </c>
      <c r="D49">
        <v>272.77</v>
      </c>
      <c r="E49">
        <v>18.22</v>
      </c>
      <c r="F49">
        <v>26.31</v>
      </c>
      <c r="G49">
        <v>26.26</v>
      </c>
      <c r="H49">
        <v>124206</v>
      </c>
      <c r="I49">
        <v>6.48</v>
      </c>
      <c r="J49">
        <v>344.72</v>
      </c>
      <c r="K49" t="s">
        <v>48</v>
      </c>
    </row>
    <row r="50" spans="1:11">
      <c r="A50" t="str">
        <f>"000088"</f>
        <v>000088</v>
      </c>
      <c r="B50" t="s">
        <v>95</v>
      </c>
      <c r="C50">
        <v>141.7</v>
      </c>
      <c r="D50">
        <v>241.36</v>
      </c>
      <c r="E50">
        <v>181.37</v>
      </c>
      <c r="F50">
        <v>51.99</v>
      </c>
      <c r="G50">
        <v>31.63</v>
      </c>
      <c r="H50">
        <v>71754</v>
      </c>
      <c r="I50">
        <v>1.28</v>
      </c>
      <c r="J50">
        <v>16.31</v>
      </c>
      <c r="K50" t="s">
        <v>96</v>
      </c>
    </row>
    <row r="51" spans="1:11">
      <c r="A51" t="str">
        <f>"000089"</f>
        <v>000089</v>
      </c>
      <c r="B51" t="s">
        <v>97</v>
      </c>
      <c r="C51">
        <v>142.53</v>
      </c>
      <c r="D51">
        <v>240.75</v>
      </c>
      <c r="E51">
        <v>115.72</v>
      </c>
      <c r="F51">
        <v>20.51</v>
      </c>
      <c r="G51">
        <v>20.51</v>
      </c>
      <c r="H51">
        <v>57917</v>
      </c>
      <c r="I51">
        <v>1.23</v>
      </c>
      <c r="J51">
        <v>22.84</v>
      </c>
      <c r="K51" t="s">
        <v>98</v>
      </c>
    </row>
    <row r="52" spans="1:11">
      <c r="A52" t="str">
        <f>"000090"</f>
        <v>000090</v>
      </c>
      <c r="B52" t="s">
        <v>99</v>
      </c>
      <c r="C52">
        <v>70.63</v>
      </c>
      <c r="D52">
        <v>633.47</v>
      </c>
      <c r="E52">
        <v>144.87</v>
      </c>
      <c r="F52">
        <v>18.69</v>
      </c>
      <c r="G52">
        <v>18.68</v>
      </c>
      <c r="H52">
        <v>41446</v>
      </c>
      <c r="I52">
        <v>0.63</v>
      </c>
      <c r="J52">
        <v>263.17</v>
      </c>
      <c r="K52" t="s">
        <v>100</v>
      </c>
    </row>
    <row r="53" spans="1:11">
      <c r="A53" t="str">
        <f>"000096"</f>
        <v>000096</v>
      </c>
      <c r="B53" t="s">
        <v>101</v>
      </c>
      <c r="C53">
        <v>55.43</v>
      </c>
      <c r="D53">
        <v>33.46</v>
      </c>
      <c r="E53">
        <v>27.94</v>
      </c>
      <c r="F53">
        <v>5.28</v>
      </c>
      <c r="G53">
        <v>5.11</v>
      </c>
      <c r="H53">
        <v>38763</v>
      </c>
      <c r="I53">
        <v>2.05</v>
      </c>
      <c r="J53">
        <v>140.08</v>
      </c>
      <c r="K53" t="s">
        <v>102</v>
      </c>
    </row>
    <row r="54" spans="1:11">
      <c r="A54" t="str">
        <f>"000099"</f>
        <v>000099</v>
      </c>
      <c r="B54" t="s">
        <v>103</v>
      </c>
      <c r="C54">
        <v>174.08</v>
      </c>
      <c r="D54">
        <v>77.88</v>
      </c>
      <c r="E54">
        <v>54.69</v>
      </c>
      <c r="F54">
        <v>7.76</v>
      </c>
      <c r="G54">
        <v>7.76</v>
      </c>
      <c r="H54">
        <v>124959</v>
      </c>
      <c r="I54">
        <v>3.18</v>
      </c>
      <c r="J54">
        <v>53.37</v>
      </c>
      <c r="K54" t="s">
        <v>104</v>
      </c>
    </row>
    <row r="55" spans="1:11">
      <c r="A55" t="str">
        <f>"000100"</f>
        <v>000100</v>
      </c>
      <c r="B55" t="s">
        <v>105</v>
      </c>
      <c r="C55">
        <v>897.6</v>
      </c>
      <c r="D55">
        <v>3816.51</v>
      </c>
      <c r="E55">
        <v>609.3</v>
      </c>
      <c r="F55">
        <v>208.01</v>
      </c>
      <c r="G55">
        <v>180.97</v>
      </c>
      <c r="H55">
        <v>671098</v>
      </c>
      <c r="I55">
        <v>1.69</v>
      </c>
      <c r="J55">
        <v>25.4</v>
      </c>
      <c r="K55" t="s">
        <v>39</v>
      </c>
    </row>
    <row r="56" spans="1:11">
      <c r="A56" t="str">
        <f>"000151"</f>
        <v>000151</v>
      </c>
      <c r="B56" t="s">
        <v>106</v>
      </c>
      <c r="C56">
        <v>38</v>
      </c>
      <c r="D56">
        <v>21.98</v>
      </c>
      <c r="E56">
        <v>3.33</v>
      </c>
      <c r="F56">
        <v>3.37</v>
      </c>
      <c r="G56">
        <v>3.08</v>
      </c>
      <c r="H56">
        <v>28394</v>
      </c>
      <c r="I56">
        <v>12.5</v>
      </c>
      <c r="J56" t="s">
        <v>14</v>
      </c>
      <c r="K56" t="s">
        <v>107</v>
      </c>
    </row>
    <row r="57" spans="1:11">
      <c r="A57" t="str">
        <f>"000153"</f>
        <v>000153</v>
      </c>
      <c r="B57" t="s">
        <v>108</v>
      </c>
      <c r="C57">
        <v>29.78</v>
      </c>
      <c r="D57">
        <v>49.68</v>
      </c>
      <c r="E57">
        <v>21.02</v>
      </c>
      <c r="F57">
        <v>4.65</v>
      </c>
      <c r="G57">
        <v>4.59</v>
      </c>
      <c r="H57">
        <v>39078</v>
      </c>
      <c r="I57">
        <v>1.44</v>
      </c>
      <c r="J57">
        <v>22.55</v>
      </c>
      <c r="K57" t="s">
        <v>109</v>
      </c>
    </row>
    <row r="58" spans="1:11">
      <c r="A58" t="str">
        <f>"000155"</f>
        <v>000155</v>
      </c>
      <c r="B58" t="s">
        <v>110</v>
      </c>
      <c r="C58">
        <v>231.88</v>
      </c>
      <c r="D58">
        <v>282.63</v>
      </c>
      <c r="E58">
        <v>103.17</v>
      </c>
      <c r="F58">
        <v>18.46</v>
      </c>
      <c r="G58">
        <v>18.46</v>
      </c>
      <c r="H58">
        <v>111520</v>
      </c>
      <c r="I58">
        <v>2.25</v>
      </c>
      <c r="J58">
        <v>50.05</v>
      </c>
      <c r="K58" t="s">
        <v>111</v>
      </c>
    </row>
    <row r="59" spans="1:11">
      <c r="A59" t="str">
        <f>"000156"</f>
        <v>000156</v>
      </c>
      <c r="B59" t="s">
        <v>112</v>
      </c>
      <c r="C59">
        <v>149.93</v>
      </c>
      <c r="D59">
        <v>296.27</v>
      </c>
      <c r="E59">
        <v>149.54</v>
      </c>
      <c r="F59">
        <v>18.53</v>
      </c>
      <c r="G59">
        <v>17</v>
      </c>
      <c r="H59">
        <v>42698</v>
      </c>
      <c r="I59">
        <v>1.09</v>
      </c>
      <c r="J59">
        <v>35.12</v>
      </c>
      <c r="K59" t="s">
        <v>113</v>
      </c>
    </row>
    <row r="60" spans="1:11">
      <c r="A60" t="str">
        <f>"000157"</f>
        <v>000157</v>
      </c>
      <c r="B60" t="s">
        <v>114</v>
      </c>
      <c r="C60">
        <v>608.76</v>
      </c>
      <c r="D60">
        <v>1311.06</v>
      </c>
      <c r="E60">
        <v>583.25</v>
      </c>
      <c r="F60">
        <v>86.49</v>
      </c>
      <c r="G60">
        <v>70.7</v>
      </c>
      <c r="H60">
        <v>236356</v>
      </c>
      <c r="I60">
        <v>1.28</v>
      </c>
      <c r="J60">
        <v>14.25</v>
      </c>
      <c r="K60" t="s">
        <v>115</v>
      </c>
    </row>
    <row r="61" spans="1:11">
      <c r="A61" t="str">
        <f>"000158"</f>
        <v>000158</v>
      </c>
      <c r="B61" t="s">
        <v>116</v>
      </c>
      <c r="C61">
        <v>346.65</v>
      </c>
      <c r="D61">
        <v>173.65</v>
      </c>
      <c r="E61">
        <v>52.17</v>
      </c>
      <c r="F61">
        <v>15.99</v>
      </c>
      <c r="G61">
        <v>15.88</v>
      </c>
      <c r="H61">
        <v>388783</v>
      </c>
      <c r="I61">
        <v>6.69</v>
      </c>
      <c r="J61" t="s">
        <v>14</v>
      </c>
      <c r="K61" t="s">
        <v>117</v>
      </c>
    </row>
    <row r="62" spans="1:11">
      <c r="A62" t="str">
        <f>"000159"</f>
        <v>000159</v>
      </c>
      <c r="B62" t="s">
        <v>118</v>
      </c>
      <c r="C62">
        <v>30.47</v>
      </c>
      <c r="D62">
        <v>35.97</v>
      </c>
      <c r="E62">
        <v>20.38</v>
      </c>
      <c r="F62">
        <v>4.81</v>
      </c>
      <c r="G62">
        <v>4.81</v>
      </c>
      <c r="H62">
        <v>46770</v>
      </c>
      <c r="I62">
        <v>1.5</v>
      </c>
      <c r="J62">
        <v>113.66</v>
      </c>
      <c r="K62" t="s">
        <v>102</v>
      </c>
    </row>
    <row r="63" spans="1:11">
      <c r="A63" t="str">
        <f>"000166"</f>
        <v>000166</v>
      </c>
      <c r="B63" t="s">
        <v>119</v>
      </c>
      <c r="C63">
        <v>1203.4</v>
      </c>
      <c r="D63">
        <v>7219.73</v>
      </c>
      <c r="E63">
        <v>1111.92</v>
      </c>
      <c r="F63">
        <v>250.4</v>
      </c>
      <c r="G63">
        <v>225.36</v>
      </c>
      <c r="H63">
        <v>219272</v>
      </c>
      <c r="I63">
        <v>1.2</v>
      </c>
      <c r="J63">
        <v>12.51</v>
      </c>
      <c r="K63" t="s">
        <v>120</v>
      </c>
    </row>
    <row r="64" spans="1:11">
      <c r="A64" t="str">
        <f>"000301"</f>
        <v>000301</v>
      </c>
      <c r="B64" t="s">
        <v>121</v>
      </c>
      <c r="C64">
        <v>714.38</v>
      </c>
      <c r="D64">
        <v>2128.03</v>
      </c>
      <c r="E64">
        <v>343.31</v>
      </c>
      <c r="F64">
        <v>66.11</v>
      </c>
      <c r="G64">
        <v>66.09</v>
      </c>
      <c r="H64">
        <v>73343</v>
      </c>
      <c r="I64">
        <v>2.14</v>
      </c>
      <c r="J64">
        <v>424.01</v>
      </c>
      <c r="K64" t="s">
        <v>122</v>
      </c>
    </row>
    <row r="65" spans="1:11">
      <c r="A65" t="str">
        <f>"000333"</f>
        <v>000333</v>
      </c>
      <c r="B65" t="s">
        <v>123</v>
      </c>
      <c r="C65">
        <v>5281.62</v>
      </c>
      <c r="D65">
        <v>5933.13</v>
      </c>
      <c r="E65">
        <v>2205.59</v>
      </c>
      <c r="F65">
        <v>75.97</v>
      </c>
      <c r="G65">
        <v>68.46</v>
      </c>
      <c r="H65">
        <v>308748</v>
      </c>
      <c r="I65">
        <v>2.69</v>
      </c>
      <c r="J65">
        <v>11.6</v>
      </c>
      <c r="K65" t="s">
        <v>124</v>
      </c>
    </row>
    <row r="66" spans="1:11">
      <c r="A66" t="str">
        <f>"000338"</f>
        <v>000338</v>
      </c>
      <c r="B66" t="s">
        <v>125</v>
      </c>
      <c r="C66">
        <v>970.88</v>
      </c>
      <c r="D66">
        <v>3643.25</v>
      </c>
      <c r="E66">
        <v>940.51</v>
      </c>
      <c r="F66">
        <v>87.14</v>
      </c>
      <c r="G66">
        <v>50.07</v>
      </c>
      <c r="H66">
        <v>282178</v>
      </c>
      <c r="I66">
        <v>1.8</v>
      </c>
      <c r="J66">
        <v>14.27</v>
      </c>
      <c r="K66" t="s">
        <v>51</v>
      </c>
    </row>
    <row r="67" spans="1:11">
      <c r="A67" t="str">
        <f>"000400"</f>
        <v>000400</v>
      </c>
      <c r="B67" t="s">
        <v>126</v>
      </c>
      <c r="C67">
        <v>285.5</v>
      </c>
      <c r="D67">
        <v>263.02</v>
      </c>
      <c r="E67">
        <v>118.44</v>
      </c>
      <c r="F67">
        <v>10.19</v>
      </c>
      <c r="G67">
        <v>10.12</v>
      </c>
      <c r="H67">
        <v>114561</v>
      </c>
      <c r="I67">
        <v>2.43</v>
      </c>
      <c r="J67">
        <v>23.92</v>
      </c>
      <c r="K67" t="s">
        <v>127</v>
      </c>
    </row>
    <row r="68" spans="1:11">
      <c r="A68" t="str">
        <f>"000401"</f>
        <v>000401</v>
      </c>
      <c r="B68" t="s">
        <v>128</v>
      </c>
      <c r="C68">
        <v>120.52</v>
      </c>
      <c r="D68">
        <v>586.58</v>
      </c>
      <c r="E68">
        <v>274.75</v>
      </c>
      <c r="F68">
        <v>26.58</v>
      </c>
      <c r="G68">
        <v>26.31</v>
      </c>
      <c r="H68">
        <v>78128</v>
      </c>
      <c r="I68">
        <v>0.45</v>
      </c>
      <c r="J68">
        <v>226.27</v>
      </c>
      <c r="K68" t="s">
        <v>129</v>
      </c>
    </row>
    <row r="69" spans="1:11">
      <c r="A69" t="str">
        <f>"000402"</f>
        <v>000402</v>
      </c>
      <c r="B69" t="s">
        <v>130</v>
      </c>
      <c r="C69">
        <v>83.68</v>
      </c>
      <c r="D69">
        <v>1137.53</v>
      </c>
      <c r="E69">
        <v>235.44</v>
      </c>
      <c r="F69">
        <v>29.89</v>
      </c>
      <c r="G69">
        <v>29.89</v>
      </c>
      <c r="H69">
        <v>70989</v>
      </c>
      <c r="I69">
        <v>0.36</v>
      </c>
      <c r="J69" t="s">
        <v>14</v>
      </c>
      <c r="K69" t="s">
        <v>53</v>
      </c>
    </row>
    <row r="70" spans="1:11">
      <c r="A70" t="str">
        <f>"000403"</f>
        <v>000403</v>
      </c>
      <c r="B70" t="s">
        <v>131</v>
      </c>
      <c r="C70">
        <v>134.24</v>
      </c>
      <c r="D70">
        <v>95.75</v>
      </c>
      <c r="E70">
        <v>80.26</v>
      </c>
      <c r="F70">
        <v>9.5</v>
      </c>
      <c r="G70">
        <v>9.41</v>
      </c>
      <c r="H70">
        <v>34061</v>
      </c>
      <c r="I70">
        <v>1.69</v>
      </c>
      <c r="J70">
        <v>28.48</v>
      </c>
      <c r="K70" t="s">
        <v>132</v>
      </c>
    </row>
    <row r="71" spans="1:11">
      <c r="A71" t="str">
        <f>"000404"</f>
        <v>000404</v>
      </c>
      <c r="B71" t="s">
        <v>133</v>
      </c>
      <c r="C71">
        <v>47.45</v>
      </c>
      <c r="D71">
        <v>151.57</v>
      </c>
      <c r="E71">
        <v>42.52</v>
      </c>
      <c r="F71">
        <v>6.96</v>
      </c>
      <c r="G71">
        <v>6.93</v>
      </c>
      <c r="H71">
        <v>30044</v>
      </c>
      <c r="I71">
        <v>1.12</v>
      </c>
      <c r="J71">
        <v>9.41</v>
      </c>
      <c r="K71" t="s">
        <v>134</v>
      </c>
    </row>
    <row r="72" spans="1:11">
      <c r="A72" t="str">
        <f>"000407"</f>
        <v>000407</v>
      </c>
      <c r="B72" t="s">
        <v>135</v>
      </c>
      <c r="C72">
        <v>44.93</v>
      </c>
      <c r="D72">
        <v>60.48</v>
      </c>
      <c r="E72">
        <v>30.46</v>
      </c>
      <c r="F72">
        <v>8.8</v>
      </c>
      <c r="G72">
        <v>8.76</v>
      </c>
      <c r="H72">
        <v>46665</v>
      </c>
      <c r="I72">
        <v>1.48</v>
      </c>
      <c r="J72">
        <v>28.2</v>
      </c>
      <c r="K72" t="s">
        <v>136</v>
      </c>
    </row>
    <row r="73" spans="1:11">
      <c r="A73" t="str">
        <f>"000408"</f>
        <v>000408</v>
      </c>
      <c r="B73" t="s">
        <v>137</v>
      </c>
      <c r="C73">
        <v>1408.95</v>
      </c>
      <c r="D73">
        <v>163.65</v>
      </c>
      <c r="E73">
        <v>151.1</v>
      </c>
      <c r="F73">
        <v>15.7</v>
      </c>
      <c r="G73">
        <v>15.7</v>
      </c>
      <c r="H73">
        <v>36801</v>
      </c>
      <c r="I73">
        <v>9.32</v>
      </c>
      <c r="J73">
        <v>38.42</v>
      </c>
      <c r="K73" t="s">
        <v>138</v>
      </c>
    </row>
    <row r="74" spans="1:11">
      <c r="A74" t="str">
        <f>"000409"</f>
        <v>000409</v>
      </c>
      <c r="B74" t="s">
        <v>139</v>
      </c>
      <c r="C74">
        <v>76.68</v>
      </c>
      <c r="D74">
        <v>26.47</v>
      </c>
      <c r="E74">
        <v>15.73</v>
      </c>
      <c r="F74">
        <v>6.78</v>
      </c>
      <c r="G74">
        <v>5.87</v>
      </c>
      <c r="H74">
        <v>79667</v>
      </c>
      <c r="I74">
        <v>5.63</v>
      </c>
      <c r="J74">
        <v>131.17</v>
      </c>
      <c r="K74" t="s">
        <v>117</v>
      </c>
    </row>
    <row r="75" spans="1:11">
      <c r="A75" t="str">
        <f>"000410"</f>
        <v>000410</v>
      </c>
      <c r="B75" t="s">
        <v>140</v>
      </c>
      <c r="C75">
        <v>127.58</v>
      </c>
      <c r="D75">
        <v>96.3</v>
      </c>
      <c r="E75">
        <v>42.19</v>
      </c>
      <c r="F75">
        <v>26.49</v>
      </c>
      <c r="G75">
        <v>16.81</v>
      </c>
      <c r="H75">
        <v>82647</v>
      </c>
      <c r="I75">
        <v>4.24</v>
      </c>
      <c r="J75">
        <v>13166.72</v>
      </c>
      <c r="K75" t="s">
        <v>141</v>
      </c>
    </row>
    <row r="76" spans="1:11">
      <c r="A76" t="str">
        <f>"000411"</f>
        <v>000411</v>
      </c>
      <c r="B76" t="s">
        <v>142</v>
      </c>
      <c r="C76">
        <v>47.34</v>
      </c>
      <c r="D76">
        <v>173.12</v>
      </c>
      <c r="E76">
        <v>47.63</v>
      </c>
      <c r="F76">
        <v>5.41</v>
      </c>
      <c r="G76">
        <v>3.44</v>
      </c>
      <c r="H76">
        <v>27035</v>
      </c>
      <c r="I76">
        <v>1.53</v>
      </c>
      <c r="J76">
        <v>17.33</v>
      </c>
      <c r="K76" t="s">
        <v>48</v>
      </c>
    </row>
    <row r="77" spans="1:11">
      <c r="A77" t="str">
        <f>"000415"</f>
        <v>000415</v>
      </c>
      <c r="B77" t="s">
        <v>143</v>
      </c>
      <c r="C77">
        <v>216.8</v>
      </c>
      <c r="D77">
        <v>2863.3</v>
      </c>
      <c r="E77">
        <v>288.58</v>
      </c>
      <c r="F77">
        <v>61.85</v>
      </c>
      <c r="G77">
        <v>53.93</v>
      </c>
      <c r="H77">
        <v>99820</v>
      </c>
      <c r="I77">
        <v>0.86</v>
      </c>
      <c r="J77" t="s">
        <v>14</v>
      </c>
      <c r="K77" t="s">
        <v>144</v>
      </c>
    </row>
    <row r="78" spans="1:11">
      <c r="A78" t="str">
        <f>"000417"</f>
        <v>000417</v>
      </c>
      <c r="B78" t="s">
        <v>145</v>
      </c>
      <c r="C78">
        <v>61.39</v>
      </c>
      <c r="D78">
        <v>124.41</v>
      </c>
      <c r="E78">
        <v>47.05</v>
      </c>
      <c r="F78">
        <v>7.8</v>
      </c>
      <c r="G78">
        <v>7.79</v>
      </c>
      <c r="H78">
        <v>31915</v>
      </c>
      <c r="I78">
        <v>1.31</v>
      </c>
      <c r="J78">
        <v>26.76</v>
      </c>
      <c r="K78" t="s">
        <v>146</v>
      </c>
    </row>
    <row r="79" spans="1:11">
      <c r="A79" t="str">
        <f>"000419"</f>
        <v>000419</v>
      </c>
      <c r="B79" t="s">
        <v>147</v>
      </c>
      <c r="C79">
        <v>34.63</v>
      </c>
      <c r="D79">
        <v>56.93</v>
      </c>
      <c r="E79">
        <v>34.97</v>
      </c>
      <c r="F79">
        <v>5.44</v>
      </c>
      <c r="G79">
        <v>5.44</v>
      </c>
      <c r="H79">
        <v>26359</v>
      </c>
      <c r="I79">
        <v>0.99</v>
      </c>
      <c r="J79">
        <v>20.87</v>
      </c>
      <c r="K79" t="s">
        <v>148</v>
      </c>
    </row>
    <row r="80" spans="1:11">
      <c r="A80" t="str">
        <f>"000420"</f>
        <v>000420</v>
      </c>
      <c r="B80" t="s">
        <v>149</v>
      </c>
      <c r="C80">
        <v>111.1</v>
      </c>
      <c r="D80">
        <v>136.99</v>
      </c>
      <c r="E80">
        <v>44.23</v>
      </c>
      <c r="F80">
        <v>24.59</v>
      </c>
      <c r="G80">
        <v>24.58</v>
      </c>
      <c r="H80">
        <v>107287</v>
      </c>
      <c r="I80">
        <v>2.51</v>
      </c>
      <c r="J80">
        <v>255.32</v>
      </c>
      <c r="K80" t="s">
        <v>150</v>
      </c>
    </row>
    <row r="81" spans="1:11">
      <c r="A81" t="str">
        <f>"000421"</f>
        <v>000421</v>
      </c>
      <c r="B81" t="s">
        <v>151</v>
      </c>
      <c r="C81">
        <v>39.97</v>
      </c>
      <c r="D81">
        <v>105.71</v>
      </c>
      <c r="E81">
        <v>28.1</v>
      </c>
      <c r="F81">
        <v>5.74</v>
      </c>
      <c r="G81">
        <v>5.74</v>
      </c>
      <c r="H81">
        <v>31623</v>
      </c>
      <c r="I81">
        <v>1.42</v>
      </c>
      <c r="J81">
        <v>25.87</v>
      </c>
      <c r="K81" t="s">
        <v>136</v>
      </c>
    </row>
    <row r="82" spans="1:11">
      <c r="A82" t="str">
        <f>"000422"</f>
        <v>000422</v>
      </c>
      <c r="B82" t="s">
        <v>152</v>
      </c>
      <c r="C82">
        <v>158.67</v>
      </c>
      <c r="D82">
        <v>450.43</v>
      </c>
      <c r="E82">
        <v>58.98</v>
      </c>
      <c r="F82">
        <v>10.88</v>
      </c>
      <c r="G82">
        <v>10.58</v>
      </c>
      <c r="H82">
        <v>83135</v>
      </c>
      <c r="I82">
        <v>2.77</v>
      </c>
      <c r="J82">
        <v>15.08</v>
      </c>
      <c r="K82" t="s">
        <v>153</v>
      </c>
    </row>
    <row r="83" spans="1:11">
      <c r="A83" t="str">
        <f>"000423"</f>
        <v>000423</v>
      </c>
      <c r="B83" t="s">
        <v>154</v>
      </c>
      <c r="C83">
        <v>314.76</v>
      </c>
      <c r="D83">
        <v>127.49</v>
      </c>
      <c r="E83">
        <v>99.48</v>
      </c>
      <c r="F83">
        <v>6.44</v>
      </c>
      <c r="G83">
        <v>6.43</v>
      </c>
      <c r="H83">
        <v>87763</v>
      </c>
      <c r="I83">
        <v>3.17</v>
      </c>
      <c r="J83">
        <v>18.56</v>
      </c>
      <c r="K83" t="s">
        <v>155</v>
      </c>
    </row>
    <row r="84" spans="1:11">
      <c r="A84" t="str">
        <f>"000425"</f>
        <v>000425</v>
      </c>
      <c r="B84" t="s">
        <v>156</v>
      </c>
      <c r="C84">
        <v>1027.65</v>
      </c>
      <c r="D84">
        <v>1796.44</v>
      </c>
      <c r="E84">
        <v>598.68</v>
      </c>
      <c r="F84">
        <v>117.53</v>
      </c>
      <c r="G84">
        <v>92.92</v>
      </c>
      <c r="H84">
        <v>106090</v>
      </c>
      <c r="I84">
        <v>2.17</v>
      </c>
      <c r="J84">
        <v>16.31</v>
      </c>
      <c r="K84" t="s">
        <v>115</v>
      </c>
    </row>
    <row r="85" spans="1:11">
      <c r="A85" t="str">
        <f>"000426"</f>
        <v>000426</v>
      </c>
      <c r="B85" t="s">
        <v>157</v>
      </c>
      <c r="C85">
        <v>894.35</v>
      </c>
      <c r="D85">
        <v>175.13</v>
      </c>
      <c r="E85">
        <v>91.58</v>
      </c>
      <c r="F85">
        <v>17.76</v>
      </c>
      <c r="G85">
        <v>17.75</v>
      </c>
      <c r="H85">
        <v>98900</v>
      </c>
      <c r="I85">
        <v>9.77</v>
      </c>
      <c r="J85">
        <v>49.19</v>
      </c>
      <c r="K85" t="s">
        <v>79</v>
      </c>
    </row>
    <row r="86" spans="1:11">
      <c r="A86" t="str">
        <f>"000428"</f>
        <v>000428</v>
      </c>
      <c r="B86" t="s">
        <v>158</v>
      </c>
      <c r="C86">
        <v>35.15</v>
      </c>
      <c r="D86">
        <v>44.98</v>
      </c>
      <c r="E86">
        <v>13.94</v>
      </c>
      <c r="F86">
        <v>10.19</v>
      </c>
      <c r="G86">
        <v>10.19</v>
      </c>
      <c r="H86">
        <v>46075</v>
      </c>
      <c r="I86">
        <v>2.52</v>
      </c>
      <c r="J86" t="s">
        <v>14</v>
      </c>
      <c r="K86" t="s">
        <v>159</v>
      </c>
    </row>
    <row r="87" spans="1:11">
      <c r="A87" t="str">
        <f>"000429"</f>
        <v>000429</v>
      </c>
      <c r="B87" t="s">
        <v>160</v>
      </c>
      <c r="C87">
        <v>148.84</v>
      </c>
      <c r="D87">
        <v>242.09</v>
      </c>
      <c r="E87">
        <v>108.46</v>
      </c>
      <c r="F87">
        <v>20.91</v>
      </c>
      <c r="G87">
        <v>13.03</v>
      </c>
      <c r="H87">
        <v>66085</v>
      </c>
      <c r="I87">
        <v>2.2</v>
      </c>
      <c r="J87">
        <v>11.59</v>
      </c>
      <c r="K87" t="s">
        <v>161</v>
      </c>
    </row>
    <row r="88" spans="1:11">
      <c r="A88" t="str">
        <f>"000430"</f>
        <v>000430</v>
      </c>
      <c r="B88" t="s">
        <v>162</v>
      </c>
      <c r="C88">
        <v>27.68</v>
      </c>
      <c r="D88">
        <v>20.99</v>
      </c>
      <c r="E88">
        <v>2.68</v>
      </c>
      <c r="F88">
        <v>8.1</v>
      </c>
      <c r="G88">
        <v>3.71</v>
      </c>
      <c r="H88">
        <v>19698</v>
      </c>
      <c r="I88">
        <v>11.3</v>
      </c>
      <c r="J88" t="s">
        <v>14</v>
      </c>
      <c r="K88" t="s">
        <v>163</v>
      </c>
    </row>
    <row r="89" spans="1:11">
      <c r="A89" t="str">
        <f>"000488"</f>
        <v>000488</v>
      </c>
      <c r="B89" t="s">
        <v>164</v>
      </c>
      <c r="C89">
        <v>35.98</v>
      </c>
      <c r="D89">
        <v>528.55</v>
      </c>
      <c r="E89">
        <v>31.97</v>
      </c>
      <c r="F89">
        <v>29.41</v>
      </c>
      <c r="G89">
        <v>16.81</v>
      </c>
      <c r="H89">
        <v>109647</v>
      </c>
      <c r="I89">
        <v>1.97</v>
      </c>
      <c r="J89" t="s">
        <v>14</v>
      </c>
      <c r="K89" t="s">
        <v>165</v>
      </c>
    </row>
    <row r="90" spans="1:11">
      <c r="A90" t="str">
        <f>"000498"</f>
        <v>000498</v>
      </c>
      <c r="B90" t="s">
        <v>166</v>
      </c>
      <c r="C90">
        <v>88.84</v>
      </c>
      <c r="D90">
        <v>1739.29</v>
      </c>
      <c r="E90">
        <v>251.54</v>
      </c>
      <c r="F90">
        <v>15.52</v>
      </c>
      <c r="G90">
        <v>14.49</v>
      </c>
      <c r="H90">
        <v>44729</v>
      </c>
      <c r="I90">
        <v>0.6</v>
      </c>
      <c r="J90">
        <v>5.06</v>
      </c>
      <c r="K90" t="s">
        <v>100</v>
      </c>
    </row>
    <row r="91" spans="1:11">
      <c r="A91" t="str">
        <f>"000501"</f>
        <v>000501</v>
      </c>
      <c r="B91" t="s">
        <v>167</v>
      </c>
      <c r="C91">
        <v>82.35</v>
      </c>
      <c r="D91">
        <v>310.47</v>
      </c>
      <c r="E91">
        <v>109.53</v>
      </c>
      <c r="F91">
        <v>7.69</v>
      </c>
      <c r="G91">
        <v>7.68</v>
      </c>
      <c r="H91">
        <v>39521</v>
      </c>
      <c r="I91">
        <v>0.75</v>
      </c>
      <c r="J91">
        <v>48.37</v>
      </c>
      <c r="K91" t="s">
        <v>146</v>
      </c>
    </row>
    <row r="92" spans="1:11">
      <c r="A92" t="str">
        <f>"000503"</f>
        <v>000503</v>
      </c>
      <c r="B92" t="s">
        <v>168</v>
      </c>
      <c r="C92">
        <v>108.99</v>
      </c>
      <c r="D92">
        <v>20.12</v>
      </c>
      <c r="E92">
        <v>12.67</v>
      </c>
      <c r="F92">
        <v>9.79</v>
      </c>
      <c r="G92">
        <v>9.79</v>
      </c>
      <c r="H92">
        <v>60621</v>
      </c>
      <c r="I92">
        <v>8.62</v>
      </c>
      <c r="J92" t="s">
        <v>14</v>
      </c>
      <c r="K92" t="s">
        <v>117</v>
      </c>
    </row>
    <row r="93" spans="1:11">
      <c r="A93" t="str">
        <f>"000504"</f>
        <v>000504</v>
      </c>
      <c r="B93" t="s">
        <v>169</v>
      </c>
      <c r="C93">
        <v>28.04</v>
      </c>
      <c r="D93">
        <v>8.42</v>
      </c>
      <c r="E93">
        <v>2.42</v>
      </c>
      <c r="F93">
        <v>3.3</v>
      </c>
      <c r="G93">
        <v>3.29</v>
      </c>
      <c r="H93">
        <v>12189</v>
      </c>
      <c r="I93">
        <v>11.61</v>
      </c>
      <c r="J93">
        <v>403.05</v>
      </c>
      <c r="K93" t="s">
        <v>170</v>
      </c>
    </row>
    <row r="94" spans="1:11">
      <c r="A94" t="str">
        <f>"000505"</f>
        <v>000505</v>
      </c>
      <c r="B94" t="s">
        <v>171</v>
      </c>
      <c r="C94">
        <v>47.68</v>
      </c>
      <c r="D94">
        <v>84.97</v>
      </c>
      <c r="E94">
        <v>30.78</v>
      </c>
      <c r="F94">
        <v>7.27</v>
      </c>
      <c r="G94">
        <v>6.32</v>
      </c>
      <c r="H94">
        <v>57700</v>
      </c>
      <c r="I94">
        <v>1.78</v>
      </c>
      <c r="J94" t="s">
        <v>14</v>
      </c>
      <c r="K94" t="s">
        <v>37</v>
      </c>
    </row>
    <row r="95" spans="1:11">
      <c r="A95" t="str">
        <f>"000506"</f>
        <v>000506</v>
      </c>
      <c r="B95" t="s">
        <v>172</v>
      </c>
      <c r="C95">
        <v>132.97</v>
      </c>
      <c r="D95">
        <v>14.35</v>
      </c>
      <c r="E95">
        <v>6.4</v>
      </c>
      <c r="F95">
        <v>9.29</v>
      </c>
      <c r="G95">
        <v>9.29</v>
      </c>
      <c r="H95">
        <v>55000</v>
      </c>
      <c r="I95">
        <v>20.78</v>
      </c>
      <c r="J95">
        <v>121.44</v>
      </c>
      <c r="K95" t="s">
        <v>173</v>
      </c>
    </row>
    <row r="96" spans="1:11">
      <c r="A96" t="str">
        <f>"000507"</f>
        <v>000507</v>
      </c>
      <c r="B96" t="s">
        <v>174</v>
      </c>
      <c r="C96">
        <v>47.82</v>
      </c>
      <c r="D96">
        <v>202.27</v>
      </c>
      <c r="E96">
        <v>62.72</v>
      </c>
      <c r="F96">
        <v>9.2</v>
      </c>
      <c r="G96">
        <v>9.02</v>
      </c>
      <c r="H96">
        <v>67544</v>
      </c>
      <c r="I96">
        <v>0.89</v>
      </c>
      <c r="J96">
        <v>14.72</v>
      </c>
      <c r="K96" t="s">
        <v>111</v>
      </c>
    </row>
    <row r="97" spans="1:11">
      <c r="A97" t="str">
        <f>"000509"</f>
        <v>000509</v>
      </c>
      <c r="B97" t="s">
        <v>175</v>
      </c>
      <c r="C97">
        <v>37.02</v>
      </c>
      <c r="D97">
        <v>8.71</v>
      </c>
      <c r="E97">
        <v>1.24</v>
      </c>
      <c r="F97">
        <v>10.73</v>
      </c>
      <c r="G97">
        <v>10.73</v>
      </c>
      <c r="H97">
        <v>35000</v>
      </c>
      <c r="I97">
        <v>29.74</v>
      </c>
      <c r="J97" t="s">
        <v>14</v>
      </c>
      <c r="K97" t="s">
        <v>39</v>
      </c>
    </row>
    <row r="98" spans="1:11">
      <c r="A98" t="str">
        <f>"000510"</f>
        <v>000510</v>
      </c>
      <c r="B98" t="s">
        <v>176</v>
      </c>
      <c r="C98">
        <v>83.17</v>
      </c>
      <c r="D98">
        <v>25.28</v>
      </c>
      <c r="E98">
        <v>12.34</v>
      </c>
      <c r="F98">
        <v>6.49</v>
      </c>
      <c r="G98">
        <v>6.07</v>
      </c>
      <c r="H98">
        <v>44140</v>
      </c>
      <c r="I98">
        <v>7.2</v>
      </c>
      <c r="J98" t="s">
        <v>14</v>
      </c>
      <c r="K98" t="s">
        <v>177</v>
      </c>
    </row>
    <row r="99" spans="1:11">
      <c r="A99" t="str">
        <f>"000513"</f>
        <v>000513</v>
      </c>
      <c r="B99" t="s">
        <v>178</v>
      </c>
      <c r="C99">
        <v>207.02</v>
      </c>
      <c r="D99">
        <v>245.38</v>
      </c>
      <c r="E99">
        <v>139.63</v>
      </c>
      <c r="F99">
        <v>8.88</v>
      </c>
      <c r="G99">
        <v>5.68</v>
      </c>
      <c r="H99">
        <v>47362</v>
      </c>
      <c r="I99">
        <v>2.36</v>
      </c>
      <c r="J99">
        <v>13.84</v>
      </c>
      <c r="K99" t="s">
        <v>109</v>
      </c>
    </row>
    <row r="100" spans="1:11">
      <c r="A100" t="str">
        <f>"000514"</f>
        <v>000514</v>
      </c>
      <c r="B100" t="s">
        <v>179</v>
      </c>
      <c r="C100">
        <v>42.36</v>
      </c>
      <c r="D100">
        <v>72.5</v>
      </c>
      <c r="E100">
        <v>37.92</v>
      </c>
      <c r="F100">
        <v>8.44</v>
      </c>
      <c r="G100">
        <v>8.44</v>
      </c>
      <c r="H100">
        <v>50115</v>
      </c>
      <c r="I100">
        <v>1.12</v>
      </c>
      <c r="J100">
        <v>19.69</v>
      </c>
      <c r="K100" t="s">
        <v>15</v>
      </c>
    </row>
    <row r="101" spans="1:11">
      <c r="A101" t="str">
        <f>"000516"</f>
        <v>000516</v>
      </c>
      <c r="B101" t="s">
        <v>180</v>
      </c>
      <c r="C101">
        <v>136.48</v>
      </c>
      <c r="D101">
        <v>97.91</v>
      </c>
      <c r="E101">
        <v>33.38</v>
      </c>
      <c r="F101">
        <v>22.39</v>
      </c>
      <c r="G101">
        <v>22.05</v>
      </c>
      <c r="H101">
        <v>103208</v>
      </c>
      <c r="I101">
        <v>4.15</v>
      </c>
      <c r="J101" t="s">
        <v>14</v>
      </c>
      <c r="K101" t="s">
        <v>181</v>
      </c>
    </row>
    <row r="102" spans="1:11">
      <c r="A102" t="str">
        <f>"000517"</f>
        <v>000517</v>
      </c>
      <c r="B102" t="s">
        <v>182</v>
      </c>
      <c r="C102">
        <v>45.1</v>
      </c>
      <c r="D102">
        <v>140.21</v>
      </c>
      <c r="E102">
        <v>57.54</v>
      </c>
      <c r="F102">
        <v>31.84</v>
      </c>
      <c r="G102">
        <v>24.92</v>
      </c>
      <c r="H102">
        <v>33169</v>
      </c>
      <c r="I102">
        <v>1</v>
      </c>
      <c r="J102" t="s">
        <v>14</v>
      </c>
      <c r="K102" t="s">
        <v>15</v>
      </c>
    </row>
    <row r="103" spans="1:11">
      <c r="A103" t="str">
        <f>"000518"</f>
        <v>000518</v>
      </c>
      <c r="B103" t="s">
        <v>183</v>
      </c>
      <c r="C103">
        <v>25.94</v>
      </c>
      <c r="D103">
        <v>5.09</v>
      </c>
      <c r="E103">
        <v>3.59</v>
      </c>
      <c r="F103">
        <v>10.3</v>
      </c>
      <c r="G103">
        <v>10.3</v>
      </c>
      <c r="H103">
        <v>63673</v>
      </c>
      <c r="I103">
        <v>7.22</v>
      </c>
      <c r="J103" t="s">
        <v>14</v>
      </c>
      <c r="K103" t="s">
        <v>184</v>
      </c>
    </row>
    <row r="104" spans="1:11">
      <c r="A104" t="str">
        <f>"000519"</f>
        <v>000519</v>
      </c>
      <c r="B104" t="s">
        <v>185</v>
      </c>
      <c r="C104">
        <v>263.05</v>
      </c>
      <c r="D104">
        <v>173.84</v>
      </c>
      <c r="E104">
        <v>102.15</v>
      </c>
      <c r="F104">
        <v>13.93</v>
      </c>
      <c r="G104">
        <v>13.93</v>
      </c>
      <c r="H104">
        <v>203000</v>
      </c>
      <c r="I104">
        <v>2.58</v>
      </c>
      <c r="J104" t="s">
        <v>14</v>
      </c>
      <c r="K104" t="s">
        <v>186</v>
      </c>
    </row>
    <row r="105" spans="1:11">
      <c r="A105" t="str">
        <f>"000520"</f>
        <v>000520</v>
      </c>
      <c r="B105" t="s">
        <v>187</v>
      </c>
      <c r="C105">
        <v>47.26</v>
      </c>
      <c r="D105">
        <v>6.31</v>
      </c>
      <c r="E105">
        <v>4.03</v>
      </c>
      <c r="F105">
        <v>10.12</v>
      </c>
      <c r="G105">
        <v>10.12</v>
      </c>
      <c r="H105">
        <v>69688</v>
      </c>
      <c r="I105">
        <v>11.73</v>
      </c>
      <c r="J105" t="s">
        <v>14</v>
      </c>
      <c r="K105" t="s">
        <v>188</v>
      </c>
    </row>
    <row r="106" spans="1:11">
      <c r="A106" t="str">
        <f>"000521"</f>
        <v>000521</v>
      </c>
      <c r="B106" t="s">
        <v>189</v>
      </c>
      <c r="C106">
        <v>58.31</v>
      </c>
      <c r="D106">
        <v>240.59</v>
      </c>
      <c r="E106">
        <v>62.12</v>
      </c>
      <c r="F106">
        <v>10.3</v>
      </c>
      <c r="G106">
        <v>8.76</v>
      </c>
      <c r="H106">
        <v>61160</v>
      </c>
      <c r="I106">
        <v>1.1</v>
      </c>
      <c r="J106">
        <v>10.53</v>
      </c>
      <c r="K106" t="s">
        <v>190</v>
      </c>
    </row>
    <row r="107" spans="1:11">
      <c r="A107" t="str">
        <f>"000523"</f>
        <v>000523</v>
      </c>
      <c r="B107" t="s">
        <v>191</v>
      </c>
      <c r="C107">
        <v>69.64</v>
      </c>
      <c r="D107">
        <v>36.65</v>
      </c>
      <c r="E107">
        <v>18.91</v>
      </c>
      <c r="F107">
        <v>18.35</v>
      </c>
      <c r="G107">
        <v>17.95</v>
      </c>
      <c r="H107">
        <v>41337</v>
      </c>
      <c r="I107">
        <v>3.77</v>
      </c>
      <c r="J107">
        <v>81.8</v>
      </c>
      <c r="K107" t="s">
        <v>192</v>
      </c>
    </row>
    <row r="108" spans="1:11">
      <c r="A108" t="str">
        <f>"000524"</f>
        <v>000524</v>
      </c>
      <c r="B108" t="s">
        <v>193</v>
      </c>
      <c r="C108">
        <v>86.89</v>
      </c>
      <c r="D108">
        <v>38.52</v>
      </c>
      <c r="E108">
        <v>22.76</v>
      </c>
      <c r="F108">
        <v>6.7</v>
      </c>
      <c r="G108">
        <v>6.7</v>
      </c>
      <c r="H108">
        <v>51451</v>
      </c>
      <c r="I108">
        <v>3.82</v>
      </c>
      <c r="J108">
        <v>99.44</v>
      </c>
      <c r="K108" t="s">
        <v>194</v>
      </c>
    </row>
    <row r="109" spans="1:11">
      <c r="A109" t="str">
        <f>"000525"</f>
        <v>000525</v>
      </c>
      <c r="B109" t="s">
        <v>195</v>
      </c>
      <c r="C109">
        <v>61.59</v>
      </c>
      <c r="D109">
        <v>68.37</v>
      </c>
      <c r="E109">
        <v>26.12</v>
      </c>
      <c r="F109">
        <v>13.03</v>
      </c>
      <c r="G109">
        <v>11.12</v>
      </c>
      <c r="H109">
        <v>44979</v>
      </c>
      <c r="I109">
        <v>2.75</v>
      </c>
      <c r="J109" t="s">
        <v>14</v>
      </c>
      <c r="K109" t="s">
        <v>196</v>
      </c>
    </row>
    <row r="110" spans="1:11">
      <c r="A110" t="str">
        <f>"000526"</f>
        <v>000526</v>
      </c>
      <c r="B110" t="s">
        <v>197</v>
      </c>
      <c r="C110">
        <v>50.63</v>
      </c>
      <c r="D110">
        <v>42.32</v>
      </c>
      <c r="E110">
        <v>9.97</v>
      </c>
      <c r="F110">
        <v>1.22</v>
      </c>
      <c r="G110">
        <v>1.19</v>
      </c>
      <c r="H110">
        <v>16988</v>
      </c>
      <c r="I110">
        <v>5.18</v>
      </c>
      <c r="J110">
        <v>16.76</v>
      </c>
      <c r="K110" t="s">
        <v>198</v>
      </c>
    </row>
    <row r="111" spans="1:11">
      <c r="A111" t="str">
        <f>"000528"</f>
        <v>000528</v>
      </c>
      <c r="B111" t="s">
        <v>199</v>
      </c>
      <c r="C111">
        <v>233.42</v>
      </c>
      <c r="D111">
        <v>506.51</v>
      </c>
      <c r="E111">
        <v>183.17</v>
      </c>
      <c r="F111">
        <v>20.36</v>
      </c>
      <c r="G111">
        <v>20.33</v>
      </c>
      <c r="H111">
        <v>100825</v>
      </c>
      <c r="I111">
        <v>1.28</v>
      </c>
      <c r="J111">
        <v>12.03</v>
      </c>
      <c r="K111" t="s">
        <v>115</v>
      </c>
    </row>
    <row r="112" spans="1:11">
      <c r="A112" t="str">
        <f>"000529"</f>
        <v>000529</v>
      </c>
      <c r="B112" t="s">
        <v>200</v>
      </c>
      <c r="C112">
        <v>34.59</v>
      </c>
      <c r="D112">
        <v>68.17</v>
      </c>
      <c r="E112">
        <v>31.69</v>
      </c>
      <c r="F112">
        <v>5.84</v>
      </c>
      <c r="G112">
        <v>5.7</v>
      </c>
      <c r="H112">
        <v>34215</v>
      </c>
      <c r="I112">
        <v>1.12</v>
      </c>
      <c r="J112">
        <v>39.58</v>
      </c>
      <c r="K112" t="s">
        <v>201</v>
      </c>
    </row>
    <row r="113" spans="1:11">
      <c r="A113" t="str">
        <f>"000530"</f>
        <v>000530</v>
      </c>
      <c r="B113" t="s">
        <v>202</v>
      </c>
      <c r="C113">
        <v>44.46</v>
      </c>
      <c r="D113">
        <v>75.66</v>
      </c>
      <c r="E113">
        <v>31.82</v>
      </c>
      <c r="F113">
        <v>8.43</v>
      </c>
      <c r="G113">
        <v>6</v>
      </c>
      <c r="H113">
        <v>66006</v>
      </c>
      <c r="I113">
        <v>1.96</v>
      </c>
      <c r="J113">
        <v>51.9</v>
      </c>
      <c r="K113" t="s">
        <v>203</v>
      </c>
    </row>
    <row r="114" spans="1:11">
      <c r="A114" t="str">
        <f>"000531"</f>
        <v>000531</v>
      </c>
      <c r="B114" t="s">
        <v>204</v>
      </c>
      <c r="C114">
        <v>62.5</v>
      </c>
      <c r="D114">
        <v>185.54</v>
      </c>
      <c r="E114">
        <v>69.66</v>
      </c>
      <c r="F114">
        <v>10.41</v>
      </c>
      <c r="G114">
        <v>9.1</v>
      </c>
      <c r="H114">
        <v>24850</v>
      </c>
      <c r="I114">
        <v>1.03</v>
      </c>
      <c r="J114">
        <v>12.22</v>
      </c>
      <c r="K114" t="s">
        <v>46</v>
      </c>
    </row>
    <row r="115" spans="1:11">
      <c r="A115" t="str">
        <f>"000532"</f>
        <v>000532</v>
      </c>
      <c r="B115" t="s">
        <v>205</v>
      </c>
      <c r="C115">
        <v>59.06</v>
      </c>
      <c r="D115">
        <v>23.81</v>
      </c>
      <c r="E115">
        <v>15.68</v>
      </c>
      <c r="F115">
        <v>3.45</v>
      </c>
      <c r="G115">
        <v>3.44</v>
      </c>
      <c r="H115">
        <v>40452</v>
      </c>
      <c r="I115">
        <v>3.78</v>
      </c>
      <c r="J115">
        <v>42.92</v>
      </c>
      <c r="K115" t="s">
        <v>206</v>
      </c>
    </row>
    <row r="116" spans="1:11">
      <c r="A116" t="str">
        <f>"000533"</f>
        <v>000533</v>
      </c>
      <c r="B116" t="s">
        <v>207</v>
      </c>
      <c r="C116">
        <v>63.9</v>
      </c>
      <c r="D116">
        <v>28.85</v>
      </c>
      <c r="E116">
        <v>9.48</v>
      </c>
      <c r="F116">
        <v>6.91</v>
      </c>
      <c r="G116">
        <v>6.85</v>
      </c>
      <c r="H116">
        <v>61470</v>
      </c>
      <c r="I116">
        <v>6.8</v>
      </c>
      <c r="J116">
        <v>60.04</v>
      </c>
      <c r="K116" t="s">
        <v>208</v>
      </c>
    </row>
    <row r="117" spans="1:11">
      <c r="A117" t="str">
        <f>"000534"</f>
        <v>000534</v>
      </c>
      <c r="B117" t="s">
        <v>209</v>
      </c>
      <c r="C117">
        <v>109.44</v>
      </c>
      <c r="D117">
        <v>43.51</v>
      </c>
      <c r="E117">
        <v>15.68</v>
      </c>
      <c r="F117">
        <v>5.1</v>
      </c>
      <c r="G117">
        <v>5</v>
      </c>
      <c r="H117">
        <v>26898</v>
      </c>
      <c r="I117">
        <v>7.12</v>
      </c>
      <c r="J117">
        <v>49.23</v>
      </c>
      <c r="K117" t="s">
        <v>210</v>
      </c>
    </row>
    <row r="118" spans="1:11">
      <c r="A118" t="str">
        <f>"000536"</f>
        <v>000536</v>
      </c>
      <c r="B118" t="s">
        <v>211</v>
      </c>
      <c r="C118">
        <v>140.92</v>
      </c>
      <c r="D118">
        <v>54.03</v>
      </c>
      <c r="E118">
        <v>5.72</v>
      </c>
      <c r="F118">
        <v>27.66</v>
      </c>
      <c r="G118">
        <v>27.63</v>
      </c>
      <c r="H118">
        <v>243022</v>
      </c>
      <c r="I118">
        <v>24.64</v>
      </c>
      <c r="J118" t="s">
        <v>14</v>
      </c>
      <c r="K118" t="s">
        <v>39</v>
      </c>
    </row>
    <row r="119" spans="1:11">
      <c r="A119" t="str">
        <f>"000537"</f>
        <v>000537</v>
      </c>
      <c r="B119" t="s">
        <v>212</v>
      </c>
      <c r="C119">
        <v>177.73</v>
      </c>
      <c r="D119">
        <v>942.61</v>
      </c>
      <c r="E119">
        <v>200.1</v>
      </c>
      <c r="F119">
        <v>20.67</v>
      </c>
      <c r="G119">
        <v>20.67</v>
      </c>
      <c r="H119">
        <v>42744</v>
      </c>
      <c r="I119">
        <v>0.89</v>
      </c>
      <c r="J119">
        <v>16.55</v>
      </c>
      <c r="K119" t="s">
        <v>111</v>
      </c>
    </row>
    <row r="120" spans="1:11">
      <c r="A120" t="str">
        <f>"000538"</f>
        <v>000538</v>
      </c>
      <c r="B120" t="s">
        <v>213</v>
      </c>
      <c r="C120">
        <v>1004.11</v>
      </c>
      <c r="D120">
        <v>533.43</v>
      </c>
      <c r="E120">
        <v>397.33</v>
      </c>
      <c r="F120">
        <v>17.84</v>
      </c>
      <c r="G120">
        <v>17.73</v>
      </c>
      <c r="H120">
        <v>166806</v>
      </c>
      <c r="I120">
        <v>2.54</v>
      </c>
      <c r="J120">
        <v>15.87</v>
      </c>
      <c r="K120" t="s">
        <v>155</v>
      </c>
    </row>
    <row r="121" spans="1:11">
      <c r="A121" t="str">
        <f>"000539"</f>
        <v>000539</v>
      </c>
      <c r="B121" t="s">
        <v>214</v>
      </c>
      <c r="C121">
        <v>117.55</v>
      </c>
      <c r="D121">
        <v>1823.16</v>
      </c>
      <c r="E121">
        <v>234.35</v>
      </c>
      <c r="F121">
        <v>52.5</v>
      </c>
      <c r="G121">
        <v>25.55</v>
      </c>
      <c r="H121">
        <v>102671</v>
      </c>
      <c r="I121">
        <v>1.03</v>
      </c>
      <c r="J121">
        <v>31.02</v>
      </c>
      <c r="K121" t="s">
        <v>46</v>
      </c>
    </row>
    <row r="122" spans="1:11">
      <c r="A122" t="str">
        <f>"000541"</f>
        <v>000541</v>
      </c>
      <c r="B122" t="s">
        <v>215</v>
      </c>
      <c r="C122">
        <v>77.77</v>
      </c>
      <c r="D122">
        <v>170.58</v>
      </c>
      <c r="E122">
        <v>67.1</v>
      </c>
      <c r="F122">
        <v>15.36</v>
      </c>
      <c r="G122">
        <v>12.31</v>
      </c>
      <c r="H122">
        <v>82691</v>
      </c>
      <c r="I122">
        <v>1.45</v>
      </c>
      <c r="J122">
        <v>51.63</v>
      </c>
      <c r="K122" t="s">
        <v>216</v>
      </c>
    </row>
    <row r="123" spans="1:11">
      <c r="A123" t="str">
        <f>"000543"</f>
        <v>000543</v>
      </c>
      <c r="B123" t="s">
        <v>217</v>
      </c>
      <c r="C123">
        <v>192.68</v>
      </c>
      <c r="D123">
        <v>682</v>
      </c>
      <c r="E123">
        <v>171.79</v>
      </c>
      <c r="F123">
        <v>22.67</v>
      </c>
      <c r="G123">
        <v>22.67</v>
      </c>
      <c r="H123">
        <v>55800</v>
      </c>
      <c r="I123">
        <v>1.12</v>
      </c>
      <c r="J123">
        <v>7.58</v>
      </c>
      <c r="K123" t="s">
        <v>46</v>
      </c>
    </row>
    <row r="124" spans="1:11">
      <c r="A124" t="str">
        <f>"000544"</f>
        <v>000544</v>
      </c>
      <c r="B124" t="s">
        <v>218</v>
      </c>
      <c r="C124">
        <v>81.39</v>
      </c>
      <c r="D124">
        <v>429.68</v>
      </c>
      <c r="E124">
        <v>110.7</v>
      </c>
      <c r="F124">
        <v>9.75</v>
      </c>
      <c r="G124">
        <v>9.75</v>
      </c>
      <c r="H124">
        <v>24318</v>
      </c>
      <c r="I124">
        <v>0.9</v>
      </c>
      <c r="J124">
        <v>5.95</v>
      </c>
      <c r="K124" t="s">
        <v>90</v>
      </c>
    </row>
    <row r="125" spans="1:11">
      <c r="A125" t="str">
        <f>"000545"</f>
        <v>000545</v>
      </c>
      <c r="B125" t="s">
        <v>219</v>
      </c>
      <c r="C125">
        <v>30.74</v>
      </c>
      <c r="D125">
        <v>24.77</v>
      </c>
      <c r="E125">
        <v>9.12</v>
      </c>
      <c r="F125">
        <v>9.87</v>
      </c>
      <c r="G125">
        <v>9.85</v>
      </c>
      <c r="H125">
        <v>71236</v>
      </c>
      <c r="I125">
        <v>3.38</v>
      </c>
      <c r="J125" t="s">
        <v>14</v>
      </c>
      <c r="K125" t="s">
        <v>220</v>
      </c>
    </row>
    <row r="126" spans="1:11">
      <c r="A126" t="str">
        <f>"000546"</f>
        <v>000546</v>
      </c>
      <c r="B126" t="s">
        <v>221</v>
      </c>
      <c r="C126">
        <v>47.31</v>
      </c>
      <c r="D126">
        <v>55.65</v>
      </c>
      <c r="E126">
        <v>40.58</v>
      </c>
      <c r="F126">
        <v>7.78</v>
      </c>
      <c r="G126">
        <v>6.97</v>
      </c>
      <c r="H126">
        <v>51348</v>
      </c>
      <c r="I126">
        <v>1.3</v>
      </c>
      <c r="J126" t="s">
        <v>14</v>
      </c>
      <c r="K126" t="s">
        <v>59</v>
      </c>
    </row>
    <row r="127" spans="1:11">
      <c r="A127" t="str">
        <f>"000547"</f>
        <v>000547</v>
      </c>
      <c r="B127" t="s">
        <v>222</v>
      </c>
      <c r="C127">
        <v>515.99</v>
      </c>
      <c r="D127">
        <v>102.2</v>
      </c>
      <c r="E127">
        <v>47.01</v>
      </c>
      <c r="F127">
        <v>15.98</v>
      </c>
      <c r="G127">
        <v>15.89</v>
      </c>
      <c r="H127">
        <v>515614</v>
      </c>
      <c r="I127">
        <v>11.04</v>
      </c>
      <c r="J127" t="s">
        <v>14</v>
      </c>
      <c r="K127" t="s">
        <v>223</v>
      </c>
    </row>
    <row r="128" spans="1:11">
      <c r="A128" t="str">
        <f>"000548"</f>
        <v>000548</v>
      </c>
      <c r="B128" t="s">
        <v>224</v>
      </c>
      <c r="C128">
        <v>27.06</v>
      </c>
      <c r="D128">
        <v>24.64</v>
      </c>
      <c r="E128">
        <v>20.68</v>
      </c>
      <c r="F128">
        <v>4.99</v>
      </c>
      <c r="G128">
        <v>4.99</v>
      </c>
      <c r="H128">
        <v>42342</v>
      </c>
      <c r="I128">
        <v>1.31</v>
      </c>
      <c r="J128">
        <v>36</v>
      </c>
      <c r="K128" t="s">
        <v>161</v>
      </c>
    </row>
    <row r="129" spans="1:11">
      <c r="A129" t="str">
        <f>"000550"</f>
        <v>000550</v>
      </c>
      <c r="B129" t="s">
        <v>225</v>
      </c>
      <c r="C129">
        <v>93.38</v>
      </c>
      <c r="D129">
        <v>296.17</v>
      </c>
      <c r="E129">
        <v>112.57</v>
      </c>
      <c r="F129">
        <v>8.63</v>
      </c>
      <c r="G129">
        <v>5.18</v>
      </c>
      <c r="H129">
        <v>39356</v>
      </c>
      <c r="I129">
        <v>1.38</v>
      </c>
      <c r="J129">
        <v>15.56</v>
      </c>
      <c r="K129" t="s">
        <v>226</v>
      </c>
    </row>
    <row r="130" spans="1:11">
      <c r="A130" t="str">
        <f>"000551"</f>
        <v>000551</v>
      </c>
      <c r="B130" t="s">
        <v>227</v>
      </c>
      <c r="C130">
        <v>75.35</v>
      </c>
      <c r="D130">
        <v>61.61</v>
      </c>
      <c r="E130">
        <v>28.14</v>
      </c>
      <c r="F130">
        <v>4.85</v>
      </c>
      <c r="G130">
        <v>4.83</v>
      </c>
      <c r="H130">
        <v>29689</v>
      </c>
      <c r="I130">
        <v>2.69</v>
      </c>
      <c r="J130">
        <v>25.96</v>
      </c>
      <c r="K130" t="s">
        <v>228</v>
      </c>
    </row>
    <row r="131" spans="1:11">
      <c r="A131" t="str">
        <f>"000552"</f>
        <v>000552</v>
      </c>
      <c r="B131" t="s">
        <v>229</v>
      </c>
      <c r="C131">
        <v>87.56</v>
      </c>
      <c r="D131">
        <v>347.54</v>
      </c>
      <c r="E131">
        <v>166.65</v>
      </c>
      <c r="F131">
        <v>53.52</v>
      </c>
      <c r="G131">
        <v>37.26</v>
      </c>
      <c r="H131">
        <v>59272</v>
      </c>
      <c r="I131">
        <v>0.77</v>
      </c>
      <c r="J131" t="s">
        <v>14</v>
      </c>
      <c r="K131" t="s">
        <v>230</v>
      </c>
    </row>
    <row r="132" spans="1:11">
      <c r="A132" t="str">
        <f>"000553"</f>
        <v>000553</v>
      </c>
      <c r="B132" t="s">
        <v>231</v>
      </c>
      <c r="C132">
        <v>124.31</v>
      </c>
      <c r="D132">
        <v>499.31</v>
      </c>
      <c r="E132">
        <v>184.53</v>
      </c>
      <c r="F132">
        <v>23.3</v>
      </c>
      <c r="G132">
        <v>21.77</v>
      </c>
      <c r="H132">
        <v>37214</v>
      </c>
      <c r="I132">
        <v>0.72</v>
      </c>
      <c r="J132" t="s">
        <v>14</v>
      </c>
      <c r="K132" t="s">
        <v>196</v>
      </c>
    </row>
    <row r="133" spans="1:11">
      <c r="A133" t="str">
        <f>"000554"</f>
        <v>000554</v>
      </c>
      <c r="B133" t="s">
        <v>232</v>
      </c>
      <c r="C133">
        <v>25.42</v>
      </c>
      <c r="D133">
        <v>18.04</v>
      </c>
      <c r="E133">
        <v>11.58</v>
      </c>
      <c r="F133">
        <v>4.81</v>
      </c>
      <c r="G133">
        <v>3.63</v>
      </c>
      <c r="H133">
        <v>42331</v>
      </c>
      <c r="I133">
        <v>2.91</v>
      </c>
      <c r="J133">
        <v>22.33</v>
      </c>
      <c r="K133" t="s">
        <v>102</v>
      </c>
    </row>
    <row r="134" spans="1:11">
      <c r="A134" t="str">
        <f>"000555"</f>
        <v>000555</v>
      </c>
      <c r="B134" t="s">
        <v>233</v>
      </c>
      <c r="C134">
        <v>181.65</v>
      </c>
      <c r="D134">
        <v>136.05</v>
      </c>
      <c r="E134">
        <v>55.41</v>
      </c>
      <c r="F134">
        <v>9.76</v>
      </c>
      <c r="G134">
        <v>9.72</v>
      </c>
      <c r="H134">
        <v>76437</v>
      </c>
      <c r="I134">
        <v>3.29</v>
      </c>
      <c r="J134" t="s">
        <v>14</v>
      </c>
      <c r="K134" t="s">
        <v>117</v>
      </c>
    </row>
    <row r="135" spans="1:11">
      <c r="A135" t="str">
        <f>"000557"</f>
        <v>000557</v>
      </c>
      <c r="B135" t="s">
        <v>234</v>
      </c>
      <c r="C135">
        <v>73.04</v>
      </c>
      <c r="D135">
        <v>69.64</v>
      </c>
      <c r="E135">
        <v>63.67</v>
      </c>
      <c r="F135">
        <v>14.58</v>
      </c>
      <c r="G135">
        <v>14.58</v>
      </c>
      <c r="H135">
        <v>37491</v>
      </c>
      <c r="I135">
        <v>1.15</v>
      </c>
      <c r="J135">
        <v>18.6</v>
      </c>
      <c r="K135" t="s">
        <v>235</v>
      </c>
    </row>
    <row r="136" spans="1:11">
      <c r="A136" t="str">
        <f>"000558"</f>
        <v>000558</v>
      </c>
      <c r="B136" t="s">
        <v>236</v>
      </c>
      <c r="C136">
        <v>69.07</v>
      </c>
      <c r="D136">
        <v>26.54</v>
      </c>
      <c r="E136">
        <v>10.49</v>
      </c>
      <c r="F136">
        <v>12.89</v>
      </c>
      <c r="G136">
        <v>12.89</v>
      </c>
      <c r="H136">
        <v>151930</v>
      </c>
      <c r="I136">
        <v>6.59</v>
      </c>
      <c r="J136" t="s">
        <v>14</v>
      </c>
      <c r="K136" t="s">
        <v>163</v>
      </c>
    </row>
    <row r="137" spans="1:11">
      <c r="A137" t="str">
        <f>"000559"</f>
        <v>000559</v>
      </c>
      <c r="B137" t="s">
        <v>237</v>
      </c>
      <c r="C137">
        <v>622.8</v>
      </c>
      <c r="D137">
        <v>246.4</v>
      </c>
      <c r="E137">
        <v>94</v>
      </c>
      <c r="F137">
        <v>33.15</v>
      </c>
      <c r="G137">
        <v>33.15</v>
      </c>
      <c r="H137">
        <v>277858</v>
      </c>
      <c r="I137">
        <v>6.63</v>
      </c>
      <c r="J137">
        <v>60.42</v>
      </c>
      <c r="K137" t="s">
        <v>51</v>
      </c>
    </row>
    <row r="138" spans="1:11">
      <c r="A138" t="str">
        <f>"000560"</f>
        <v>000560</v>
      </c>
      <c r="B138" t="s">
        <v>238</v>
      </c>
      <c r="C138">
        <v>66.55</v>
      </c>
      <c r="D138">
        <v>263.8</v>
      </c>
      <c r="E138">
        <v>94.16</v>
      </c>
      <c r="F138">
        <v>23.56</v>
      </c>
      <c r="G138">
        <v>22.56</v>
      </c>
      <c r="H138">
        <v>81910</v>
      </c>
      <c r="I138">
        <v>0.74</v>
      </c>
      <c r="J138">
        <v>123.13</v>
      </c>
      <c r="K138" t="s">
        <v>239</v>
      </c>
    </row>
    <row r="139" spans="1:11">
      <c r="A139" t="str">
        <f>"000561"</f>
        <v>000561</v>
      </c>
      <c r="B139" t="s">
        <v>240</v>
      </c>
      <c r="C139">
        <v>98.15</v>
      </c>
      <c r="D139">
        <v>67.31</v>
      </c>
      <c r="E139">
        <v>31.54</v>
      </c>
      <c r="F139">
        <v>8.64</v>
      </c>
      <c r="G139">
        <v>7.16</v>
      </c>
      <c r="H139">
        <v>92297</v>
      </c>
      <c r="I139">
        <v>3.75</v>
      </c>
      <c r="J139" t="s">
        <v>14</v>
      </c>
      <c r="K139" t="s">
        <v>241</v>
      </c>
    </row>
    <row r="140" spans="1:11">
      <c r="A140" t="str">
        <f>"000563"</f>
        <v>000563</v>
      </c>
      <c r="B140" t="s">
        <v>242</v>
      </c>
      <c r="C140">
        <v>183.08</v>
      </c>
      <c r="D140">
        <v>282.91</v>
      </c>
      <c r="E140">
        <v>185.77</v>
      </c>
      <c r="F140">
        <v>51.14</v>
      </c>
      <c r="G140">
        <v>51.14</v>
      </c>
      <c r="H140">
        <v>101928</v>
      </c>
      <c r="I140">
        <v>0.95</v>
      </c>
      <c r="J140">
        <v>13.79</v>
      </c>
      <c r="K140" t="s">
        <v>243</v>
      </c>
    </row>
    <row r="141" spans="1:11">
      <c r="A141" t="str">
        <f>"000564"</f>
        <v>000564</v>
      </c>
      <c r="B141" t="s">
        <v>244</v>
      </c>
      <c r="C141">
        <v>364.93</v>
      </c>
      <c r="D141">
        <v>349.15</v>
      </c>
      <c r="E141">
        <v>157.39</v>
      </c>
      <c r="F141">
        <v>180.58</v>
      </c>
      <c r="G141">
        <v>147.15</v>
      </c>
      <c r="H141">
        <v>355900</v>
      </c>
      <c r="I141">
        <v>2.84</v>
      </c>
      <c r="J141">
        <v>464.21</v>
      </c>
      <c r="K141" t="s">
        <v>146</v>
      </c>
    </row>
    <row r="142" spans="1:11">
      <c r="A142" t="str">
        <f>"000565"</f>
        <v>000565</v>
      </c>
      <c r="B142" t="s">
        <v>245</v>
      </c>
      <c r="C142">
        <v>33.65</v>
      </c>
      <c r="D142">
        <v>16.48</v>
      </c>
      <c r="E142">
        <v>12.47</v>
      </c>
      <c r="F142">
        <v>4.34</v>
      </c>
      <c r="G142">
        <v>4.34</v>
      </c>
      <c r="H142">
        <v>53475</v>
      </c>
      <c r="I142">
        <v>2.7</v>
      </c>
      <c r="J142">
        <v>153.02</v>
      </c>
      <c r="K142" t="s">
        <v>246</v>
      </c>
    </row>
    <row r="143" spans="1:11">
      <c r="A143" t="str">
        <f>"000566"</f>
        <v>000566</v>
      </c>
      <c r="B143" t="s">
        <v>247</v>
      </c>
      <c r="C143">
        <v>90.64</v>
      </c>
      <c r="D143">
        <v>57.9</v>
      </c>
      <c r="E143">
        <v>2.78</v>
      </c>
      <c r="F143">
        <v>12.97</v>
      </c>
      <c r="G143">
        <v>12.97</v>
      </c>
      <c r="H143">
        <v>129547</v>
      </c>
      <c r="I143">
        <v>32.51</v>
      </c>
      <c r="J143" t="s">
        <v>14</v>
      </c>
      <c r="K143" t="s">
        <v>109</v>
      </c>
    </row>
    <row r="144" spans="1:11">
      <c r="A144" t="str">
        <f>"000567"</f>
        <v>000567</v>
      </c>
      <c r="B144" t="s">
        <v>248</v>
      </c>
      <c r="C144">
        <v>120.31</v>
      </c>
      <c r="D144">
        <v>86.4</v>
      </c>
      <c r="E144">
        <v>53.92</v>
      </c>
      <c r="F144">
        <v>19.55</v>
      </c>
      <c r="G144">
        <v>19.5</v>
      </c>
      <c r="H144">
        <v>48040</v>
      </c>
      <c r="I144">
        <v>2.24</v>
      </c>
      <c r="J144">
        <v>52.93</v>
      </c>
      <c r="K144" t="s">
        <v>249</v>
      </c>
    </row>
    <row r="145" spans="1:11">
      <c r="A145" t="str">
        <f>"000568"</f>
        <v>000568</v>
      </c>
      <c r="B145" t="s">
        <v>250</v>
      </c>
      <c r="C145">
        <v>1716.98</v>
      </c>
      <c r="D145">
        <v>654.96</v>
      </c>
      <c r="E145">
        <v>496.8</v>
      </c>
      <c r="F145">
        <v>14.72</v>
      </c>
      <c r="G145">
        <v>14.69</v>
      </c>
      <c r="H145">
        <v>161212</v>
      </c>
      <c r="I145">
        <v>3.46</v>
      </c>
      <c r="J145">
        <v>11.99</v>
      </c>
      <c r="K145" t="s">
        <v>251</v>
      </c>
    </row>
    <row r="146" spans="1:11">
      <c r="A146" t="str">
        <f>"000570"</f>
        <v>000570</v>
      </c>
      <c r="B146" t="s">
        <v>252</v>
      </c>
      <c r="C146">
        <v>31.01</v>
      </c>
      <c r="D146">
        <v>53.05</v>
      </c>
      <c r="E146">
        <v>34.37</v>
      </c>
      <c r="F146">
        <v>7.06</v>
      </c>
      <c r="G146">
        <v>5.56</v>
      </c>
      <c r="H146">
        <v>45388</v>
      </c>
      <c r="I146">
        <v>1.15</v>
      </c>
      <c r="J146">
        <v>66.38</v>
      </c>
      <c r="K146" t="s">
        <v>253</v>
      </c>
    </row>
    <row r="147" spans="1:11">
      <c r="A147" t="str">
        <f>"000571"</f>
        <v>000571</v>
      </c>
      <c r="B147" t="s">
        <v>254</v>
      </c>
      <c r="C147">
        <v>47.62</v>
      </c>
      <c r="D147">
        <v>25.49</v>
      </c>
      <c r="E147">
        <v>1.42</v>
      </c>
      <c r="F147">
        <v>8.39</v>
      </c>
      <c r="G147">
        <v>8.14</v>
      </c>
      <c r="H147">
        <v>46449</v>
      </c>
      <c r="I147">
        <v>34.62</v>
      </c>
      <c r="J147" t="s">
        <v>14</v>
      </c>
      <c r="K147" t="s">
        <v>230</v>
      </c>
    </row>
    <row r="148" spans="1:11">
      <c r="A148" t="str">
        <f>"000572"</f>
        <v>000572</v>
      </c>
      <c r="B148" t="s">
        <v>255</v>
      </c>
      <c r="C148">
        <v>120.21</v>
      </c>
      <c r="D148">
        <v>49.93</v>
      </c>
      <c r="E148">
        <v>16.81</v>
      </c>
      <c r="F148">
        <v>16.45</v>
      </c>
      <c r="G148">
        <v>16.42</v>
      </c>
      <c r="H148">
        <v>213161</v>
      </c>
      <c r="I148">
        <v>7.16</v>
      </c>
      <c r="J148" t="s">
        <v>14</v>
      </c>
      <c r="K148" t="s">
        <v>256</v>
      </c>
    </row>
    <row r="149" spans="1:11">
      <c r="A149" t="str">
        <f>"000573"</f>
        <v>000573</v>
      </c>
      <c r="B149" t="s">
        <v>257</v>
      </c>
      <c r="C149">
        <v>26.46</v>
      </c>
      <c r="D149">
        <v>21.43</v>
      </c>
      <c r="E149">
        <v>16.45</v>
      </c>
      <c r="F149">
        <v>6.38</v>
      </c>
      <c r="G149">
        <v>6.33</v>
      </c>
      <c r="H149">
        <v>44425</v>
      </c>
      <c r="I149">
        <v>1.62</v>
      </c>
      <c r="J149">
        <v>26.97</v>
      </c>
      <c r="K149" t="s">
        <v>15</v>
      </c>
    </row>
    <row r="150" spans="1:11">
      <c r="A150" t="str">
        <f>"000576"</f>
        <v>000576</v>
      </c>
      <c r="B150" t="s">
        <v>258</v>
      </c>
      <c r="C150">
        <v>46.42</v>
      </c>
      <c r="D150">
        <v>22.61</v>
      </c>
      <c r="E150">
        <v>16.51</v>
      </c>
      <c r="F150">
        <v>4.36</v>
      </c>
      <c r="G150">
        <v>4.34</v>
      </c>
      <c r="H150">
        <v>37910</v>
      </c>
      <c r="I150">
        <v>2.83</v>
      </c>
      <c r="J150">
        <v>45.17</v>
      </c>
      <c r="K150" t="s">
        <v>186</v>
      </c>
    </row>
    <row r="151" spans="1:11">
      <c r="A151" t="str">
        <f>"000581"</f>
        <v>000581</v>
      </c>
      <c r="B151" t="s">
        <v>259</v>
      </c>
      <c r="C151">
        <v>162.27</v>
      </c>
      <c r="D151">
        <v>290.76</v>
      </c>
      <c r="E151">
        <v>200.63</v>
      </c>
      <c r="F151">
        <v>9.67</v>
      </c>
      <c r="G151">
        <v>7.94</v>
      </c>
      <c r="H151">
        <v>63811</v>
      </c>
      <c r="I151">
        <v>0.98</v>
      </c>
      <c r="J151">
        <v>12.86</v>
      </c>
      <c r="K151" t="s">
        <v>51</v>
      </c>
    </row>
    <row r="152" spans="1:11">
      <c r="A152" t="str">
        <f>"000582"</f>
        <v>000582</v>
      </c>
      <c r="B152" t="s">
        <v>260</v>
      </c>
      <c r="C152">
        <v>188.08</v>
      </c>
      <c r="D152">
        <v>376.03</v>
      </c>
      <c r="E152">
        <v>189.46</v>
      </c>
      <c r="F152">
        <v>23.7</v>
      </c>
      <c r="G152">
        <v>20.09</v>
      </c>
      <c r="H152">
        <v>59370</v>
      </c>
      <c r="I152">
        <v>1.18</v>
      </c>
      <c r="J152">
        <v>21.09</v>
      </c>
      <c r="K152" t="s">
        <v>96</v>
      </c>
    </row>
    <row r="153" spans="1:11">
      <c r="A153" t="str">
        <f>"000586"</f>
        <v>000586</v>
      </c>
      <c r="B153" t="s">
        <v>261</v>
      </c>
      <c r="C153">
        <v>26.95</v>
      </c>
      <c r="D153">
        <v>6.13</v>
      </c>
      <c r="E153">
        <v>3.39</v>
      </c>
      <c r="F153">
        <v>1.93</v>
      </c>
      <c r="G153">
        <v>1.93</v>
      </c>
      <c r="H153">
        <v>16420</v>
      </c>
      <c r="I153">
        <v>7.96</v>
      </c>
      <c r="J153">
        <v>136.89</v>
      </c>
      <c r="K153" t="s">
        <v>93</v>
      </c>
    </row>
    <row r="154" spans="1:11">
      <c r="A154" t="str">
        <f>"000589"</f>
        <v>000589</v>
      </c>
      <c r="B154" t="s">
        <v>262</v>
      </c>
      <c r="C154">
        <v>76.71</v>
      </c>
      <c r="D154">
        <v>182.97</v>
      </c>
      <c r="E154">
        <v>89.09</v>
      </c>
      <c r="F154">
        <v>15.55</v>
      </c>
      <c r="G154">
        <v>15.37</v>
      </c>
      <c r="H154">
        <v>55997</v>
      </c>
      <c r="I154">
        <v>0.87</v>
      </c>
      <c r="J154">
        <v>12.93</v>
      </c>
      <c r="K154" t="s">
        <v>263</v>
      </c>
    </row>
    <row r="155" spans="1:11">
      <c r="A155" t="str">
        <f>"000590"</f>
        <v>000590</v>
      </c>
      <c r="B155" t="s">
        <v>264</v>
      </c>
      <c r="C155">
        <v>27.53</v>
      </c>
      <c r="D155">
        <v>9.46</v>
      </c>
      <c r="E155">
        <v>5.83</v>
      </c>
      <c r="F155">
        <v>2.39</v>
      </c>
      <c r="G155">
        <v>2.39</v>
      </c>
      <c r="H155">
        <v>17617</v>
      </c>
      <c r="I155">
        <v>4.72</v>
      </c>
      <c r="J155" t="s">
        <v>14</v>
      </c>
      <c r="K155" t="s">
        <v>155</v>
      </c>
    </row>
    <row r="156" spans="1:11">
      <c r="A156" t="str">
        <f>"000591"</f>
        <v>000591</v>
      </c>
      <c r="B156" t="s">
        <v>265</v>
      </c>
      <c r="C156">
        <v>198.53</v>
      </c>
      <c r="D156">
        <v>528.38</v>
      </c>
      <c r="E156">
        <v>243.6</v>
      </c>
      <c r="F156">
        <v>39.24</v>
      </c>
      <c r="G156">
        <v>39.24</v>
      </c>
      <c r="H156">
        <v>152719</v>
      </c>
      <c r="I156">
        <v>0.81</v>
      </c>
      <c r="J156">
        <v>13.23</v>
      </c>
      <c r="K156" t="s">
        <v>266</v>
      </c>
    </row>
    <row r="157" spans="1:11">
      <c r="A157" t="str">
        <f>"000592"</f>
        <v>000592</v>
      </c>
      <c r="B157" t="s">
        <v>267</v>
      </c>
      <c r="C157">
        <v>296.46</v>
      </c>
      <c r="D157">
        <v>33</v>
      </c>
      <c r="E157">
        <v>19.18</v>
      </c>
      <c r="F157">
        <v>19.32</v>
      </c>
      <c r="G157">
        <v>19.15</v>
      </c>
      <c r="H157">
        <v>483771</v>
      </c>
      <c r="I157">
        <v>15.59</v>
      </c>
      <c r="J157">
        <v>718.14</v>
      </c>
      <c r="K157" t="s">
        <v>268</v>
      </c>
    </row>
    <row r="158" spans="1:11">
      <c r="A158" t="str">
        <f>"000593"</f>
        <v>000593</v>
      </c>
      <c r="B158" t="s">
        <v>269</v>
      </c>
      <c r="C158">
        <v>62.41</v>
      </c>
      <c r="D158">
        <v>19.18</v>
      </c>
      <c r="E158">
        <v>8.74</v>
      </c>
      <c r="F158">
        <v>3.59</v>
      </c>
      <c r="G158">
        <v>3.58</v>
      </c>
      <c r="H158">
        <v>24025</v>
      </c>
      <c r="I158">
        <v>7.14</v>
      </c>
      <c r="J158">
        <v>189</v>
      </c>
      <c r="K158" t="s">
        <v>136</v>
      </c>
    </row>
    <row r="159" spans="1:11">
      <c r="A159" t="str">
        <f>"000595"</f>
        <v>000595</v>
      </c>
      <c r="B159" t="s">
        <v>270</v>
      </c>
      <c r="C159">
        <v>71.96</v>
      </c>
      <c r="D159">
        <v>95.36</v>
      </c>
      <c r="E159">
        <v>5.09</v>
      </c>
      <c r="F159">
        <v>11.39</v>
      </c>
      <c r="G159">
        <v>11.39</v>
      </c>
      <c r="H159">
        <v>47877</v>
      </c>
      <c r="I159">
        <v>14.14</v>
      </c>
      <c r="J159">
        <v>45.8</v>
      </c>
      <c r="K159" t="s">
        <v>111</v>
      </c>
    </row>
    <row r="160" spans="1:11">
      <c r="A160" t="str">
        <f>"000596"</f>
        <v>000596</v>
      </c>
      <c r="B160" t="s">
        <v>271</v>
      </c>
      <c r="C160">
        <v>561.38</v>
      </c>
      <c r="D160">
        <v>382.24</v>
      </c>
      <c r="E160">
        <v>254.62</v>
      </c>
      <c r="F160">
        <v>5.29</v>
      </c>
      <c r="G160">
        <v>4.09</v>
      </c>
      <c r="H160">
        <v>53135</v>
      </c>
      <c r="I160">
        <v>2.85</v>
      </c>
      <c r="J160">
        <v>13.75</v>
      </c>
      <c r="K160" t="s">
        <v>251</v>
      </c>
    </row>
    <row r="161" spans="1:11">
      <c r="A161" t="str">
        <f>"000597"</f>
        <v>000597</v>
      </c>
      <c r="B161" t="s">
        <v>272</v>
      </c>
      <c r="C161">
        <v>75.54</v>
      </c>
      <c r="D161">
        <v>136.49</v>
      </c>
      <c r="E161">
        <v>53.64</v>
      </c>
      <c r="F161">
        <v>14.27</v>
      </c>
      <c r="G161">
        <v>14.09</v>
      </c>
      <c r="H161">
        <v>47400</v>
      </c>
      <c r="I161">
        <v>1.43</v>
      </c>
      <c r="J161">
        <v>33.22</v>
      </c>
      <c r="K161" t="s">
        <v>109</v>
      </c>
    </row>
    <row r="162" spans="1:11">
      <c r="A162" t="str">
        <f>"000598"</f>
        <v>000598</v>
      </c>
      <c r="B162" t="s">
        <v>273</v>
      </c>
      <c r="C162">
        <v>208.55</v>
      </c>
      <c r="D162">
        <v>493.71</v>
      </c>
      <c r="E162">
        <v>194.82</v>
      </c>
      <c r="F162">
        <v>29.84</v>
      </c>
      <c r="G162">
        <v>29.79</v>
      </c>
      <c r="H162">
        <v>67711</v>
      </c>
      <c r="I162">
        <v>1.07</v>
      </c>
      <c r="J162">
        <v>8.88</v>
      </c>
      <c r="K162" t="s">
        <v>274</v>
      </c>
    </row>
    <row r="163" spans="1:11">
      <c r="A163" t="str">
        <f>"000599"</f>
        <v>000599</v>
      </c>
      <c r="B163" t="s">
        <v>275</v>
      </c>
      <c r="C163">
        <v>50.64</v>
      </c>
      <c r="D163">
        <v>92.26</v>
      </c>
      <c r="E163">
        <v>13.16</v>
      </c>
      <c r="F163">
        <v>8.17</v>
      </c>
      <c r="G163">
        <v>8.17</v>
      </c>
      <c r="H163">
        <v>47722</v>
      </c>
      <c r="I163">
        <v>3.85</v>
      </c>
      <c r="J163" t="s">
        <v>14</v>
      </c>
      <c r="K163" t="s">
        <v>263</v>
      </c>
    </row>
    <row r="164" spans="1:11">
      <c r="A164" t="str">
        <f>"000600"</f>
        <v>000600</v>
      </c>
      <c r="B164" t="s">
        <v>276</v>
      </c>
      <c r="C164">
        <v>95.05</v>
      </c>
      <c r="D164">
        <v>482.27</v>
      </c>
      <c r="E164">
        <v>128.31</v>
      </c>
      <c r="F164">
        <v>18.03</v>
      </c>
      <c r="G164">
        <v>10.9</v>
      </c>
      <c r="H164">
        <v>56205</v>
      </c>
      <c r="I164">
        <v>1.33</v>
      </c>
      <c r="J164">
        <v>7.45</v>
      </c>
      <c r="K164" t="s">
        <v>46</v>
      </c>
    </row>
    <row r="165" spans="1:11">
      <c r="A165" t="str">
        <f>"000601"</f>
        <v>000601</v>
      </c>
      <c r="B165" t="s">
        <v>277</v>
      </c>
      <c r="C165">
        <v>51.01</v>
      </c>
      <c r="D165">
        <v>131.28</v>
      </c>
      <c r="E165">
        <v>41.88</v>
      </c>
      <c r="F165">
        <v>10.64</v>
      </c>
      <c r="G165">
        <v>10.5</v>
      </c>
      <c r="H165">
        <v>69967</v>
      </c>
      <c r="I165">
        <v>1.25</v>
      </c>
      <c r="J165">
        <v>22.48</v>
      </c>
      <c r="K165" t="s">
        <v>278</v>
      </c>
    </row>
    <row r="166" spans="1:11">
      <c r="A166" t="str">
        <f>"000603"</f>
        <v>000603</v>
      </c>
      <c r="B166" t="s">
        <v>279</v>
      </c>
      <c r="C166">
        <v>272.82</v>
      </c>
      <c r="D166">
        <v>71.11</v>
      </c>
      <c r="E166">
        <v>32.9</v>
      </c>
      <c r="F166">
        <v>6.9</v>
      </c>
      <c r="G166">
        <v>6.67</v>
      </c>
      <c r="H166">
        <v>42099</v>
      </c>
      <c r="I166">
        <v>8.58</v>
      </c>
      <c r="J166">
        <v>65.63</v>
      </c>
      <c r="K166" t="s">
        <v>280</v>
      </c>
    </row>
    <row r="167" spans="1:11">
      <c r="A167" t="str">
        <f>"000605"</f>
        <v>000605</v>
      </c>
      <c r="B167" t="s">
        <v>281</v>
      </c>
      <c r="C167">
        <v>24.3</v>
      </c>
      <c r="D167">
        <v>78.88</v>
      </c>
      <c r="E167">
        <v>21.3</v>
      </c>
      <c r="F167">
        <v>3.53</v>
      </c>
      <c r="G167">
        <v>3.53</v>
      </c>
      <c r="H167">
        <v>23196</v>
      </c>
      <c r="I167">
        <v>1.14</v>
      </c>
      <c r="J167">
        <v>138.04</v>
      </c>
      <c r="K167" t="s">
        <v>274</v>
      </c>
    </row>
    <row r="168" spans="1:11">
      <c r="A168" t="str">
        <f>"000607"</f>
        <v>000607</v>
      </c>
      <c r="B168" t="s">
        <v>282</v>
      </c>
      <c r="C168">
        <v>43.9</v>
      </c>
      <c r="D168">
        <v>35.28</v>
      </c>
      <c r="E168">
        <v>15.5</v>
      </c>
      <c r="F168">
        <v>10.18</v>
      </c>
      <c r="G168">
        <v>8.85</v>
      </c>
      <c r="H168">
        <v>45378</v>
      </c>
      <c r="I168">
        <v>3.26</v>
      </c>
      <c r="J168" t="s">
        <v>14</v>
      </c>
      <c r="K168" t="s">
        <v>283</v>
      </c>
    </row>
    <row r="169" spans="1:11">
      <c r="A169" t="str">
        <f>"000608"</f>
        <v>000608</v>
      </c>
      <c r="B169" t="s">
        <v>284</v>
      </c>
      <c r="C169">
        <v>22.71</v>
      </c>
      <c r="D169">
        <v>46.86</v>
      </c>
      <c r="E169">
        <v>22.28</v>
      </c>
      <c r="F169">
        <v>7.5</v>
      </c>
      <c r="G169">
        <v>7.45</v>
      </c>
      <c r="H169">
        <v>23825</v>
      </c>
      <c r="I169">
        <v>1.03</v>
      </c>
      <c r="J169" t="s">
        <v>14</v>
      </c>
      <c r="K169" t="s">
        <v>53</v>
      </c>
    </row>
    <row r="170" spans="1:11">
      <c r="A170" t="str">
        <f>"000609"</f>
        <v>000609</v>
      </c>
      <c r="B170" t="s">
        <v>285</v>
      </c>
      <c r="C170">
        <v>24.68</v>
      </c>
      <c r="D170">
        <v>19.2</v>
      </c>
      <c r="E170">
        <v>-0.09</v>
      </c>
      <c r="F170">
        <v>2.99</v>
      </c>
      <c r="G170">
        <v>2.91</v>
      </c>
      <c r="H170">
        <v>13367</v>
      </c>
      <c r="I170">
        <v>-292.41</v>
      </c>
      <c r="J170" t="s">
        <v>14</v>
      </c>
      <c r="K170" t="s">
        <v>15</v>
      </c>
    </row>
    <row r="171" spans="1:11">
      <c r="A171" t="str">
        <f>"000610"</f>
        <v>000610</v>
      </c>
      <c r="B171" t="s">
        <v>286</v>
      </c>
      <c r="C171">
        <v>30.87</v>
      </c>
      <c r="D171">
        <v>19.59</v>
      </c>
      <c r="E171">
        <v>1.56</v>
      </c>
      <c r="F171">
        <v>2.37</v>
      </c>
      <c r="G171">
        <v>2.36</v>
      </c>
      <c r="H171">
        <v>60022</v>
      </c>
      <c r="I171">
        <v>19.86</v>
      </c>
      <c r="J171" t="s">
        <v>14</v>
      </c>
      <c r="K171" t="s">
        <v>194</v>
      </c>
    </row>
    <row r="172" spans="1:11">
      <c r="A172" t="str">
        <f>"000612"</f>
        <v>000612</v>
      </c>
      <c r="B172" t="s">
        <v>287</v>
      </c>
      <c r="C172">
        <v>152.5</v>
      </c>
      <c r="D172">
        <v>81.36</v>
      </c>
      <c r="E172">
        <v>69.95</v>
      </c>
      <c r="F172">
        <v>11.92</v>
      </c>
      <c r="G172">
        <v>11.91</v>
      </c>
      <c r="H172">
        <v>70245</v>
      </c>
      <c r="I172">
        <v>2.18</v>
      </c>
      <c r="J172">
        <v>12.63</v>
      </c>
      <c r="K172" t="s">
        <v>288</v>
      </c>
    </row>
    <row r="173" spans="1:11">
      <c r="A173" t="str">
        <f>"000615"</f>
        <v>000615</v>
      </c>
      <c r="B173" t="s">
        <v>289</v>
      </c>
      <c r="C173">
        <v>31</v>
      </c>
      <c r="D173">
        <v>27.37</v>
      </c>
      <c r="E173">
        <v>-2.53</v>
      </c>
      <c r="F173">
        <v>17.87</v>
      </c>
      <c r="G173">
        <v>9.25</v>
      </c>
      <c r="H173">
        <v>35007</v>
      </c>
      <c r="I173">
        <v>-10.09</v>
      </c>
      <c r="J173" t="s">
        <v>14</v>
      </c>
      <c r="K173" t="s">
        <v>290</v>
      </c>
    </row>
    <row r="174" spans="1:11">
      <c r="A174" t="str">
        <f>"000617"</f>
        <v>000617</v>
      </c>
      <c r="B174" t="s">
        <v>291</v>
      </c>
      <c r="C174">
        <v>1266.74</v>
      </c>
      <c r="D174">
        <v>11160.22</v>
      </c>
      <c r="E174">
        <v>1048.68</v>
      </c>
      <c r="F174">
        <v>126.42</v>
      </c>
      <c r="G174">
        <v>126.42</v>
      </c>
      <c r="H174">
        <v>241740</v>
      </c>
      <c r="I174">
        <v>1.21</v>
      </c>
      <c r="J174">
        <v>23.77</v>
      </c>
      <c r="K174" t="s">
        <v>292</v>
      </c>
    </row>
    <row r="175" spans="1:11">
      <c r="A175" t="str">
        <f>"000619"</f>
        <v>000619</v>
      </c>
      <c r="B175" t="s">
        <v>293</v>
      </c>
      <c r="C175">
        <v>22.28</v>
      </c>
      <c r="D175">
        <v>53.62</v>
      </c>
      <c r="E175">
        <v>25.5</v>
      </c>
      <c r="F175">
        <v>4.41</v>
      </c>
      <c r="G175">
        <v>3.6</v>
      </c>
      <c r="H175">
        <v>26369</v>
      </c>
      <c r="I175">
        <v>1.07</v>
      </c>
      <c r="J175" t="s">
        <v>14</v>
      </c>
      <c r="K175" t="s">
        <v>73</v>
      </c>
    </row>
    <row r="176" spans="1:11">
      <c r="A176" t="str">
        <f>"000620"</f>
        <v>000620</v>
      </c>
      <c r="B176" t="s">
        <v>294</v>
      </c>
      <c r="C176">
        <v>146.69</v>
      </c>
      <c r="D176">
        <v>118.26</v>
      </c>
      <c r="E176">
        <v>44.72</v>
      </c>
      <c r="F176">
        <v>58.72</v>
      </c>
      <c r="G176">
        <v>46.72</v>
      </c>
      <c r="H176">
        <v>72080</v>
      </c>
      <c r="I176">
        <v>4.12</v>
      </c>
      <c r="J176" t="s">
        <v>14</v>
      </c>
      <c r="K176" t="s">
        <v>15</v>
      </c>
    </row>
    <row r="177" spans="1:11">
      <c r="A177" t="str">
        <f>"000623"</f>
        <v>000623</v>
      </c>
      <c r="B177" t="s">
        <v>295</v>
      </c>
      <c r="C177">
        <v>240.47</v>
      </c>
      <c r="D177">
        <v>345.76</v>
      </c>
      <c r="E177">
        <v>305.68</v>
      </c>
      <c r="F177">
        <v>11.96</v>
      </c>
      <c r="G177">
        <v>11.91</v>
      </c>
      <c r="H177">
        <v>61216</v>
      </c>
      <c r="I177">
        <v>0.79</v>
      </c>
      <c r="J177">
        <v>8.01</v>
      </c>
      <c r="K177" t="s">
        <v>155</v>
      </c>
    </row>
    <row r="178" spans="1:11">
      <c r="A178" t="str">
        <f>"000625"</f>
        <v>000625</v>
      </c>
      <c r="B178" t="s">
        <v>296</v>
      </c>
      <c r="C178">
        <v>971.56</v>
      </c>
      <c r="D178">
        <v>1856.3</v>
      </c>
      <c r="E178">
        <v>771.36</v>
      </c>
      <c r="F178">
        <v>99.14</v>
      </c>
      <c r="G178">
        <v>82.69</v>
      </c>
      <c r="H178">
        <v>621475</v>
      </c>
      <c r="I178">
        <v>1.51</v>
      </c>
      <c r="J178">
        <v>28.6</v>
      </c>
      <c r="K178" t="s">
        <v>256</v>
      </c>
    </row>
    <row r="179" spans="1:11">
      <c r="A179" t="str">
        <f>"000626"</f>
        <v>000626</v>
      </c>
      <c r="B179" t="s">
        <v>297</v>
      </c>
      <c r="C179">
        <v>40.35</v>
      </c>
      <c r="D179">
        <v>84.25</v>
      </c>
      <c r="E179">
        <v>23.76</v>
      </c>
      <c r="F179">
        <v>5.07</v>
      </c>
      <c r="G179">
        <v>5.04</v>
      </c>
      <c r="H179">
        <v>22483</v>
      </c>
      <c r="I179">
        <v>1.71</v>
      </c>
      <c r="J179">
        <v>94.58</v>
      </c>
      <c r="K179" t="s">
        <v>107</v>
      </c>
    </row>
    <row r="180" spans="1:11">
      <c r="A180" t="str">
        <f>"000628"</f>
        <v>000628</v>
      </c>
      <c r="B180" t="s">
        <v>298</v>
      </c>
      <c r="C180">
        <v>97.81</v>
      </c>
      <c r="D180">
        <v>124.94</v>
      </c>
      <c r="E180">
        <v>21.92</v>
      </c>
      <c r="F180">
        <v>3.52</v>
      </c>
      <c r="G180">
        <v>1.92</v>
      </c>
      <c r="H180">
        <v>55476</v>
      </c>
      <c r="I180">
        <v>8.18</v>
      </c>
      <c r="J180">
        <v>141.1</v>
      </c>
      <c r="K180" t="s">
        <v>299</v>
      </c>
    </row>
    <row r="181" spans="1:11">
      <c r="A181" t="str">
        <f>"000629"</f>
        <v>000629</v>
      </c>
      <c r="B181" t="s">
        <v>300</v>
      </c>
      <c r="C181">
        <v>322.37</v>
      </c>
      <c r="D181">
        <v>147.43</v>
      </c>
      <c r="E181">
        <v>122.78</v>
      </c>
      <c r="F181">
        <v>92.91</v>
      </c>
      <c r="G181">
        <v>92.9</v>
      </c>
      <c r="H181">
        <v>252000</v>
      </c>
      <c r="I181">
        <v>2.63</v>
      </c>
      <c r="J181" t="s">
        <v>14</v>
      </c>
      <c r="K181" t="s">
        <v>301</v>
      </c>
    </row>
    <row r="182" spans="1:11">
      <c r="A182" t="str">
        <f>"000630"</f>
        <v>000630</v>
      </c>
      <c r="B182" t="s">
        <v>302</v>
      </c>
      <c r="C182">
        <v>681.95</v>
      </c>
      <c r="D182">
        <v>919.02</v>
      </c>
      <c r="E182">
        <v>361.22</v>
      </c>
      <c r="F182">
        <v>134.09</v>
      </c>
      <c r="G182">
        <v>111.43</v>
      </c>
      <c r="H182">
        <v>269241</v>
      </c>
      <c r="I182">
        <v>2.27</v>
      </c>
      <c r="J182">
        <v>34.76</v>
      </c>
      <c r="K182" t="s">
        <v>303</v>
      </c>
    </row>
    <row r="183" spans="1:11">
      <c r="A183" t="str">
        <f>"000631"</f>
        <v>000631</v>
      </c>
      <c r="B183" t="s">
        <v>304</v>
      </c>
      <c r="C183">
        <v>81.44</v>
      </c>
      <c r="D183">
        <v>76.83</v>
      </c>
      <c r="E183">
        <v>58.69</v>
      </c>
      <c r="F183">
        <v>23.95</v>
      </c>
      <c r="G183">
        <v>23.95</v>
      </c>
      <c r="H183">
        <v>28157</v>
      </c>
      <c r="I183">
        <v>1.39</v>
      </c>
      <c r="J183">
        <v>101.43</v>
      </c>
      <c r="K183" t="s">
        <v>43</v>
      </c>
    </row>
    <row r="184" spans="1:11">
      <c r="A184" t="str">
        <f>"000632"</f>
        <v>000632</v>
      </c>
      <c r="B184" t="s">
        <v>305</v>
      </c>
      <c r="C184">
        <v>25.37</v>
      </c>
      <c r="D184">
        <v>83.29</v>
      </c>
      <c r="E184">
        <v>8.8</v>
      </c>
      <c r="F184">
        <v>4.66</v>
      </c>
      <c r="G184">
        <v>4.65</v>
      </c>
      <c r="H184">
        <v>99013</v>
      </c>
      <c r="I184">
        <v>2.88</v>
      </c>
      <c r="J184" t="s">
        <v>14</v>
      </c>
      <c r="K184" t="s">
        <v>107</v>
      </c>
    </row>
    <row r="185" spans="1:11">
      <c r="A185" t="str">
        <f>"000633"</f>
        <v>000633</v>
      </c>
      <c r="B185" t="s">
        <v>306</v>
      </c>
      <c r="C185">
        <v>29.15</v>
      </c>
      <c r="D185">
        <v>3.11</v>
      </c>
      <c r="E185">
        <v>1.96</v>
      </c>
      <c r="F185">
        <v>3.85</v>
      </c>
      <c r="G185">
        <v>3.85</v>
      </c>
      <c r="H185">
        <v>25485</v>
      </c>
      <c r="I185">
        <v>14.84</v>
      </c>
      <c r="J185">
        <v>301.24</v>
      </c>
      <c r="K185" t="s">
        <v>307</v>
      </c>
    </row>
    <row r="186" spans="1:11">
      <c r="A186" t="str">
        <f>"000635"</f>
        <v>000635</v>
      </c>
      <c r="B186" t="s">
        <v>308</v>
      </c>
      <c r="C186">
        <v>29.91</v>
      </c>
      <c r="D186">
        <v>29.93</v>
      </c>
      <c r="E186">
        <v>15.43</v>
      </c>
      <c r="F186">
        <v>3.94</v>
      </c>
      <c r="G186">
        <v>3.03</v>
      </c>
      <c r="H186">
        <v>23127</v>
      </c>
      <c r="I186">
        <v>2.52</v>
      </c>
      <c r="J186" t="s">
        <v>14</v>
      </c>
      <c r="K186" t="s">
        <v>177</v>
      </c>
    </row>
    <row r="187" spans="1:11">
      <c r="A187" t="str">
        <f>"000636"</f>
        <v>000636</v>
      </c>
      <c r="B187" t="s">
        <v>309</v>
      </c>
      <c r="C187">
        <v>201.44</v>
      </c>
      <c r="D187">
        <v>166.54</v>
      </c>
      <c r="E187">
        <v>124.96</v>
      </c>
      <c r="F187">
        <v>11.57</v>
      </c>
      <c r="G187">
        <v>11.57</v>
      </c>
      <c r="H187">
        <v>100774</v>
      </c>
      <c r="I187">
        <v>1.61</v>
      </c>
      <c r="J187">
        <v>66.12</v>
      </c>
      <c r="K187" t="s">
        <v>310</v>
      </c>
    </row>
    <row r="188" spans="1:11">
      <c r="A188" t="str">
        <f>"000637"</f>
        <v>000637</v>
      </c>
      <c r="B188" t="s">
        <v>311</v>
      </c>
      <c r="C188">
        <v>16.22</v>
      </c>
      <c r="D188">
        <v>20.97</v>
      </c>
      <c r="E188">
        <v>5.55</v>
      </c>
      <c r="F188">
        <v>5.2</v>
      </c>
      <c r="G188">
        <v>3.65</v>
      </c>
      <c r="H188">
        <v>23679</v>
      </c>
      <c r="I188">
        <v>4.17</v>
      </c>
      <c r="J188" t="s">
        <v>14</v>
      </c>
      <c r="K188" t="s">
        <v>312</v>
      </c>
    </row>
    <row r="189" spans="1:11">
      <c r="A189" t="str">
        <f>"000638"</f>
        <v>000638</v>
      </c>
      <c r="B189" t="s">
        <v>313</v>
      </c>
      <c r="C189">
        <v>14.17</v>
      </c>
      <c r="D189">
        <v>2.66</v>
      </c>
      <c r="E189">
        <v>1.39</v>
      </c>
      <c r="F189">
        <v>3.11</v>
      </c>
      <c r="G189">
        <v>3.1</v>
      </c>
      <c r="H189">
        <v>21510</v>
      </c>
      <c r="I189">
        <v>10.2</v>
      </c>
      <c r="J189" t="s">
        <v>14</v>
      </c>
      <c r="K189" t="s">
        <v>37</v>
      </c>
    </row>
    <row r="190" spans="1:11">
      <c r="A190" t="str">
        <f>"000639"</f>
        <v>000639</v>
      </c>
      <c r="B190" t="s">
        <v>314</v>
      </c>
      <c r="C190">
        <v>35.94</v>
      </c>
      <c r="D190">
        <v>60.77</v>
      </c>
      <c r="E190">
        <v>29.04</v>
      </c>
      <c r="F190">
        <v>10.79</v>
      </c>
      <c r="G190">
        <v>10.79</v>
      </c>
      <c r="H190">
        <v>46937</v>
      </c>
      <c r="I190">
        <v>1.24</v>
      </c>
      <c r="J190">
        <v>1213.37</v>
      </c>
      <c r="K190" t="s">
        <v>37</v>
      </c>
    </row>
    <row r="191" spans="1:11">
      <c r="A191" t="str">
        <f>"000650"</f>
        <v>000650</v>
      </c>
      <c r="B191" t="s">
        <v>315</v>
      </c>
      <c r="C191">
        <v>84.14</v>
      </c>
      <c r="D191">
        <v>81.04</v>
      </c>
      <c r="E191">
        <v>63.52</v>
      </c>
      <c r="F191">
        <v>14</v>
      </c>
      <c r="G191">
        <v>13.31</v>
      </c>
      <c r="H191">
        <v>97731</v>
      </c>
      <c r="I191">
        <v>1.39</v>
      </c>
      <c r="J191">
        <v>17.5</v>
      </c>
      <c r="K191" t="s">
        <v>155</v>
      </c>
    </row>
    <row r="192" spans="1:11">
      <c r="A192" t="str">
        <f>"000651"</f>
        <v>000651</v>
      </c>
      <c r="B192" t="s">
        <v>316</v>
      </c>
      <c r="C192">
        <v>2217.09</v>
      </c>
      <c r="D192">
        <v>3992.22</v>
      </c>
      <c r="E192">
        <v>1444.24</v>
      </c>
      <c r="F192">
        <v>56.01</v>
      </c>
      <c r="G192">
        <v>55.15</v>
      </c>
      <c r="H192">
        <v>575123</v>
      </c>
      <c r="I192">
        <v>1.56</v>
      </c>
      <c r="J192">
        <v>7.87</v>
      </c>
      <c r="K192" t="s">
        <v>124</v>
      </c>
    </row>
    <row r="193" spans="1:11">
      <c r="A193" t="str">
        <f>"000652"</f>
        <v>000652</v>
      </c>
      <c r="B193" t="s">
        <v>317</v>
      </c>
      <c r="C193">
        <v>62.81</v>
      </c>
      <c r="D193">
        <v>419.74</v>
      </c>
      <c r="E193">
        <v>57.25</v>
      </c>
      <c r="F193">
        <v>14.76</v>
      </c>
      <c r="G193">
        <v>14.74</v>
      </c>
      <c r="H193">
        <v>80779</v>
      </c>
      <c r="I193">
        <v>1.1</v>
      </c>
      <c r="J193">
        <v>67.32</v>
      </c>
      <c r="K193" t="s">
        <v>107</v>
      </c>
    </row>
    <row r="194" spans="1:11">
      <c r="A194" t="str">
        <f>"000655"</f>
        <v>000655</v>
      </c>
      <c r="B194" t="s">
        <v>318</v>
      </c>
      <c r="C194">
        <v>57.87</v>
      </c>
      <c r="D194">
        <v>40.4</v>
      </c>
      <c r="E194">
        <v>35.1</v>
      </c>
      <c r="F194">
        <v>5.95</v>
      </c>
      <c r="G194">
        <v>5.95</v>
      </c>
      <c r="H194">
        <v>34658</v>
      </c>
      <c r="I194">
        <v>1.65</v>
      </c>
      <c r="J194">
        <v>19.69</v>
      </c>
      <c r="K194" t="s">
        <v>319</v>
      </c>
    </row>
    <row r="195" spans="1:11">
      <c r="A195" t="str">
        <f>"000656"</f>
        <v>000656</v>
      </c>
      <c r="B195" t="s">
        <v>320</v>
      </c>
      <c r="C195">
        <v>109.59</v>
      </c>
      <c r="D195">
        <v>1703</v>
      </c>
      <c r="E195">
        <v>-368.85</v>
      </c>
      <c r="F195">
        <v>106.34</v>
      </c>
      <c r="G195">
        <v>76.1</v>
      </c>
      <c r="H195">
        <v>121245</v>
      </c>
      <c r="I195">
        <v>-0.42</v>
      </c>
      <c r="J195" t="s">
        <v>14</v>
      </c>
      <c r="K195" t="s">
        <v>15</v>
      </c>
    </row>
    <row r="196" spans="1:11">
      <c r="A196" t="str">
        <f>"000657"</f>
        <v>000657</v>
      </c>
      <c r="B196" t="s">
        <v>321</v>
      </c>
      <c r="C196">
        <v>502.79</v>
      </c>
      <c r="D196">
        <v>207.83</v>
      </c>
      <c r="E196">
        <v>98.73</v>
      </c>
      <c r="F196">
        <v>22.79</v>
      </c>
      <c r="G196">
        <v>14.44</v>
      </c>
      <c r="H196">
        <v>103122</v>
      </c>
      <c r="I196">
        <v>8.04</v>
      </c>
      <c r="J196">
        <v>70.33</v>
      </c>
      <c r="K196" t="s">
        <v>322</v>
      </c>
    </row>
    <row r="197" spans="1:11">
      <c r="A197" t="str">
        <f>"000659"</f>
        <v>000659</v>
      </c>
      <c r="B197" t="s">
        <v>323</v>
      </c>
      <c r="C197">
        <v>54.51</v>
      </c>
      <c r="D197">
        <v>19.73</v>
      </c>
      <c r="E197">
        <v>1.7</v>
      </c>
      <c r="F197">
        <v>12.86</v>
      </c>
      <c r="G197">
        <v>12.86</v>
      </c>
      <c r="H197">
        <v>43674</v>
      </c>
      <c r="I197">
        <v>32.12</v>
      </c>
      <c r="J197" t="s">
        <v>14</v>
      </c>
      <c r="K197" t="s">
        <v>324</v>
      </c>
    </row>
    <row r="198" spans="1:11">
      <c r="A198" t="str">
        <f>"000661"</f>
        <v>000661</v>
      </c>
      <c r="B198" t="s">
        <v>325</v>
      </c>
      <c r="C198">
        <v>406.49</v>
      </c>
      <c r="D198">
        <v>314.58</v>
      </c>
      <c r="E198">
        <v>230.07</v>
      </c>
      <c r="F198">
        <v>4.08</v>
      </c>
      <c r="G198">
        <v>4</v>
      </c>
      <c r="H198">
        <v>104055</v>
      </c>
      <c r="I198">
        <v>1.8</v>
      </c>
      <c r="J198">
        <v>26.72</v>
      </c>
      <c r="K198" t="s">
        <v>184</v>
      </c>
    </row>
    <row r="199" spans="1:11">
      <c r="A199" t="str">
        <f>"000663"</f>
        <v>000663</v>
      </c>
      <c r="B199" t="s">
        <v>326</v>
      </c>
      <c r="C199">
        <v>23.43</v>
      </c>
      <c r="D199">
        <v>14.7</v>
      </c>
      <c r="E199">
        <v>10.02</v>
      </c>
      <c r="F199">
        <v>3.37</v>
      </c>
      <c r="G199">
        <v>3.06</v>
      </c>
      <c r="H199">
        <v>23244</v>
      </c>
      <c r="I199">
        <v>2.57</v>
      </c>
      <c r="J199" t="s">
        <v>14</v>
      </c>
      <c r="K199" t="s">
        <v>268</v>
      </c>
    </row>
    <row r="200" spans="1:11">
      <c r="A200" t="str">
        <f>"000665"</f>
        <v>000665</v>
      </c>
      <c r="B200" t="s">
        <v>327</v>
      </c>
      <c r="C200">
        <v>70.16</v>
      </c>
      <c r="D200">
        <v>99.45</v>
      </c>
      <c r="E200">
        <v>40.14</v>
      </c>
      <c r="F200">
        <v>11.37</v>
      </c>
      <c r="G200">
        <v>11.37</v>
      </c>
      <c r="H200">
        <v>68892</v>
      </c>
      <c r="I200">
        <v>1.75</v>
      </c>
      <c r="J200" t="s">
        <v>14</v>
      </c>
      <c r="K200" t="s">
        <v>113</v>
      </c>
    </row>
    <row r="201" spans="1:11">
      <c r="A201" t="str">
        <f>"000668"</f>
        <v>000668</v>
      </c>
      <c r="B201" t="s">
        <v>328</v>
      </c>
      <c r="C201">
        <v>16.86</v>
      </c>
      <c r="D201">
        <v>12.84</v>
      </c>
      <c r="E201">
        <v>7.06</v>
      </c>
      <c r="F201">
        <v>1.47</v>
      </c>
      <c r="G201">
        <v>1.47</v>
      </c>
      <c r="H201">
        <v>5054</v>
      </c>
      <c r="I201">
        <v>2.39</v>
      </c>
      <c r="J201" t="s">
        <v>14</v>
      </c>
      <c r="K201" t="s">
        <v>15</v>
      </c>
    </row>
    <row r="202" spans="1:11">
      <c r="A202" t="str">
        <f>"000669"</f>
        <v>000669</v>
      </c>
      <c r="B202" t="s">
        <v>329</v>
      </c>
      <c r="C202">
        <v>19.6</v>
      </c>
      <c r="D202">
        <v>24.02</v>
      </c>
      <c r="E202">
        <v>-0.11</v>
      </c>
      <c r="F202">
        <v>6.8</v>
      </c>
      <c r="G202">
        <v>6.8</v>
      </c>
      <c r="H202">
        <v>15232</v>
      </c>
      <c r="I202">
        <v>-180</v>
      </c>
      <c r="J202" t="s">
        <v>14</v>
      </c>
      <c r="K202" t="s">
        <v>136</v>
      </c>
    </row>
    <row r="203" spans="1:11">
      <c r="A203" t="str">
        <f>"000670"</f>
        <v>000670</v>
      </c>
      <c r="B203" t="s">
        <v>330</v>
      </c>
      <c r="C203">
        <v>63.5</v>
      </c>
      <c r="D203">
        <v>20.79</v>
      </c>
      <c r="E203">
        <v>0.28</v>
      </c>
      <c r="F203">
        <v>8.44</v>
      </c>
      <c r="G203">
        <v>8.21</v>
      </c>
      <c r="H203">
        <v>139157</v>
      </c>
      <c r="I203">
        <v>234.24</v>
      </c>
      <c r="J203" t="s">
        <v>14</v>
      </c>
      <c r="K203" t="s">
        <v>82</v>
      </c>
    </row>
    <row r="204" spans="1:11">
      <c r="A204" t="str">
        <f>"000672"</f>
        <v>000672</v>
      </c>
      <c r="B204" t="s">
        <v>331</v>
      </c>
      <c r="C204">
        <v>121.56</v>
      </c>
      <c r="D204">
        <v>168.83</v>
      </c>
      <c r="E204">
        <v>88.72</v>
      </c>
      <c r="F204">
        <v>9.69</v>
      </c>
      <c r="G204">
        <v>9.69</v>
      </c>
      <c r="H204">
        <v>37517</v>
      </c>
      <c r="I204">
        <v>1.37</v>
      </c>
      <c r="J204">
        <v>17.27</v>
      </c>
      <c r="K204" t="s">
        <v>129</v>
      </c>
    </row>
    <row r="205" spans="1:11">
      <c r="A205" t="str">
        <f>"000676"</f>
        <v>000676</v>
      </c>
      <c r="B205" t="s">
        <v>332</v>
      </c>
      <c r="C205">
        <v>132.7</v>
      </c>
      <c r="D205">
        <v>51.18</v>
      </c>
      <c r="E205">
        <v>42.71</v>
      </c>
      <c r="F205">
        <v>12.6</v>
      </c>
      <c r="G205">
        <v>12.59</v>
      </c>
      <c r="H205">
        <v>97588</v>
      </c>
      <c r="I205">
        <v>3.12</v>
      </c>
      <c r="J205">
        <v>83.48</v>
      </c>
      <c r="K205" t="s">
        <v>333</v>
      </c>
    </row>
    <row r="206" spans="1:11">
      <c r="A206" t="str">
        <f>"000677"</f>
        <v>000677</v>
      </c>
      <c r="B206" t="s">
        <v>334</v>
      </c>
      <c r="C206">
        <v>38.27</v>
      </c>
      <c r="D206">
        <v>22.25</v>
      </c>
      <c r="E206">
        <v>5.08</v>
      </c>
      <c r="F206">
        <v>8.64</v>
      </c>
      <c r="G206">
        <v>8.64</v>
      </c>
      <c r="H206">
        <v>54297</v>
      </c>
      <c r="I206">
        <v>7.53</v>
      </c>
      <c r="J206">
        <v>1044.75</v>
      </c>
      <c r="K206" t="s">
        <v>122</v>
      </c>
    </row>
    <row r="207" spans="1:11">
      <c r="A207" t="str">
        <f>"000678"</f>
        <v>000678</v>
      </c>
      <c r="B207" t="s">
        <v>335</v>
      </c>
      <c r="C207">
        <v>68.85</v>
      </c>
      <c r="D207">
        <v>22.89</v>
      </c>
      <c r="E207">
        <v>7.97</v>
      </c>
      <c r="F207">
        <v>4.6</v>
      </c>
      <c r="G207">
        <v>4.6</v>
      </c>
      <c r="H207">
        <v>100619</v>
      </c>
      <c r="I207">
        <v>8.63</v>
      </c>
      <c r="J207" t="s">
        <v>14</v>
      </c>
      <c r="K207" t="s">
        <v>51</v>
      </c>
    </row>
    <row r="208" spans="1:11">
      <c r="A208" t="str">
        <f>"000679"</f>
        <v>000679</v>
      </c>
      <c r="B208" t="s">
        <v>336</v>
      </c>
      <c r="C208">
        <v>27.12</v>
      </c>
      <c r="D208">
        <v>9.75</v>
      </c>
      <c r="E208">
        <v>1.97</v>
      </c>
      <c r="F208">
        <v>3.56</v>
      </c>
      <c r="G208">
        <v>3.56</v>
      </c>
      <c r="H208">
        <v>19099</v>
      </c>
      <c r="I208">
        <v>13.74</v>
      </c>
      <c r="J208" t="s">
        <v>14</v>
      </c>
      <c r="K208" t="s">
        <v>146</v>
      </c>
    </row>
    <row r="209" spans="1:11">
      <c r="A209" t="str">
        <f>"000680"</f>
        <v>000680</v>
      </c>
      <c r="B209" t="s">
        <v>337</v>
      </c>
      <c r="C209">
        <v>160.79</v>
      </c>
      <c r="D209">
        <v>187.94</v>
      </c>
      <c r="E209">
        <v>58.36</v>
      </c>
      <c r="F209">
        <v>15</v>
      </c>
      <c r="G209">
        <v>13.15</v>
      </c>
      <c r="H209">
        <v>70822</v>
      </c>
      <c r="I209">
        <v>3.14</v>
      </c>
      <c r="J209">
        <v>16.41</v>
      </c>
      <c r="K209" t="s">
        <v>115</v>
      </c>
    </row>
    <row r="210" spans="1:11">
      <c r="A210" t="str">
        <f>"000681"</f>
        <v>000681</v>
      </c>
      <c r="B210" t="s">
        <v>338</v>
      </c>
      <c r="C210">
        <v>215.86</v>
      </c>
      <c r="D210">
        <v>44.25</v>
      </c>
      <c r="E210">
        <v>36.26</v>
      </c>
      <c r="F210">
        <v>7.01</v>
      </c>
      <c r="G210">
        <v>6.76</v>
      </c>
      <c r="H210">
        <v>120907</v>
      </c>
      <c r="I210">
        <v>6.17</v>
      </c>
      <c r="J210">
        <v>225.69</v>
      </c>
      <c r="K210" t="s">
        <v>339</v>
      </c>
    </row>
    <row r="211" spans="1:11">
      <c r="A211" t="str">
        <f>"000682"</f>
        <v>000682</v>
      </c>
      <c r="B211" t="s">
        <v>340</v>
      </c>
      <c r="C211">
        <v>168.64</v>
      </c>
      <c r="D211">
        <v>132.65</v>
      </c>
      <c r="E211">
        <v>55.01</v>
      </c>
      <c r="F211">
        <v>13.41</v>
      </c>
      <c r="G211">
        <v>13.41</v>
      </c>
      <c r="H211">
        <v>68837</v>
      </c>
      <c r="I211">
        <v>3.07</v>
      </c>
      <c r="J211">
        <v>25.55</v>
      </c>
      <c r="K211" t="s">
        <v>127</v>
      </c>
    </row>
    <row r="212" spans="1:11">
      <c r="A212" t="str">
        <f>"000683"</f>
        <v>000683</v>
      </c>
      <c r="B212" t="s">
        <v>341</v>
      </c>
      <c r="C212">
        <v>251.18</v>
      </c>
      <c r="D212">
        <v>393.08</v>
      </c>
      <c r="E212">
        <v>145.36</v>
      </c>
      <c r="F212">
        <v>37.17</v>
      </c>
      <c r="G212">
        <v>33.49</v>
      </c>
      <c r="H212">
        <v>81636</v>
      </c>
      <c r="I212">
        <v>1.92</v>
      </c>
      <c r="J212">
        <v>19.69</v>
      </c>
      <c r="K212" t="s">
        <v>342</v>
      </c>
    </row>
    <row r="213" spans="1:11">
      <c r="A213" t="str">
        <f>"000685"</f>
        <v>000685</v>
      </c>
      <c r="B213" t="s">
        <v>343</v>
      </c>
      <c r="C213">
        <v>148.22</v>
      </c>
      <c r="D213">
        <v>356.72</v>
      </c>
      <c r="E213">
        <v>179.77</v>
      </c>
      <c r="F213">
        <v>14.75</v>
      </c>
      <c r="G213">
        <v>12.54</v>
      </c>
      <c r="H213">
        <v>47849</v>
      </c>
      <c r="I213">
        <v>0.97</v>
      </c>
      <c r="J213">
        <v>10.8</v>
      </c>
      <c r="K213" t="s">
        <v>274</v>
      </c>
    </row>
    <row r="214" spans="1:11">
      <c r="A214" t="str">
        <f>"000686"</f>
        <v>000686</v>
      </c>
      <c r="B214" t="s">
        <v>344</v>
      </c>
      <c r="C214">
        <v>224.22</v>
      </c>
      <c r="D214">
        <v>1100.58</v>
      </c>
      <c r="E214">
        <v>199.36</v>
      </c>
      <c r="F214">
        <v>23.4</v>
      </c>
      <c r="G214">
        <v>23.4</v>
      </c>
      <c r="H214">
        <v>90671</v>
      </c>
      <c r="I214">
        <v>1.12</v>
      </c>
      <c r="J214">
        <v>15.77</v>
      </c>
      <c r="K214" t="s">
        <v>120</v>
      </c>
    </row>
    <row r="215" spans="1:11">
      <c r="A215" t="str">
        <f>"000688"</f>
        <v>000688</v>
      </c>
      <c r="B215" t="s">
        <v>345</v>
      </c>
      <c r="C215">
        <v>312.5</v>
      </c>
      <c r="D215">
        <v>84.14</v>
      </c>
      <c r="E215">
        <v>34.65</v>
      </c>
      <c r="F215">
        <v>11.85</v>
      </c>
      <c r="G215">
        <v>11.85</v>
      </c>
      <c r="H215">
        <v>26756</v>
      </c>
      <c r="I215">
        <v>8.89</v>
      </c>
      <c r="J215">
        <v>52.03</v>
      </c>
      <c r="K215" t="s">
        <v>79</v>
      </c>
    </row>
    <row r="216" spans="1:11">
      <c r="A216" t="str">
        <f>"000690"</f>
        <v>000690</v>
      </c>
      <c r="B216" t="s">
        <v>346</v>
      </c>
      <c r="C216">
        <v>96.11</v>
      </c>
      <c r="D216">
        <v>219.43</v>
      </c>
      <c r="E216">
        <v>125.53</v>
      </c>
      <c r="F216">
        <v>21.76</v>
      </c>
      <c r="G216">
        <v>21.74</v>
      </c>
      <c r="H216">
        <v>87076</v>
      </c>
      <c r="I216">
        <v>0.77</v>
      </c>
      <c r="J216">
        <v>8.79</v>
      </c>
      <c r="K216" t="s">
        <v>46</v>
      </c>
    </row>
    <row r="217" spans="1:11">
      <c r="A217" t="str">
        <f>"000691"</f>
        <v>000691</v>
      </c>
      <c r="B217" t="s">
        <v>347</v>
      </c>
      <c r="C217">
        <v>33.68</v>
      </c>
      <c r="D217">
        <v>5.72</v>
      </c>
      <c r="E217">
        <v>-1.03</v>
      </c>
      <c r="F217">
        <v>4.85</v>
      </c>
      <c r="G217">
        <v>3.23</v>
      </c>
      <c r="H217">
        <v>16681</v>
      </c>
      <c r="I217">
        <v>-32.77</v>
      </c>
      <c r="J217" t="s">
        <v>14</v>
      </c>
      <c r="K217" t="s">
        <v>348</v>
      </c>
    </row>
    <row r="218" spans="1:11">
      <c r="A218" t="str">
        <f>"000692"</f>
        <v>000692</v>
      </c>
      <c r="B218" t="s">
        <v>349</v>
      </c>
      <c r="C218">
        <v>19.4</v>
      </c>
      <c r="D218">
        <v>52.74</v>
      </c>
      <c r="E218">
        <v>-1.29</v>
      </c>
      <c r="F218">
        <v>5.33</v>
      </c>
      <c r="G218">
        <v>5.33</v>
      </c>
      <c r="H218">
        <v>25597</v>
      </c>
      <c r="I218">
        <v>-15.04</v>
      </c>
      <c r="J218" t="s">
        <v>14</v>
      </c>
      <c r="K218" t="s">
        <v>350</v>
      </c>
    </row>
    <row r="219" spans="1:11">
      <c r="A219" t="str">
        <f>"000695"</f>
        <v>000695</v>
      </c>
      <c r="B219" t="s">
        <v>351</v>
      </c>
      <c r="C219">
        <v>29.01</v>
      </c>
      <c r="D219">
        <v>20.03</v>
      </c>
      <c r="E219">
        <v>1.08</v>
      </c>
      <c r="F219">
        <v>2.22</v>
      </c>
      <c r="G219">
        <v>2.22</v>
      </c>
      <c r="H219">
        <v>25626</v>
      </c>
      <c r="I219">
        <v>26.86</v>
      </c>
      <c r="J219" t="s">
        <v>14</v>
      </c>
      <c r="K219" t="s">
        <v>24</v>
      </c>
    </row>
    <row r="220" spans="1:11">
      <c r="A220" t="str">
        <f>"000697"</f>
        <v>000697</v>
      </c>
      <c r="B220" t="s">
        <v>352</v>
      </c>
      <c r="C220">
        <v>55.45</v>
      </c>
      <c r="D220">
        <v>39.2</v>
      </c>
      <c r="E220">
        <v>-0.33</v>
      </c>
      <c r="F220">
        <v>13.96</v>
      </c>
      <c r="G220">
        <v>6.53</v>
      </c>
      <c r="H220">
        <v>24400</v>
      </c>
      <c r="I220">
        <v>-223.42</v>
      </c>
      <c r="J220" t="s">
        <v>14</v>
      </c>
      <c r="K220" t="s">
        <v>353</v>
      </c>
    </row>
    <row r="221" spans="1:11">
      <c r="A221" t="str">
        <f>"000698"</f>
        <v>000698</v>
      </c>
      <c r="B221" t="s">
        <v>354</v>
      </c>
      <c r="C221">
        <v>29.23</v>
      </c>
      <c r="D221">
        <v>52</v>
      </c>
      <c r="E221">
        <v>14.77</v>
      </c>
      <c r="F221">
        <v>8.2</v>
      </c>
      <c r="G221">
        <v>7.86</v>
      </c>
      <c r="H221">
        <v>46492</v>
      </c>
      <c r="I221">
        <v>2.06</v>
      </c>
      <c r="J221">
        <v>25.72</v>
      </c>
      <c r="K221" t="s">
        <v>77</v>
      </c>
    </row>
    <row r="222" spans="1:11">
      <c r="A222" t="str">
        <f>"000700"</f>
        <v>000700</v>
      </c>
      <c r="B222" t="s">
        <v>355</v>
      </c>
      <c r="C222">
        <v>124.39</v>
      </c>
      <c r="D222">
        <v>74.27</v>
      </c>
      <c r="E222">
        <v>40.17</v>
      </c>
      <c r="F222">
        <v>9.18</v>
      </c>
      <c r="G222">
        <v>9.18</v>
      </c>
      <c r="H222">
        <v>80816</v>
      </c>
      <c r="I222">
        <v>3.1</v>
      </c>
      <c r="J222">
        <v>24.87</v>
      </c>
      <c r="K222" t="s">
        <v>356</v>
      </c>
    </row>
    <row r="223" spans="1:11">
      <c r="A223" t="str">
        <f>"000701"</f>
        <v>000701</v>
      </c>
      <c r="B223" t="s">
        <v>357</v>
      </c>
      <c r="C223">
        <v>46.07</v>
      </c>
      <c r="D223">
        <v>171.58</v>
      </c>
      <c r="E223">
        <v>24.94</v>
      </c>
      <c r="F223">
        <v>6.68</v>
      </c>
      <c r="G223">
        <v>6.68</v>
      </c>
      <c r="H223">
        <v>48340</v>
      </c>
      <c r="I223">
        <v>-9.21</v>
      </c>
      <c r="J223">
        <v>521.06</v>
      </c>
      <c r="K223" t="s">
        <v>107</v>
      </c>
    </row>
    <row r="224" spans="1:11">
      <c r="A224" t="str">
        <f>"000702"</f>
        <v>000702</v>
      </c>
      <c r="B224" t="s">
        <v>358</v>
      </c>
      <c r="C224">
        <v>18</v>
      </c>
      <c r="D224">
        <v>5.06</v>
      </c>
      <c r="E224">
        <v>3.52</v>
      </c>
      <c r="F224">
        <v>3.47</v>
      </c>
      <c r="G224">
        <v>2.67</v>
      </c>
      <c r="H224">
        <v>31981</v>
      </c>
      <c r="I224">
        <v>6.64</v>
      </c>
      <c r="J224" t="s">
        <v>14</v>
      </c>
      <c r="K224" t="s">
        <v>359</v>
      </c>
    </row>
    <row r="225" spans="1:11">
      <c r="A225" t="str">
        <f>"000703"</f>
        <v>000703</v>
      </c>
      <c r="B225" t="s">
        <v>360</v>
      </c>
      <c r="C225">
        <v>389.87</v>
      </c>
      <c r="D225">
        <v>1115.1</v>
      </c>
      <c r="E225">
        <v>244.58</v>
      </c>
      <c r="F225">
        <v>36.03</v>
      </c>
      <c r="G225">
        <v>35.83</v>
      </c>
      <c r="H225">
        <v>37931</v>
      </c>
      <c r="I225">
        <v>1.68</v>
      </c>
      <c r="J225">
        <v>127.21</v>
      </c>
      <c r="K225" t="s">
        <v>122</v>
      </c>
    </row>
    <row r="226" spans="1:11">
      <c r="A226" t="str">
        <f>"000705"</f>
        <v>000705</v>
      </c>
      <c r="B226" t="s">
        <v>361</v>
      </c>
      <c r="C226">
        <v>26.7</v>
      </c>
      <c r="D226">
        <v>30.31</v>
      </c>
      <c r="E226">
        <v>20.17</v>
      </c>
      <c r="F226">
        <v>3.34</v>
      </c>
      <c r="G226">
        <v>2.82</v>
      </c>
      <c r="H226">
        <v>35792</v>
      </c>
      <c r="I226">
        <v>1.57</v>
      </c>
      <c r="J226">
        <v>42.33</v>
      </c>
      <c r="K226" t="s">
        <v>48</v>
      </c>
    </row>
    <row r="227" spans="1:11">
      <c r="A227" t="str">
        <f>"000707"</f>
        <v>000707</v>
      </c>
      <c r="B227" t="s">
        <v>362</v>
      </c>
      <c r="C227">
        <v>28.73</v>
      </c>
      <c r="D227">
        <v>56.8</v>
      </c>
      <c r="E227">
        <v>28.47</v>
      </c>
      <c r="F227">
        <v>5.85</v>
      </c>
      <c r="G227">
        <v>4.64</v>
      </c>
      <c r="H227">
        <v>39069</v>
      </c>
      <c r="I227">
        <v>1.27</v>
      </c>
      <c r="J227" t="s">
        <v>14</v>
      </c>
      <c r="K227" t="s">
        <v>342</v>
      </c>
    </row>
    <row r="228" spans="1:11">
      <c r="A228" t="str">
        <f>"000708"</f>
        <v>000708</v>
      </c>
      <c r="B228" t="s">
        <v>363</v>
      </c>
      <c r="C228">
        <v>792.4</v>
      </c>
      <c r="D228">
        <v>1107.38</v>
      </c>
      <c r="E228">
        <v>420.27</v>
      </c>
      <c r="F228">
        <v>50.47</v>
      </c>
      <c r="G228">
        <v>50.47</v>
      </c>
      <c r="H228">
        <v>38361</v>
      </c>
      <c r="I228">
        <v>1.91</v>
      </c>
      <c r="J228">
        <v>13.72</v>
      </c>
      <c r="K228" t="s">
        <v>364</v>
      </c>
    </row>
    <row r="229" spans="1:11">
      <c r="A229" t="str">
        <f>"000709"</f>
        <v>000709</v>
      </c>
      <c r="B229" t="s">
        <v>365</v>
      </c>
      <c r="C229">
        <v>248.05</v>
      </c>
      <c r="D229">
        <v>2717.39</v>
      </c>
      <c r="E229">
        <v>591.09</v>
      </c>
      <c r="F229">
        <v>103.37</v>
      </c>
      <c r="G229">
        <v>103.35</v>
      </c>
      <c r="H229">
        <v>231601</v>
      </c>
      <c r="I229">
        <v>0.48</v>
      </c>
      <c r="J229">
        <v>22.61</v>
      </c>
      <c r="K229" t="s">
        <v>366</v>
      </c>
    </row>
    <row r="230" spans="1:11">
      <c r="A230" t="str">
        <f>"000710"</f>
        <v>000710</v>
      </c>
      <c r="B230" t="s">
        <v>367</v>
      </c>
      <c r="C230">
        <v>49.43</v>
      </c>
      <c r="D230">
        <v>23.44</v>
      </c>
      <c r="E230">
        <v>16.2</v>
      </c>
      <c r="F230">
        <v>3.54</v>
      </c>
      <c r="G230">
        <v>3.3</v>
      </c>
      <c r="H230">
        <v>64711</v>
      </c>
      <c r="I230">
        <v>3.27</v>
      </c>
      <c r="J230" t="s">
        <v>14</v>
      </c>
      <c r="K230" t="s">
        <v>368</v>
      </c>
    </row>
    <row r="231" spans="1:11">
      <c r="A231" t="str">
        <f>"000711"</f>
        <v>000711</v>
      </c>
      <c r="B231" t="s">
        <v>369</v>
      </c>
      <c r="C231">
        <v>38.86</v>
      </c>
      <c r="D231">
        <v>12.24</v>
      </c>
      <c r="E231">
        <v>5.79</v>
      </c>
      <c r="F231">
        <v>28.57</v>
      </c>
      <c r="G231">
        <v>22.86</v>
      </c>
      <c r="H231">
        <v>29237</v>
      </c>
      <c r="I231">
        <v>8.37</v>
      </c>
      <c r="J231" t="s">
        <v>14</v>
      </c>
      <c r="K231" t="s">
        <v>370</v>
      </c>
    </row>
    <row r="232" spans="1:11">
      <c r="A232" t="str">
        <f>"000712"</f>
        <v>000712</v>
      </c>
      <c r="B232" t="s">
        <v>371</v>
      </c>
      <c r="C232">
        <v>111.79</v>
      </c>
      <c r="D232">
        <v>229.29</v>
      </c>
      <c r="E232">
        <v>25.36</v>
      </c>
      <c r="F232">
        <v>8.96</v>
      </c>
      <c r="G232">
        <v>8.96</v>
      </c>
      <c r="H232">
        <v>79518</v>
      </c>
      <c r="I232">
        <v>4.41</v>
      </c>
      <c r="J232">
        <v>55.11</v>
      </c>
      <c r="K232" t="s">
        <v>120</v>
      </c>
    </row>
    <row r="233" spans="1:11">
      <c r="A233" t="str">
        <f>"000713"</f>
        <v>000713</v>
      </c>
      <c r="B233" t="s">
        <v>372</v>
      </c>
      <c r="C233">
        <v>41.45</v>
      </c>
      <c r="D233">
        <v>35.23</v>
      </c>
      <c r="E233">
        <v>19.06</v>
      </c>
      <c r="F233">
        <v>6.14</v>
      </c>
      <c r="G233">
        <v>6.14</v>
      </c>
      <c r="H233">
        <v>60728</v>
      </c>
      <c r="I233">
        <v>2.17</v>
      </c>
      <c r="J233" t="s">
        <v>14</v>
      </c>
      <c r="K233" t="s">
        <v>373</v>
      </c>
    </row>
    <row r="234" spans="1:11">
      <c r="A234" t="str">
        <f>"000715"</f>
        <v>000715</v>
      </c>
      <c r="B234" t="s">
        <v>374</v>
      </c>
      <c r="C234">
        <v>33.69</v>
      </c>
      <c r="D234">
        <v>26.96</v>
      </c>
      <c r="E234">
        <v>19.65</v>
      </c>
      <c r="F234">
        <v>5.4</v>
      </c>
      <c r="G234">
        <v>5.39</v>
      </c>
      <c r="H234">
        <v>22000</v>
      </c>
      <c r="I234">
        <v>1.72</v>
      </c>
      <c r="J234">
        <v>37.03</v>
      </c>
      <c r="K234" t="s">
        <v>146</v>
      </c>
    </row>
    <row r="235" spans="1:11">
      <c r="A235" t="str">
        <f>"000716"</f>
        <v>000716</v>
      </c>
      <c r="B235" t="s">
        <v>375</v>
      </c>
      <c r="C235">
        <v>46.4</v>
      </c>
      <c r="D235">
        <v>45.67</v>
      </c>
      <c r="E235">
        <v>25.49</v>
      </c>
      <c r="F235">
        <v>7.53</v>
      </c>
      <c r="G235">
        <v>7.39</v>
      </c>
      <c r="H235">
        <v>91000</v>
      </c>
      <c r="I235">
        <v>1.86</v>
      </c>
      <c r="J235">
        <v>520.01</v>
      </c>
      <c r="K235" t="s">
        <v>376</v>
      </c>
    </row>
    <row r="236" spans="1:11">
      <c r="A236" t="str">
        <f>"000717"</f>
        <v>000717</v>
      </c>
      <c r="B236" t="s">
        <v>377</v>
      </c>
      <c r="C236">
        <v>63.74</v>
      </c>
      <c r="D236">
        <v>200.09</v>
      </c>
      <c r="E236">
        <v>78.42</v>
      </c>
      <c r="F236">
        <v>24.24</v>
      </c>
      <c r="G236">
        <v>24.24</v>
      </c>
      <c r="H236">
        <v>90834</v>
      </c>
      <c r="I236">
        <v>0.81</v>
      </c>
      <c r="J236" t="s">
        <v>14</v>
      </c>
      <c r="K236" t="s">
        <v>378</v>
      </c>
    </row>
    <row r="237" spans="1:11">
      <c r="A237" t="str">
        <f>"000718"</f>
        <v>000718</v>
      </c>
      <c r="B237" t="s">
        <v>379</v>
      </c>
      <c r="C237">
        <v>54.77</v>
      </c>
      <c r="D237">
        <v>133.91</v>
      </c>
      <c r="E237">
        <v>93.45</v>
      </c>
      <c r="F237">
        <v>30.35</v>
      </c>
      <c r="G237">
        <v>22.82</v>
      </c>
      <c r="H237">
        <v>91364</v>
      </c>
      <c r="I237">
        <v>0.78</v>
      </c>
      <c r="J237">
        <v>54.52</v>
      </c>
      <c r="K237" t="s">
        <v>15</v>
      </c>
    </row>
    <row r="238" spans="1:11">
      <c r="A238" t="str">
        <f>"000719"</f>
        <v>000719</v>
      </c>
      <c r="B238" t="s">
        <v>380</v>
      </c>
      <c r="C238">
        <v>85.39</v>
      </c>
      <c r="D238">
        <v>189.6</v>
      </c>
      <c r="E238">
        <v>116.34</v>
      </c>
      <c r="F238">
        <v>10.23</v>
      </c>
      <c r="G238">
        <v>6.67</v>
      </c>
      <c r="H238">
        <v>19231</v>
      </c>
      <c r="I238">
        <v>1.13</v>
      </c>
      <c r="J238">
        <v>13.15</v>
      </c>
      <c r="K238" t="s">
        <v>381</v>
      </c>
    </row>
    <row r="239" spans="1:11">
      <c r="A239" t="str">
        <f>"000720"</f>
        <v>000720</v>
      </c>
      <c r="B239" t="s">
        <v>382</v>
      </c>
      <c r="C239">
        <v>42.22</v>
      </c>
      <c r="D239">
        <v>52.09</v>
      </c>
      <c r="E239">
        <v>23.58</v>
      </c>
      <c r="F239">
        <v>12.57</v>
      </c>
      <c r="G239">
        <v>12.57</v>
      </c>
      <c r="H239">
        <v>50929</v>
      </c>
      <c r="I239">
        <v>1.79</v>
      </c>
      <c r="J239" t="s">
        <v>14</v>
      </c>
      <c r="K239" t="s">
        <v>383</v>
      </c>
    </row>
    <row r="240" spans="1:11">
      <c r="A240" t="str">
        <f>"000721"</f>
        <v>000721</v>
      </c>
      <c r="B240" t="s">
        <v>384</v>
      </c>
      <c r="C240">
        <v>49.6</v>
      </c>
      <c r="D240">
        <v>12.63</v>
      </c>
      <c r="E240">
        <v>2.18</v>
      </c>
      <c r="F240">
        <v>5.74</v>
      </c>
      <c r="G240">
        <v>5.12</v>
      </c>
      <c r="H240">
        <v>91000</v>
      </c>
      <c r="I240">
        <v>25.54</v>
      </c>
      <c r="J240" t="s">
        <v>14</v>
      </c>
      <c r="K240" t="s">
        <v>385</v>
      </c>
    </row>
    <row r="241" spans="1:11">
      <c r="A241" t="str">
        <f>"000722"</f>
        <v>000722</v>
      </c>
      <c r="B241" t="s">
        <v>386</v>
      </c>
      <c r="C241">
        <v>56.49</v>
      </c>
      <c r="D241">
        <v>35.22</v>
      </c>
      <c r="E241">
        <v>31.47</v>
      </c>
      <c r="F241">
        <v>4.64</v>
      </c>
      <c r="G241">
        <v>4.64</v>
      </c>
      <c r="H241">
        <v>48520</v>
      </c>
      <c r="I241">
        <v>1.79</v>
      </c>
      <c r="J241">
        <v>66.17</v>
      </c>
      <c r="K241" t="s">
        <v>278</v>
      </c>
    </row>
    <row r="242" spans="1:11">
      <c r="A242" t="str">
        <f>"000723"</f>
        <v>000723</v>
      </c>
      <c r="B242" t="s">
        <v>387</v>
      </c>
      <c r="C242">
        <v>214.06</v>
      </c>
      <c r="D242">
        <v>443.6</v>
      </c>
      <c r="E242">
        <v>136.64</v>
      </c>
      <c r="F242">
        <v>44.03</v>
      </c>
      <c r="G242">
        <v>43.95</v>
      </c>
      <c r="H242">
        <v>233951</v>
      </c>
      <c r="I242">
        <v>1.62</v>
      </c>
      <c r="J242" t="s">
        <v>14</v>
      </c>
      <c r="K242" t="s">
        <v>388</v>
      </c>
    </row>
    <row r="243" spans="1:11">
      <c r="A243" t="str">
        <f>"000725"</f>
        <v>000725</v>
      </c>
      <c r="B243" t="s">
        <v>389</v>
      </c>
      <c r="C243">
        <v>1671.72</v>
      </c>
      <c r="D243">
        <v>4307.45</v>
      </c>
      <c r="E243">
        <v>1337.89</v>
      </c>
      <c r="F243">
        <v>370.44</v>
      </c>
      <c r="G243">
        <v>363.42</v>
      </c>
      <c r="H243">
        <v>1045898</v>
      </c>
      <c r="I243">
        <v>1.29</v>
      </c>
      <c r="J243">
        <v>27.77</v>
      </c>
      <c r="K243" t="s">
        <v>39</v>
      </c>
    </row>
    <row r="244" spans="1:11">
      <c r="A244" t="str">
        <f>"000726"</f>
        <v>000726</v>
      </c>
      <c r="B244" t="s">
        <v>390</v>
      </c>
      <c r="C244">
        <v>42.12</v>
      </c>
      <c r="D244">
        <v>141.68</v>
      </c>
      <c r="E244">
        <v>97.53</v>
      </c>
      <c r="F244">
        <v>8.17</v>
      </c>
      <c r="G244">
        <v>5.89</v>
      </c>
      <c r="H244">
        <v>46011</v>
      </c>
      <c r="I244">
        <v>0.6</v>
      </c>
      <c r="J244">
        <v>8.72</v>
      </c>
      <c r="K244" t="s">
        <v>391</v>
      </c>
    </row>
    <row r="245" spans="1:11">
      <c r="A245" t="str">
        <f>"000727"</f>
        <v>000727</v>
      </c>
      <c r="B245" t="s">
        <v>392</v>
      </c>
      <c r="C245">
        <v>121.85</v>
      </c>
      <c r="D245">
        <v>373.35</v>
      </c>
      <c r="E245">
        <v>23.14</v>
      </c>
      <c r="F245">
        <v>45.3</v>
      </c>
      <c r="G245">
        <v>45.3</v>
      </c>
      <c r="H245">
        <v>148000</v>
      </c>
      <c r="I245">
        <v>5.26</v>
      </c>
      <c r="J245" t="s">
        <v>14</v>
      </c>
      <c r="K245" t="s">
        <v>39</v>
      </c>
    </row>
    <row r="246" spans="1:11">
      <c r="A246" t="str">
        <f>"000728"</f>
        <v>000728</v>
      </c>
      <c r="B246" t="s">
        <v>393</v>
      </c>
      <c r="C246">
        <v>373.98</v>
      </c>
      <c r="D246">
        <v>1848.85</v>
      </c>
      <c r="E246">
        <v>375.49</v>
      </c>
      <c r="F246">
        <v>43.64</v>
      </c>
      <c r="G246">
        <v>43.64</v>
      </c>
      <c r="H246">
        <v>88870</v>
      </c>
      <c r="I246">
        <v>1</v>
      </c>
      <c r="J246">
        <v>13.92</v>
      </c>
      <c r="K246" t="s">
        <v>120</v>
      </c>
    </row>
    <row r="247" spans="1:11">
      <c r="A247" t="str">
        <f>"000729"</f>
        <v>000729</v>
      </c>
      <c r="B247" t="s">
        <v>394</v>
      </c>
      <c r="C247">
        <v>299.15</v>
      </c>
      <c r="D247">
        <v>253.23</v>
      </c>
      <c r="E247">
        <v>158.54</v>
      </c>
      <c r="F247">
        <v>28.19</v>
      </c>
      <c r="G247">
        <v>25.1</v>
      </c>
      <c r="H247">
        <v>45767</v>
      </c>
      <c r="I247">
        <v>2.12</v>
      </c>
      <c r="J247">
        <v>14.23</v>
      </c>
      <c r="K247" t="s">
        <v>395</v>
      </c>
    </row>
    <row r="248" spans="1:11">
      <c r="A248" t="str">
        <f>"000731"</f>
        <v>000731</v>
      </c>
      <c r="B248" t="s">
        <v>396</v>
      </c>
      <c r="C248">
        <v>36.44</v>
      </c>
      <c r="D248">
        <v>51.68</v>
      </c>
      <c r="E248">
        <v>40.33</v>
      </c>
      <c r="F248">
        <v>5.49</v>
      </c>
      <c r="G248">
        <v>5.49</v>
      </c>
      <c r="H248">
        <v>38402</v>
      </c>
      <c r="I248">
        <v>0.92</v>
      </c>
      <c r="J248" t="s">
        <v>14</v>
      </c>
      <c r="K248" t="s">
        <v>397</v>
      </c>
    </row>
    <row r="249" spans="1:11">
      <c r="A249" t="str">
        <f>"000733"</f>
        <v>000733</v>
      </c>
      <c r="B249" t="s">
        <v>398</v>
      </c>
      <c r="C249">
        <v>305.86</v>
      </c>
      <c r="D249">
        <v>186.94</v>
      </c>
      <c r="E249">
        <v>152.92</v>
      </c>
      <c r="F249">
        <v>5.54</v>
      </c>
      <c r="G249">
        <v>5.54</v>
      </c>
      <c r="H249">
        <v>74850</v>
      </c>
      <c r="I249">
        <v>2</v>
      </c>
      <c r="J249">
        <v>36.82</v>
      </c>
      <c r="K249" t="s">
        <v>223</v>
      </c>
    </row>
    <row r="250" spans="1:11">
      <c r="A250" t="str">
        <f>"000735"</f>
        <v>000735</v>
      </c>
      <c r="B250" t="s">
        <v>399</v>
      </c>
      <c r="C250">
        <v>93.57</v>
      </c>
      <c r="D250">
        <v>100.54</v>
      </c>
      <c r="E250">
        <v>42.21</v>
      </c>
      <c r="F250">
        <v>11.52</v>
      </c>
      <c r="G250">
        <v>11.51</v>
      </c>
      <c r="H250">
        <v>118200</v>
      </c>
      <c r="I250">
        <v>2.22</v>
      </c>
      <c r="J250">
        <v>2508.34</v>
      </c>
      <c r="K250" t="s">
        <v>68</v>
      </c>
    </row>
    <row r="251" spans="1:11">
      <c r="A251" t="str">
        <f>"000736"</f>
        <v>000736</v>
      </c>
      <c r="B251" t="s">
        <v>400</v>
      </c>
      <c r="C251">
        <v>40.87</v>
      </c>
      <c r="D251">
        <v>22.58</v>
      </c>
      <c r="E251">
        <v>12.48</v>
      </c>
      <c r="F251">
        <v>7.47</v>
      </c>
      <c r="G251">
        <v>7.47</v>
      </c>
      <c r="H251">
        <v>30726</v>
      </c>
      <c r="I251">
        <v>3.28</v>
      </c>
      <c r="J251">
        <v>0.64</v>
      </c>
      <c r="K251" t="s">
        <v>15</v>
      </c>
    </row>
    <row r="252" spans="1:11">
      <c r="A252" t="str">
        <f>"000737"</f>
        <v>000737</v>
      </c>
      <c r="B252" t="s">
        <v>401</v>
      </c>
      <c r="C252">
        <v>302.25</v>
      </c>
      <c r="D252">
        <v>194.71</v>
      </c>
      <c r="E252">
        <v>66.58</v>
      </c>
      <c r="F252">
        <v>19.05</v>
      </c>
      <c r="G252">
        <v>19.05</v>
      </c>
      <c r="H252">
        <v>182912</v>
      </c>
      <c r="I252">
        <v>4.54</v>
      </c>
      <c r="J252">
        <v>32.9</v>
      </c>
      <c r="K252" t="s">
        <v>303</v>
      </c>
    </row>
    <row r="253" spans="1:11">
      <c r="A253" t="str">
        <f>"000738"</f>
        <v>000738</v>
      </c>
      <c r="B253" t="s">
        <v>402</v>
      </c>
      <c r="C253">
        <v>290.92</v>
      </c>
      <c r="D253">
        <v>164.62</v>
      </c>
      <c r="E253">
        <v>125.33</v>
      </c>
      <c r="F253">
        <v>13.15</v>
      </c>
      <c r="G253">
        <v>13.15</v>
      </c>
      <c r="H253">
        <v>72635</v>
      </c>
      <c r="I253">
        <v>2.32</v>
      </c>
      <c r="J253">
        <v>54.42</v>
      </c>
      <c r="K253" t="s">
        <v>353</v>
      </c>
    </row>
    <row r="254" spans="1:11">
      <c r="A254" t="str">
        <f>"000739"</f>
        <v>000739</v>
      </c>
      <c r="B254" t="s">
        <v>403</v>
      </c>
      <c r="C254">
        <v>203.23</v>
      </c>
      <c r="D254">
        <v>121.02</v>
      </c>
      <c r="E254">
        <v>64.86</v>
      </c>
      <c r="F254">
        <v>11.58</v>
      </c>
      <c r="G254">
        <v>11.58</v>
      </c>
      <c r="H254">
        <v>41333</v>
      </c>
      <c r="I254">
        <v>3.13</v>
      </c>
      <c r="J254">
        <v>21.77</v>
      </c>
      <c r="K254" t="s">
        <v>404</v>
      </c>
    </row>
    <row r="255" spans="1:11">
      <c r="A255" t="str">
        <f>"000750"</f>
        <v>000750</v>
      </c>
      <c r="B255" t="s">
        <v>405</v>
      </c>
      <c r="C255">
        <v>252.13</v>
      </c>
      <c r="D255">
        <v>749.63</v>
      </c>
      <c r="E255">
        <v>225.68</v>
      </c>
      <c r="F255">
        <v>63.86</v>
      </c>
      <c r="G255">
        <v>57.96</v>
      </c>
      <c r="H255">
        <v>184305</v>
      </c>
      <c r="I255">
        <v>1.23</v>
      </c>
      <c r="J255">
        <v>29.54</v>
      </c>
      <c r="K255" t="s">
        <v>120</v>
      </c>
    </row>
    <row r="256" spans="1:11">
      <c r="A256" t="str">
        <f>"000751"</f>
        <v>000751</v>
      </c>
      <c r="B256" t="s">
        <v>406</v>
      </c>
      <c r="C256">
        <v>61.89</v>
      </c>
      <c r="D256">
        <v>100.42</v>
      </c>
      <c r="E256">
        <v>36.05</v>
      </c>
      <c r="F256">
        <v>16.16</v>
      </c>
      <c r="G256">
        <v>14.1</v>
      </c>
      <c r="H256">
        <v>124306</v>
      </c>
      <c r="I256">
        <v>1.97</v>
      </c>
      <c r="J256">
        <v>103.45</v>
      </c>
      <c r="K256" t="s">
        <v>79</v>
      </c>
    </row>
    <row r="257" spans="1:11">
      <c r="A257" t="str">
        <f>"000752"</f>
        <v>000752</v>
      </c>
      <c r="B257" t="s">
        <v>407</v>
      </c>
      <c r="C257">
        <v>27.8</v>
      </c>
      <c r="D257">
        <v>14.08</v>
      </c>
      <c r="E257">
        <v>6.15</v>
      </c>
      <c r="F257">
        <v>2.64</v>
      </c>
      <c r="G257">
        <v>2.64</v>
      </c>
      <c r="H257">
        <v>15695</v>
      </c>
      <c r="I257">
        <v>4.52</v>
      </c>
      <c r="J257">
        <v>14.39</v>
      </c>
      <c r="K257" t="s">
        <v>395</v>
      </c>
    </row>
    <row r="258" spans="1:11">
      <c r="A258" t="str">
        <f>"000753"</f>
        <v>000753</v>
      </c>
      <c r="B258" t="s">
        <v>408</v>
      </c>
      <c r="C258">
        <v>74.86</v>
      </c>
      <c r="D258">
        <v>124.23</v>
      </c>
      <c r="E258">
        <v>33.4</v>
      </c>
      <c r="F258">
        <v>9.91</v>
      </c>
      <c r="G258">
        <v>9.91</v>
      </c>
      <c r="H258">
        <v>42355</v>
      </c>
      <c r="I258">
        <v>2.73</v>
      </c>
      <c r="J258">
        <v>107.83</v>
      </c>
      <c r="K258" t="s">
        <v>43</v>
      </c>
    </row>
    <row r="259" spans="1:11">
      <c r="A259" t="str">
        <f>"000755"</f>
        <v>000755</v>
      </c>
      <c r="B259" t="s">
        <v>409</v>
      </c>
      <c r="C259">
        <v>74.1</v>
      </c>
      <c r="D259">
        <v>121.07</v>
      </c>
      <c r="E259">
        <v>54.44</v>
      </c>
      <c r="F259">
        <v>14.67</v>
      </c>
      <c r="G259">
        <v>14.67</v>
      </c>
      <c r="H259">
        <v>32576</v>
      </c>
      <c r="I259">
        <v>1.36</v>
      </c>
      <c r="J259">
        <v>14.23</v>
      </c>
      <c r="K259" t="s">
        <v>161</v>
      </c>
    </row>
    <row r="260" spans="1:11">
      <c r="A260" t="str">
        <f>"000756"</f>
        <v>000756</v>
      </c>
      <c r="B260" t="s">
        <v>410</v>
      </c>
      <c r="C260">
        <v>82.37</v>
      </c>
      <c r="D260">
        <v>90.94</v>
      </c>
      <c r="E260">
        <v>51.49</v>
      </c>
      <c r="F260">
        <v>6.97</v>
      </c>
      <c r="G260">
        <v>4.99</v>
      </c>
      <c r="H260">
        <v>70695</v>
      </c>
      <c r="I260">
        <v>2.21</v>
      </c>
      <c r="J260">
        <v>33.67</v>
      </c>
      <c r="K260" t="s">
        <v>404</v>
      </c>
    </row>
    <row r="261" spans="1:11">
      <c r="A261" t="str">
        <f>"000757"</f>
        <v>000757</v>
      </c>
      <c r="B261" t="s">
        <v>411</v>
      </c>
      <c r="C261">
        <v>26.32</v>
      </c>
      <c r="D261">
        <v>24.61</v>
      </c>
      <c r="E261">
        <v>15.92</v>
      </c>
      <c r="F261">
        <v>5.33</v>
      </c>
      <c r="G261">
        <v>5.33</v>
      </c>
      <c r="H261">
        <v>25266</v>
      </c>
      <c r="I261">
        <v>1.65</v>
      </c>
      <c r="J261">
        <v>46.14</v>
      </c>
      <c r="K261" t="s">
        <v>412</v>
      </c>
    </row>
    <row r="262" spans="1:11">
      <c r="A262" t="str">
        <f>"000758"</f>
        <v>000758</v>
      </c>
      <c r="B262" t="s">
        <v>413</v>
      </c>
      <c r="C262">
        <v>136.95</v>
      </c>
      <c r="D262">
        <v>230.86</v>
      </c>
      <c r="E262">
        <v>59.6</v>
      </c>
      <c r="F262">
        <v>19.9</v>
      </c>
      <c r="G262">
        <v>19.76</v>
      </c>
      <c r="H262">
        <v>113245</v>
      </c>
      <c r="I262">
        <v>2.31</v>
      </c>
      <c r="J262">
        <v>21.51</v>
      </c>
      <c r="K262" t="s">
        <v>79</v>
      </c>
    </row>
    <row r="263" spans="1:11">
      <c r="A263" t="str">
        <f>"000759"</f>
        <v>000759</v>
      </c>
      <c r="B263" t="s">
        <v>414</v>
      </c>
      <c r="C263">
        <v>51.67</v>
      </c>
      <c r="D263">
        <v>94.69</v>
      </c>
      <c r="E263">
        <v>12.12</v>
      </c>
      <c r="F263">
        <v>6.62</v>
      </c>
      <c r="G263">
        <v>6.56</v>
      </c>
      <c r="H263">
        <v>97692</v>
      </c>
      <c r="I263">
        <v>4.31</v>
      </c>
      <c r="J263" t="s">
        <v>14</v>
      </c>
      <c r="K263" t="s">
        <v>415</v>
      </c>
    </row>
    <row r="264" spans="1:11">
      <c r="A264" t="str">
        <f>"000761"</f>
        <v>000761</v>
      </c>
      <c r="B264" t="s">
        <v>416</v>
      </c>
      <c r="C264">
        <v>123.86</v>
      </c>
      <c r="D264">
        <v>467.31</v>
      </c>
      <c r="E264">
        <v>96.47</v>
      </c>
      <c r="F264">
        <v>41.08</v>
      </c>
      <c r="G264">
        <v>37.08</v>
      </c>
      <c r="H264">
        <v>46600</v>
      </c>
      <c r="I264">
        <v>1.58</v>
      </c>
      <c r="J264" t="s">
        <v>14</v>
      </c>
      <c r="K264" t="s">
        <v>366</v>
      </c>
    </row>
    <row r="265" spans="1:11">
      <c r="A265" t="str">
        <f>"000762"</f>
        <v>000762</v>
      </c>
      <c r="B265" t="s">
        <v>417</v>
      </c>
      <c r="C265">
        <v>146.4</v>
      </c>
      <c r="D265">
        <v>74.52</v>
      </c>
      <c r="E265">
        <v>29.45</v>
      </c>
      <c r="F265">
        <v>5.21</v>
      </c>
      <c r="G265">
        <v>5.21</v>
      </c>
      <c r="H265">
        <v>109682</v>
      </c>
      <c r="I265">
        <v>4.98</v>
      </c>
      <c r="J265" t="s">
        <v>14</v>
      </c>
      <c r="K265" t="s">
        <v>418</v>
      </c>
    </row>
    <row r="266" spans="1:11">
      <c r="A266" t="str">
        <f>"000766"</f>
        <v>000766</v>
      </c>
      <c r="B266" t="s">
        <v>419</v>
      </c>
      <c r="C266">
        <v>260.82</v>
      </c>
      <c r="D266">
        <v>45.28</v>
      </c>
      <c r="E266">
        <v>23.01</v>
      </c>
      <c r="F266">
        <v>9.66</v>
      </c>
      <c r="G266">
        <v>9.66</v>
      </c>
      <c r="H266">
        <v>38232</v>
      </c>
      <c r="I266">
        <v>11.34</v>
      </c>
      <c r="J266">
        <v>784.01</v>
      </c>
      <c r="K266" t="s">
        <v>109</v>
      </c>
    </row>
    <row r="267" spans="1:11">
      <c r="A267" t="str">
        <f>"000767"</f>
        <v>000767</v>
      </c>
      <c r="B267" t="s">
        <v>420</v>
      </c>
      <c r="C267">
        <v>85.91</v>
      </c>
      <c r="D267">
        <v>588.07</v>
      </c>
      <c r="E267">
        <v>112.46</v>
      </c>
      <c r="F267">
        <v>30.77</v>
      </c>
      <c r="G267">
        <v>29.12</v>
      </c>
      <c r="H267">
        <v>109606</v>
      </c>
      <c r="I267">
        <v>1.45</v>
      </c>
      <c r="J267">
        <v>21.59</v>
      </c>
      <c r="K267" t="s">
        <v>46</v>
      </c>
    </row>
    <row r="268" spans="1:11">
      <c r="A268" t="str">
        <f>"000768"</f>
        <v>000768</v>
      </c>
      <c r="B268" t="s">
        <v>421</v>
      </c>
      <c r="C268">
        <v>777.2</v>
      </c>
      <c r="D268">
        <v>741.12</v>
      </c>
      <c r="E268">
        <v>218.05</v>
      </c>
      <c r="F268">
        <v>27.81</v>
      </c>
      <c r="G268">
        <v>27.73</v>
      </c>
      <c r="H268">
        <v>182292</v>
      </c>
      <c r="I268">
        <v>3.58</v>
      </c>
      <c r="J268">
        <v>58.92</v>
      </c>
      <c r="K268" t="s">
        <v>353</v>
      </c>
    </row>
    <row r="269" spans="1:11">
      <c r="A269" t="str">
        <f>"000776"</f>
        <v>000776</v>
      </c>
      <c r="B269" t="s">
        <v>422</v>
      </c>
      <c r="C269">
        <v>1327.82</v>
      </c>
      <c r="D269">
        <v>9534.36</v>
      </c>
      <c r="E269">
        <v>1535.04</v>
      </c>
      <c r="F269">
        <v>76.06</v>
      </c>
      <c r="G269">
        <v>59.04</v>
      </c>
      <c r="H269">
        <v>145206</v>
      </c>
      <c r="I269">
        <v>1.35</v>
      </c>
      <c r="J269">
        <v>11.73</v>
      </c>
      <c r="K269" t="s">
        <v>120</v>
      </c>
    </row>
    <row r="270" spans="1:11">
      <c r="A270" t="str">
        <f>"000777"</f>
        <v>000777</v>
      </c>
      <c r="B270" t="s">
        <v>423</v>
      </c>
      <c r="C270">
        <v>108.85</v>
      </c>
      <c r="D270">
        <v>37.03</v>
      </c>
      <c r="E270">
        <v>22.88</v>
      </c>
      <c r="F270">
        <v>3.83</v>
      </c>
      <c r="G270">
        <v>3.83</v>
      </c>
      <c r="H270">
        <v>72047</v>
      </c>
      <c r="I270">
        <v>4.76</v>
      </c>
      <c r="J270">
        <v>73.18</v>
      </c>
      <c r="K270" t="s">
        <v>424</v>
      </c>
    </row>
    <row r="271" spans="1:11">
      <c r="A271" t="str">
        <f>"000778"</f>
        <v>000778</v>
      </c>
      <c r="B271" t="s">
        <v>425</v>
      </c>
      <c r="C271">
        <v>169.76</v>
      </c>
      <c r="D271">
        <v>539.46</v>
      </c>
      <c r="E271">
        <v>261.85</v>
      </c>
      <c r="F271">
        <v>39.63</v>
      </c>
      <c r="G271">
        <v>38.94</v>
      </c>
      <c r="H271">
        <v>120159</v>
      </c>
      <c r="I271">
        <v>0.66</v>
      </c>
      <c r="J271">
        <v>18.53</v>
      </c>
      <c r="K271" t="s">
        <v>426</v>
      </c>
    </row>
    <row r="272" spans="1:11">
      <c r="A272" t="str">
        <f>"000779"</f>
        <v>000779</v>
      </c>
      <c r="B272" t="s">
        <v>427</v>
      </c>
      <c r="C272">
        <v>39.83</v>
      </c>
      <c r="D272">
        <v>54.43</v>
      </c>
      <c r="E272">
        <v>39.53</v>
      </c>
      <c r="F272">
        <v>4.65</v>
      </c>
      <c r="G272">
        <v>4.65</v>
      </c>
      <c r="H272">
        <v>29101</v>
      </c>
      <c r="I272">
        <v>1.01</v>
      </c>
      <c r="J272">
        <v>18.94</v>
      </c>
      <c r="K272" t="s">
        <v>428</v>
      </c>
    </row>
    <row r="273" spans="1:11">
      <c r="A273" t="str">
        <f>"000782"</f>
        <v>000782</v>
      </c>
      <c r="B273" t="s">
        <v>429</v>
      </c>
      <c r="C273">
        <v>27.52</v>
      </c>
      <c r="D273">
        <v>30.37</v>
      </c>
      <c r="E273">
        <v>17.19</v>
      </c>
      <c r="F273">
        <v>6.87</v>
      </c>
      <c r="G273">
        <v>5.28</v>
      </c>
      <c r="H273">
        <v>28822</v>
      </c>
      <c r="I273">
        <v>2.08</v>
      </c>
      <c r="J273" t="s">
        <v>14</v>
      </c>
      <c r="K273" t="s">
        <v>430</v>
      </c>
    </row>
    <row r="274" spans="1:11">
      <c r="A274" t="str">
        <f>"000783"</f>
        <v>000783</v>
      </c>
      <c r="B274" t="s">
        <v>431</v>
      </c>
      <c r="C274">
        <v>480.56</v>
      </c>
      <c r="D274">
        <v>1915.44</v>
      </c>
      <c r="E274">
        <v>415.9</v>
      </c>
      <c r="F274">
        <v>55.3</v>
      </c>
      <c r="G274">
        <v>55.3</v>
      </c>
      <c r="H274">
        <v>159962</v>
      </c>
      <c r="I274">
        <v>1.35</v>
      </c>
      <c r="J274">
        <v>10.69</v>
      </c>
      <c r="K274" t="s">
        <v>120</v>
      </c>
    </row>
    <row r="275" spans="1:11">
      <c r="A275" t="str">
        <f>"000785"</f>
        <v>000785</v>
      </c>
      <c r="B275" t="s">
        <v>432</v>
      </c>
      <c r="C275">
        <v>203.47</v>
      </c>
      <c r="D275">
        <v>459.37</v>
      </c>
      <c r="E275">
        <v>206.17</v>
      </c>
      <c r="F275">
        <v>62.27</v>
      </c>
      <c r="G275">
        <v>58.98</v>
      </c>
      <c r="H275">
        <v>93189</v>
      </c>
      <c r="I275">
        <v>1.04</v>
      </c>
      <c r="J275">
        <v>40.46</v>
      </c>
      <c r="K275" t="s">
        <v>20</v>
      </c>
    </row>
    <row r="276" spans="1:11">
      <c r="A276" t="str">
        <f>"000786"</f>
        <v>000786</v>
      </c>
      <c r="B276" t="s">
        <v>433</v>
      </c>
      <c r="C276">
        <v>431.84</v>
      </c>
      <c r="D276">
        <v>367.77</v>
      </c>
      <c r="E276">
        <v>268.3</v>
      </c>
      <c r="F276">
        <v>17.02</v>
      </c>
      <c r="G276">
        <v>16.9</v>
      </c>
      <c r="H276">
        <v>67000</v>
      </c>
      <c r="I276">
        <v>1.62</v>
      </c>
      <c r="J276">
        <v>12.62</v>
      </c>
      <c r="K276" t="s">
        <v>73</v>
      </c>
    </row>
    <row r="277" spans="1:11">
      <c r="A277" t="str">
        <f>"000788"</f>
        <v>000788</v>
      </c>
      <c r="B277" t="s">
        <v>434</v>
      </c>
      <c r="C277">
        <v>40.17</v>
      </c>
      <c r="D277">
        <v>20.99</v>
      </c>
      <c r="E277">
        <v>16.15</v>
      </c>
      <c r="F277">
        <v>5.96</v>
      </c>
      <c r="G277">
        <v>5.96</v>
      </c>
      <c r="H277">
        <v>49362</v>
      </c>
      <c r="I277">
        <v>2.49</v>
      </c>
      <c r="J277">
        <v>22.16</v>
      </c>
      <c r="K277" t="s">
        <v>109</v>
      </c>
    </row>
    <row r="278" spans="1:11">
      <c r="A278" t="str">
        <f>"000789"</f>
        <v>000789</v>
      </c>
      <c r="B278" t="s">
        <v>435</v>
      </c>
      <c r="C278">
        <v>42.58</v>
      </c>
      <c r="D278">
        <v>157.99</v>
      </c>
      <c r="E278">
        <v>65.9</v>
      </c>
      <c r="F278">
        <v>7.97</v>
      </c>
      <c r="G278">
        <v>7.97</v>
      </c>
      <c r="H278">
        <v>46758</v>
      </c>
      <c r="I278">
        <v>0.66</v>
      </c>
      <c r="J278">
        <v>426.65</v>
      </c>
      <c r="K278" t="s">
        <v>129</v>
      </c>
    </row>
    <row r="279" spans="1:11">
      <c r="A279" t="str">
        <f>"000790"</f>
        <v>000790</v>
      </c>
      <c r="B279" t="s">
        <v>436</v>
      </c>
      <c r="C279">
        <v>24.66</v>
      </c>
      <c r="D279">
        <v>18.62</v>
      </c>
      <c r="E279">
        <v>9.32</v>
      </c>
      <c r="F279">
        <v>6.24</v>
      </c>
      <c r="G279">
        <v>6.23</v>
      </c>
      <c r="H279">
        <v>36981</v>
      </c>
      <c r="I279">
        <v>2.65</v>
      </c>
      <c r="J279" t="s">
        <v>14</v>
      </c>
      <c r="K279" t="s">
        <v>155</v>
      </c>
    </row>
    <row r="280" spans="1:11">
      <c r="A280" t="str">
        <f>"000791"</f>
        <v>000791</v>
      </c>
      <c r="B280" t="s">
        <v>437</v>
      </c>
      <c r="C280">
        <v>128.53</v>
      </c>
      <c r="D280">
        <v>385.15</v>
      </c>
      <c r="E280">
        <v>145.9</v>
      </c>
      <c r="F280">
        <v>32.44</v>
      </c>
      <c r="G280">
        <v>19.36</v>
      </c>
      <c r="H280">
        <v>47158</v>
      </c>
      <c r="I280">
        <v>1.48</v>
      </c>
      <c r="J280">
        <v>10.21</v>
      </c>
      <c r="K280" t="s">
        <v>278</v>
      </c>
    </row>
    <row r="281" spans="1:11">
      <c r="A281" t="str">
        <f>"000792"</f>
        <v>000792</v>
      </c>
      <c r="B281" t="s">
        <v>438</v>
      </c>
      <c r="C281">
        <v>1757.85</v>
      </c>
      <c r="D281">
        <v>509.74</v>
      </c>
      <c r="E281">
        <v>410.59</v>
      </c>
      <c r="F281">
        <v>52.92</v>
      </c>
      <c r="G281">
        <v>52.92</v>
      </c>
      <c r="H281">
        <v>190039</v>
      </c>
      <c r="I281">
        <v>4.28</v>
      </c>
      <c r="J281">
        <v>29.28</v>
      </c>
      <c r="K281" t="s">
        <v>138</v>
      </c>
    </row>
    <row r="282" spans="1:11">
      <c r="A282" t="str">
        <f>"000793"</f>
        <v>000793</v>
      </c>
      <c r="B282" t="s">
        <v>439</v>
      </c>
      <c r="C282">
        <v>51.57</v>
      </c>
      <c r="D282">
        <v>23.32</v>
      </c>
      <c r="E282">
        <v>1.15</v>
      </c>
      <c r="F282">
        <v>19.97</v>
      </c>
      <c r="G282">
        <v>19.61</v>
      </c>
      <c r="H282">
        <v>57666</v>
      </c>
      <c r="I282">
        <v>46.14</v>
      </c>
      <c r="J282" t="s">
        <v>14</v>
      </c>
      <c r="K282" t="s">
        <v>440</v>
      </c>
    </row>
    <row r="283" spans="1:11">
      <c r="A283" t="str">
        <f>"000795"</f>
        <v>000795</v>
      </c>
      <c r="B283" t="s">
        <v>441</v>
      </c>
      <c r="C283">
        <v>115.98</v>
      </c>
      <c r="D283">
        <v>41.18</v>
      </c>
      <c r="E283">
        <v>25.99</v>
      </c>
      <c r="F283">
        <v>11.34</v>
      </c>
      <c r="G283">
        <v>11.34</v>
      </c>
      <c r="H283">
        <v>112283</v>
      </c>
      <c r="I283">
        <v>4.46</v>
      </c>
      <c r="J283">
        <v>43.32</v>
      </c>
      <c r="K283" t="s">
        <v>442</v>
      </c>
    </row>
    <row r="284" spans="1:11">
      <c r="A284" t="str">
        <f>"000796"</f>
        <v>000796</v>
      </c>
      <c r="B284" t="s">
        <v>443</v>
      </c>
      <c r="C284">
        <v>88.9</v>
      </c>
      <c r="D284">
        <v>19.3</v>
      </c>
      <c r="E284">
        <v>8.29</v>
      </c>
      <c r="F284">
        <v>16.04</v>
      </c>
      <c r="G284">
        <v>13.31</v>
      </c>
      <c r="H284">
        <v>112483</v>
      </c>
      <c r="I284">
        <v>12.92</v>
      </c>
      <c r="J284" t="s">
        <v>14</v>
      </c>
      <c r="K284" t="s">
        <v>194</v>
      </c>
    </row>
    <row r="285" spans="1:11">
      <c r="A285" t="str">
        <f>"000797"</f>
        <v>000797</v>
      </c>
      <c r="B285" t="s">
        <v>444</v>
      </c>
      <c r="C285">
        <v>52.77</v>
      </c>
      <c r="D285">
        <v>252.84</v>
      </c>
      <c r="E285">
        <v>50.51</v>
      </c>
      <c r="F285">
        <v>15.71</v>
      </c>
      <c r="G285">
        <v>15.71</v>
      </c>
      <c r="H285">
        <v>36855</v>
      </c>
      <c r="I285">
        <v>1.04</v>
      </c>
      <c r="J285" t="s">
        <v>14</v>
      </c>
      <c r="K285" t="s">
        <v>15</v>
      </c>
    </row>
    <row r="286" spans="1:11">
      <c r="A286" t="str">
        <f>"000798"</f>
        <v>000798</v>
      </c>
      <c r="B286" t="s">
        <v>445</v>
      </c>
      <c r="C286">
        <v>41.63</v>
      </c>
      <c r="D286">
        <v>58.81</v>
      </c>
      <c r="E286">
        <v>4.1</v>
      </c>
      <c r="F286">
        <v>3.66</v>
      </c>
      <c r="G286">
        <v>3.66</v>
      </c>
      <c r="H286">
        <v>60010</v>
      </c>
      <c r="I286">
        <v>10.17</v>
      </c>
      <c r="J286">
        <v>58.47</v>
      </c>
      <c r="K286" t="s">
        <v>446</v>
      </c>
    </row>
    <row r="287" spans="1:11">
      <c r="A287" t="str">
        <f>"000799"</f>
        <v>000799</v>
      </c>
      <c r="B287" t="s">
        <v>447</v>
      </c>
      <c r="C287">
        <v>182.5</v>
      </c>
      <c r="D287">
        <v>46.46</v>
      </c>
      <c r="E287">
        <v>37.62</v>
      </c>
      <c r="F287">
        <v>3.25</v>
      </c>
      <c r="G287">
        <v>3.25</v>
      </c>
      <c r="H287">
        <v>135611</v>
      </c>
      <c r="I287">
        <v>4.85</v>
      </c>
      <c r="J287" t="s">
        <v>14</v>
      </c>
      <c r="K287" t="s">
        <v>251</v>
      </c>
    </row>
    <row r="288" spans="1:11">
      <c r="A288" t="str">
        <f>"000800"</f>
        <v>000800</v>
      </c>
      <c r="B288" t="s">
        <v>448</v>
      </c>
      <c r="C288">
        <v>334.62</v>
      </c>
      <c r="D288">
        <v>761.95</v>
      </c>
      <c r="E288">
        <v>264.13</v>
      </c>
      <c r="F288">
        <v>49.21</v>
      </c>
      <c r="G288">
        <v>49.21</v>
      </c>
      <c r="H288">
        <v>81966</v>
      </c>
      <c r="I288">
        <v>1.27</v>
      </c>
      <c r="J288">
        <v>67.44</v>
      </c>
      <c r="K288" t="s">
        <v>226</v>
      </c>
    </row>
    <row r="289" spans="1:11">
      <c r="A289" t="str">
        <f>"000801"</f>
        <v>000801</v>
      </c>
      <c r="B289" t="s">
        <v>449</v>
      </c>
      <c r="C289">
        <v>177.86</v>
      </c>
      <c r="D289">
        <v>73.28</v>
      </c>
      <c r="E289">
        <v>29.46</v>
      </c>
      <c r="F289">
        <v>10.16</v>
      </c>
      <c r="G289">
        <v>10.16</v>
      </c>
      <c r="H289">
        <v>71514</v>
      </c>
      <c r="I289">
        <v>6.08</v>
      </c>
      <c r="J289">
        <v>136.36</v>
      </c>
      <c r="K289" t="s">
        <v>450</v>
      </c>
    </row>
    <row r="290" spans="1:11">
      <c r="A290" t="str">
        <f>"000802"</f>
        <v>000802</v>
      </c>
      <c r="B290" t="s">
        <v>451</v>
      </c>
      <c r="C290">
        <v>34.7</v>
      </c>
      <c r="D290">
        <v>19.85</v>
      </c>
      <c r="E290">
        <v>7.79</v>
      </c>
      <c r="F290">
        <v>7.16</v>
      </c>
      <c r="G290">
        <v>7.15</v>
      </c>
      <c r="H290">
        <v>61932</v>
      </c>
      <c r="I290">
        <v>4.45</v>
      </c>
      <c r="J290" t="s">
        <v>14</v>
      </c>
      <c r="K290" t="s">
        <v>452</v>
      </c>
    </row>
    <row r="291" spans="1:11">
      <c r="A291" t="str">
        <f>"000803"</f>
        <v>000803</v>
      </c>
      <c r="B291" t="s">
        <v>453</v>
      </c>
      <c r="C291">
        <v>40.65</v>
      </c>
      <c r="D291">
        <v>52.19</v>
      </c>
      <c r="E291">
        <v>14.68</v>
      </c>
      <c r="F291">
        <v>4.66</v>
      </c>
      <c r="G291">
        <v>4.6</v>
      </c>
      <c r="H291">
        <v>17253</v>
      </c>
      <c r="I291">
        <v>2.81</v>
      </c>
      <c r="J291">
        <v>58.76</v>
      </c>
      <c r="K291" t="s">
        <v>59</v>
      </c>
    </row>
    <row r="292" spans="1:11">
      <c r="A292" t="str">
        <f>"000807"</f>
        <v>000807</v>
      </c>
      <c r="B292" t="s">
        <v>454</v>
      </c>
      <c r="C292">
        <v>1133.66</v>
      </c>
      <c r="D292">
        <v>477.54</v>
      </c>
      <c r="E292">
        <v>323.22</v>
      </c>
      <c r="F292">
        <v>34.68</v>
      </c>
      <c r="G292">
        <v>34.68</v>
      </c>
      <c r="H292">
        <v>79073</v>
      </c>
      <c r="I292">
        <v>3.51</v>
      </c>
      <c r="J292">
        <v>19.33</v>
      </c>
      <c r="K292" t="s">
        <v>288</v>
      </c>
    </row>
    <row r="293" spans="1:11">
      <c r="A293" t="str">
        <f>"000809"</f>
        <v>000809</v>
      </c>
      <c r="B293" t="s">
        <v>455</v>
      </c>
      <c r="C293">
        <v>28.21</v>
      </c>
      <c r="D293">
        <v>29.09</v>
      </c>
      <c r="E293">
        <v>26.71</v>
      </c>
      <c r="F293">
        <v>8.25</v>
      </c>
      <c r="G293">
        <v>8.25</v>
      </c>
      <c r="H293">
        <v>30633</v>
      </c>
      <c r="I293">
        <v>1.06</v>
      </c>
      <c r="J293" t="s">
        <v>14</v>
      </c>
      <c r="K293" t="s">
        <v>456</v>
      </c>
    </row>
    <row r="294" spans="1:11">
      <c r="A294" t="str">
        <f>"000810"</f>
        <v>000810</v>
      </c>
      <c r="B294" t="s">
        <v>457</v>
      </c>
      <c r="C294">
        <v>141.6</v>
      </c>
      <c r="D294">
        <v>111.49</v>
      </c>
      <c r="E294">
        <v>63.9</v>
      </c>
      <c r="F294">
        <v>11.5</v>
      </c>
      <c r="G294">
        <v>11.11</v>
      </c>
      <c r="H294">
        <v>68438</v>
      </c>
      <c r="I294">
        <v>2.28</v>
      </c>
      <c r="J294">
        <v>128.1</v>
      </c>
      <c r="K294" t="s">
        <v>450</v>
      </c>
    </row>
    <row r="295" spans="1:11">
      <c r="A295" t="str">
        <f>"000811"</f>
        <v>000811</v>
      </c>
      <c r="B295" t="s">
        <v>458</v>
      </c>
      <c r="C295">
        <v>154.1</v>
      </c>
      <c r="D295">
        <v>125.36</v>
      </c>
      <c r="E295">
        <v>61.46</v>
      </c>
      <c r="F295">
        <v>9.92</v>
      </c>
      <c r="G295">
        <v>9.78</v>
      </c>
      <c r="H295">
        <v>41457</v>
      </c>
      <c r="I295">
        <v>2.54</v>
      </c>
      <c r="J295">
        <v>27.38</v>
      </c>
      <c r="K295" t="s">
        <v>203</v>
      </c>
    </row>
    <row r="296" spans="1:11">
      <c r="A296" t="str">
        <f>"000812"</f>
        <v>000812</v>
      </c>
      <c r="B296" t="s">
        <v>459</v>
      </c>
      <c r="C296">
        <v>36.56</v>
      </c>
      <c r="D296">
        <v>57.52</v>
      </c>
      <c r="E296">
        <v>17.98</v>
      </c>
      <c r="F296">
        <v>7.69</v>
      </c>
      <c r="G296">
        <v>7.68</v>
      </c>
      <c r="H296">
        <v>68533</v>
      </c>
      <c r="I296">
        <v>2.04</v>
      </c>
      <c r="J296">
        <v>232.47</v>
      </c>
      <c r="K296" t="s">
        <v>460</v>
      </c>
    </row>
    <row r="297" spans="1:11">
      <c r="A297" t="str">
        <f>"000813"</f>
        <v>000813</v>
      </c>
      <c r="B297" t="s">
        <v>461</v>
      </c>
      <c r="C297">
        <v>88.48</v>
      </c>
      <c r="D297">
        <v>52.33</v>
      </c>
      <c r="E297">
        <v>49.76</v>
      </c>
      <c r="F297">
        <v>20.97</v>
      </c>
      <c r="G297">
        <v>20.97</v>
      </c>
      <c r="H297">
        <v>57596</v>
      </c>
      <c r="I297">
        <v>1.78</v>
      </c>
      <c r="J297" t="s">
        <v>14</v>
      </c>
      <c r="K297" t="s">
        <v>109</v>
      </c>
    </row>
    <row r="298" spans="1:11">
      <c r="A298" t="str">
        <f>"000815"</f>
        <v>000815</v>
      </c>
      <c r="B298" t="s">
        <v>462</v>
      </c>
      <c r="C298">
        <v>85.86</v>
      </c>
      <c r="D298">
        <v>23.21</v>
      </c>
      <c r="E298">
        <v>13.5</v>
      </c>
      <c r="F298">
        <v>6.95</v>
      </c>
      <c r="G298">
        <v>6.95</v>
      </c>
      <c r="H298">
        <v>83449</v>
      </c>
      <c r="I298">
        <v>6.36</v>
      </c>
      <c r="J298">
        <v>199.11</v>
      </c>
      <c r="K298" t="s">
        <v>463</v>
      </c>
    </row>
    <row r="299" spans="1:11">
      <c r="A299" t="str">
        <f>"000816"</f>
        <v>000816</v>
      </c>
      <c r="B299" t="s">
        <v>464</v>
      </c>
      <c r="C299">
        <v>52.57</v>
      </c>
      <c r="D299">
        <v>34.86</v>
      </c>
      <c r="E299">
        <v>20.48</v>
      </c>
      <c r="F299">
        <v>14.47</v>
      </c>
      <c r="G299">
        <v>14.36</v>
      </c>
      <c r="H299">
        <v>126948</v>
      </c>
      <c r="I299">
        <v>2.59</v>
      </c>
      <c r="J299">
        <v>387.42</v>
      </c>
      <c r="K299" t="s">
        <v>253</v>
      </c>
    </row>
    <row r="300" spans="1:11">
      <c r="A300" t="str">
        <f>"000818"</f>
        <v>000818</v>
      </c>
      <c r="B300" t="s">
        <v>465</v>
      </c>
      <c r="C300">
        <v>141.05</v>
      </c>
      <c r="D300">
        <v>86.19</v>
      </c>
      <c r="E300">
        <v>23.1</v>
      </c>
      <c r="F300">
        <v>6.6</v>
      </c>
      <c r="G300">
        <v>6.58</v>
      </c>
      <c r="H300">
        <v>124143</v>
      </c>
      <c r="I300">
        <v>6.12</v>
      </c>
      <c r="J300">
        <v>698.39</v>
      </c>
      <c r="K300" t="s">
        <v>177</v>
      </c>
    </row>
    <row r="301" spans="1:11">
      <c r="A301" t="str">
        <f>"000819"</f>
        <v>000819</v>
      </c>
      <c r="B301" t="s">
        <v>466</v>
      </c>
      <c r="C301">
        <v>58.45</v>
      </c>
      <c r="D301">
        <v>34.12</v>
      </c>
      <c r="E301">
        <v>21.21</v>
      </c>
      <c r="F301">
        <v>3.7</v>
      </c>
      <c r="G301">
        <v>3.66</v>
      </c>
      <c r="H301">
        <v>20599</v>
      </c>
      <c r="I301">
        <v>2.79</v>
      </c>
      <c r="J301" t="s">
        <v>14</v>
      </c>
      <c r="K301" t="s">
        <v>312</v>
      </c>
    </row>
    <row r="302" spans="1:11">
      <c r="A302" t="str">
        <f>"000820"</f>
        <v>000820</v>
      </c>
      <c r="B302" t="s">
        <v>467</v>
      </c>
      <c r="C302">
        <v>11.4</v>
      </c>
      <c r="D302">
        <v>5.83</v>
      </c>
      <c r="E302">
        <v>1.49</v>
      </c>
      <c r="F302">
        <v>6.47</v>
      </c>
      <c r="G302">
        <v>2.97</v>
      </c>
      <c r="H302">
        <v>19300</v>
      </c>
      <c r="I302">
        <v>16.7</v>
      </c>
      <c r="J302" t="s">
        <v>14</v>
      </c>
      <c r="K302" t="s">
        <v>43</v>
      </c>
    </row>
    <row r="303" spans="1:11">
      <c r="A303" t="str">
        <f>"000821"</f>
        <v>000821</v>
      </c>
      <c r="B303" t="s">
        <v>468</v>
      </c>
      <c r="C303">
        <v>83.08</v>
      </c>
      <c r="D303">
        <v>138.6</v>
      </c>
      <c r="E303">
        <v>42.86</v>
      </c>
      <c r="F303">
        <v>6.23</v>
      </c>
      <c r="G303">
        <v>6.05</v>
      </c>
      <c r="H303">
        <v>97238</v>
      </c>
      <c r="I303">
        <v>2</v>
      </c>
      <c r="J303">
        <v>22.54</v>
      </c>
      <c r="K303" t="s">
        <v>469</v>
      </c>
    </row>
    <row r="304" spans="1:11">
      <c r="A304" t="str">
        <f>"000822"</f>
        <v>000822</v>
      </c>
      <c r="B304" t="s">
        <v>470</v>
      </c>
      <c r="C304">
        <v>48.69</v>
      </c>
      <c r="D304">
        <v>92.83</v>
      </c>
      <c r="E304">
        <v>47.97</v>
      </c>
      <c r="F304">
        <v>8.95</v>
      </c>
      <c r="G304">
        <v>8.95</v>
      </c>
      <c r="H304">
        <v>58496</v>
      </c>
      <c r="I304">
        <v>1.02</v>
      </c>
      <c r="J304" t="s">
        <v>14</v>
      </c>
      <c r="K304" t="s">
        <v>342</v>
      </c>
    </row>
    <row r="305" spans="1:11">
      <c r="A305" t="str">
        <f>"000823"</f>
        <v>000823</v>
      </c>
      <c r="B305" t="s">
        <v>471</v>
      </c>
      <c r="C305">
        <v>75.61</v>
      </c>
      <c r="D305">
        <v>85.07</v>
      </c>
      <c r="E305">
        <v>48.35</v>
      </c>
      <c r="F305">
        <v>5.37</v>
      </c>
      <c r="G305">
        <v>5.37</v>
      </c>
      <c r="H305">
        <v>45438</v>
      </c>
      <c r="I305">
        <v>1.6</v>
      </c>
      <c r="J305">
        <v>31.82</v>
      </c>
      <c r="K305" t="s">
        <v>472</v>
      </c>
    </row>
    <row r="306" spans="1:11">
      <c r="A306" t="str">
        <f>"000825"</f>
        <v>000825</v>
      </c>
      <c r="B306" t="s">
        <v>473</v>
      </c>
      <c r="C306">
        <v>303.04</v>
      </c>
      <c r="D306">
        <v>662.28</v>
      </c>
      <c r="E306">
        <v>331.51</v>
      </c>
      <c r="F306">
        <v>56.96</v>
      </c>
      <c r="G306">
        <v>56.96</v>
      </c>
      <c r="H306">
        <v>138599</v>
      </c>
      <c r="I306">
        <v>0.91</v>
      </c>
      <c r="J306">
        <v>40.01</v>
      </c>
      <c r="K306" t="s">
        <v>364</v>
      </c>
    </row>
    <row r="307" spans="1:11">
      <c r="A307" t="str">
        <f>"000826"</f>
        <v>000826</v>
      </c>
      <c r="B307" t="s">
        <v>474</v>
      </c>
      <c r="C307">
        <v>32.21</v>
      </c>
      <c r="D307">
        <v>186.72</v>
      </c>
      <c r="E307">
        <v>0.42</v>
      </c>
      <c r="F307">
        <v>14.25</v>
      </c>
      <c r="G307">
        <v>14.25</v>
      </c>
      <c r="H307">
        <v>73420</v>
      </c>
      <c r="I307">
        <v>77.93</v>
      </c>
      <c r="J307" t="s">
        <v>14</v>
      </c>
      <c r="K307" t="s">
        <v>59</v>
      </c>
    </row>
    <row r="308" spans="1:11">
      <c r="A308" t="str">
        <f>"000828"</f>
        <v>000828</v>
      </c>
      <c r="B308" t="s">
        <v>475</v>
      </c>
      <c r="C308">
        <v>112.16</v>
      </c>
      <c r="D308">
        <v>163.6</v>
      </c>
      <c r="E308">
        <v>101.72</v>
      </c>
      <c r="F308">
        <v>10.4</v>
      </c>
      <c r="G308">
        <v>10.4</v>
      </c>
      <c r="H308">
        <v>26025</v>
      </c>
      <c r="I308">
        <v>1.1</v>
      </c>
      <c r="J308">
        <v>10.07</v>
      </c>
      <c r="K308" t="s">
        <v>161</v>
      </c>
    </row>
    <row r="309" spans="1:11">
      <c r="A309" t="str">
        <f>"000829"</f>
        <v>000829</v>
      </c>
      <c r="B309" t="s">
        <v>476</v>
      </c>
      <c r="C309">
        <v>113.47</v>
      </c>
      <c r="D309">
        <v>249.72</v>
      </c>
      <c r="E309">
        <v>29.16</v>
      </c>
      <c r="F309">
        <v>10.25</v>
      </c>
      <c r="G309">
        <v>10.24</v>
      </c>
      <c r="H309">
        <v>82772</v>
      </c>
      <c r="I309">
        <v>3.89</v>
      </c>
      <c r="J309" t="s">
        <v>14</v>
      </c>
      <c r="K309" t="s">
        <v>477</v>
      </c>
    </row>
    <row r="310" spans="1:11">
      <c r="A310" t="str">
        <f>"000830"</f>
        <v>000830</v>
      </c>
      <c r="B310" t="s">
        <v>478</v>
      </c>
      <c r="C310">
        <v>331.71</v>
      </c>
      <c r="D310">
        <v>359.48</v>
      </c>
      <c r="E310">
        <v>190.54</v>
      </c>
      <c r="F310">
        <v>19.04</v>
      </c>
      <c r="G310">
        <v>19.04</v>
      </c>
      <c r="H310">
        <v>67493</v>
      </c>
      <c r="I310">
        <v>1.74</v>
      </c>
      <c r="J310">
        <v>24.32</v>
      </c>
      <c r="K310" t="s">
        <v>479</v>
      </c>
    </row>
    <row r="311" spans="1:11">
      <c r="A311" t="str">
        <f>"000831"</f>
        <v>000831</v>
      </c>
      <c r="B311" t="s">
        <v>480</v>
      </c>
      <c r="C311">
        <v>554.7</v>
      </c>
      <c r="D311">
        <v>58.23</v>
      </c>
      <c r="E311">
        <v>48.34</v>
      </c>
      <c r="F311">
        <v>10.61</v>
      </c>
      <c r="G311">
        <v>10.61</v>
      </c>
      <c r="H311">
        <v>228998</v>
      </c>
      <c r="I311">
        <v>11.48</v>
      </c>
      <c r="J311">
        <v>216.47</v>
      </c>
      <c r="K311" t="s">
        <v>481</v>
      </c>
    </row>
    <row r="312" spans="1:11">
      <c r="A312" t="str">
        <f>"000833"</f>
        <v>000833</v>
      </c>
      <c r="B312" t="s">
        <v>482</v>
      </c>
      <c r="C312">
        <v>92.33</v>
      </c>
      <c r="D312">
        <v>63.9</v>
      </c>
      <c r="E312">
        <v>39.03</v>
      </c>
      <c r="F312">
        <v>8.02</v>
      </c>
      <c r="G312">
        <v>4.54</v>
      </c>
      <c r="H312">
        <v>66171</v>
      </c>
      <c r="I312">
        <v>4.18</v>
      </c>
      <c r="J312">
        <v>27.58</v>
      </c>
      <c r="K312" t="s">
        <v>43</v>
      </c>
    </row>
    <row r="313" spans="1:11">
      <c r="A313" t="str">
        <f>"000837"</f>
        <v>000837</v>
      </c>
      <c r="B313" t="s">
        <v>483</v>
      </c>
      <c r="C313">
        <v>132.27</v>
      </c>
      <c r="D313">
        <v>99.04</v>
      </c>
      <c r="E313">
        <v>48.77</v>
      </c>
      <c r="F313">
        <v>10.23</v>
      </c>
      <c r="G313">
        <v>10.07</v>
      </c>
      <c r="H313">
        <v>102953</v>
      </c>
      <c r="I313">
        <v>2.75</v>
      </c>
      <c r="J313">
        <v>211.83</v>
      </c>
      <c r="K313" t="s">
        <v>141</v>
      </c>
    </row>
    <row r="314" spans="1:11">
      <c r="A314" t="str">
        <f>"000838"</f>
        <v>000838</v>
      </c>
      <c r="B314" t="s">
        <v>484</v>
      </c>
      <c r="C314">
        <v>30.45</v>
      </c>
      <c r="D314">
        <v>24.94</v>
      </c>
      <c r="E314">
        <v>4.1</v>
      </c>
      <c r="F314">
        <v>11</v>
      </c>
      <c r="G314">
        <v>10.54</v>
      </c>
      <c r="H314">
        <v>42794</v>
      </c>
      <c r="I314">
        <v>7.75</v>
      </c>
      <c r="J314" t="s">
        <v>14</v>
      </c>
      <c r="K314" t="s">
        <v>15</v>
      </c>
    </row>
    <row r="315" spans="1:11">
      <c r="A315" t="str">
        <f>"000839"</f>
        <v>000839</v>
      </c>
      <c r="B315" t="s">
        <v>485</v>
      </c>
      <c r="C315">
        <v>110.15</v>
      </c>
      <c r="D315">
        <v>61.47</v>
      </c>
      <c r="E315">
        <v>15.34</v>
      </c>
      <c r="F315">
        <v>39.2</v>
      </c>
      <c r="G315">
        <v>39.2</v>
      </c>
      <c r="H315">
        <v>125242</v>
      </c>
      <c r="I315">
        <v>7.19</v>
      </c>
      <c r="J315">
        <v>978.22</v>
      </c>
      <c r="K315" t="s">
        <v>486</v>
      </c>
    </row>
    <row r="316" spans="1:11">
      <c r="A316" t="str">
        <f>"000848"</f>
        <v>000848</v>
      </c>
      <c r="B316" t="s">
        <v>487</v>
      </c>
      <c r="C316">
        <v>85.85</v>
      </c>
      <c r="D316">
        <v>47.18</v>
      </c>
      <c r="E316">
        <v>35.18</v>
      </c>
      <c r="F316">
        <v>10.2</v>
      </c>
      <c r="G316">
        <v>10.11</v>
      </c>
      <c r="H316">
        <v>55134</v>
      </c>
      <c r="I316">
        <v>2.54</v>
      </c>
      <c r="J316">
        <v>16.93</v>
      </c>
      <c r="K316" t="s">
        <v>488</v>
      </c>
    </row>
    <row r="317" spans="1:11">
      <c r="A317" t="str">
        <f>"000850"</f>
        <v>000850</v>
      </c>
      <c r="B317" t="s">
        <v>489</v>
      </c>
      <c r="C317">
        <v>51.98</v>
      </c>
      <c r="D317">
        <v>73.48</v>
      </c>
      <c r="E317">
        <v>45.54</v>
      </c>
      <c r="F317">
        <v>9.44</v>
      </c>
      <c r="G317">
        <v>9.43</v>
      </c>
      <c r="H317">
        <v>30661</v>
      </c>
      <c r="I317">
        <v>1.14</v>
      </c>
      <c r="J317">
        <v>22.72</v>
      </c>
      <c r="K317" t="s">
        <v>391</v>
      </c>
    </row>
    <row r="318" spans="1:11">
      <c r="A318" t="str">
        <f>"000852"</f>
        <v>000852</v>
      </c>
      <c r="B318" t="s">
        <v>490</v>
      </c>
      <c r="C318">
        <v>75.09</v>
      </c>
      <c r="D318">
        <v>112.09</v>
      </c>
      <c r="E318">
        <v>31.37</v>
      </c>
      <c r="F318">
        <v>9.56</v>
      </c>
      <c r="G318">
        <v>9.46</v>
      </c>
      <c r="H318">
        <v>48367</v>
      </c>
      <c r="I318">
        <v>2.42</v>
      </c>
      <c r="J318">
        <v>826.77</v>
      </c>
      <c r="K318" t="s">
        <v>491</v>
      </c>
    </row>
    <row r="319" spans="1:11">
      <c r="A319" t="str">
        <f>"000856"</f>
        <v>000856</v>
      </c>
      <c r="B319" t="s">
        <v>492</v>
      </c>
      <c r="C319">
        <v>23.61</v>
      </c>
      <c r="D319">
        <v>22.53</v>
      </c>
      <c r="E319">
        <v>4.19</v>
      </c>
      <c r="F319">
        <v>2.27</v>
      </c>
      <c r="G319">
        <v>2.27</v>
      </c>
      <c r="H319">
        <v>43804</v>
      </c>
      <c r="I319">
        <v>5.63</v>
      </c>
      <c r="J319">
        <v>218.1</v>
      </c>
      <c r="K319" t="s">
        <v>493</v>
      </c>
    </row>
    <row r="320" spans="1:11">
      <c r="A320" t="str">
        <f>"000858"</f>
        <v>000858</v>
      </c>
      <c r="B320" t="s">
        <v>494</v>
      </c>
      <c r="C320">
        <v>4154.7</v>
      </c>
      <c r="D320">
        <v>1810.73</v>
      </c>
      <c r="E320">
        <v>1424.96</v>
      </c>
      <c r="F320">
        <v>38.82</v>
      </c>
      <c r="G320">
        <v>38.81</v>
      </c>
      <c r="H320">
        <v>600000</v>
      </c>
      <c r="I320">
        <v>2.92</v>
      </c>
      <c r="J320">
        <v>14.49</v>
      </c>
      <c r="K320" t="s">
        <v>251</v>
      </c>
    </row>
    <row r="321" spans="1:11">
      <c r="A321" t="str">
        <f>"000859"</f>
        <v>000859</v>
      </c>
      <c r="B321" t="s">
        <v>495</v>
      </c>
      <c r="C321">
        <v>110.92</v>
      </c>
      <c r="D321">
        <v>45.62</v>
      </c>
      <c r="E321">
        <v>27.26</v>
      </c>
      <c r="F321">
        <v>8.96</v>
      </c>
      <c r="G321">
        <v>8.96</v>
      </c>
      <c r="H321">
        <v>56059</v>
      </c>
      <c r="I321">
        <v>4.07</v>
      </c>
      <c r="J321" t="s">
        <v>14</v>
      </c>
      <c r="K321" t="s">
        <v>496</v>
      </c>
    </row>
    <row r="322" spans="1:11">
      <c r="A322" t="str">
        <f>"000860"</f>
        <v>000860</v>
      </c>
      <c r="B322" t="s">
        <v>497</v>
      </c>
      <c r="C322">
        <v>110.08</v>
      </c>
      <c r="D322">
        <v>129.26</v>
      </c>
      <c r="E322">
        <v>69.8</v>
      </c>
      <c r="F322">
        <v>7.42</v>
      </c>
      <c r="G322">
        <v>7.42</v>
      </c>
      <c r="H322">
        <v>93854</v>
      </c>
      <c r="I322">
        <v>1.58</v>
      </c>
      <c r="J322">
        <v>107.24</v>
      </c>
      <c r="K322" t="s">
        <v>251</v>
      </c>
    </row>
    <row r="323" spans="1:11">
      <c r="A323" t="str">
        <f>"000862"</f>
        <v>000862</v>
      </c>
      <c r="B323" t="s">
        <v>498</v>
      </c>
      <c r="C323">
        <v>38.24</v>
      </c>
      <c r="D323">
        <v>88.7</v>
      </c>
      <c r="E323">
        <v>44.83</v>
      </c>
      <c r="F323">
        <v>9.18</v>
      </c>
      <c r="G323">
        <v>6.28</v>
      </c>
      <c r="H323">
        <v>47122</v>
      </c>
      <c r="I323">
        <v>1.25</v>
      </c>
      <c r="J323">
        <v>17.66</v>
      </c>
      <c r="K323" t="s">
        <v>111</v>
      </c>
    </row>
    <row r="324" spans="1:11">
      <c r="A324" t="str">
        <f>"000863"</f>
        <v>000863</v>
      </c>
      <c r="B324" t="s">
        <v>499</v>
      </c>
      <c r="C324">
        <v>68.42</v>
      </c>
      <c r="D324">
        <v>58.81</v>
      </c>
      <c r="E324">
        <v>44.97</v>
      </c>
      <c r="F324">
        <v>11.81</v>
      </c>
      <c r="G324">
        <v>11.64</v>
      </c>
      <c r="H324">
        <v>33408</v>
      </c>
      <c r="I324">
        <v>1.54</v>
      </c>
      <c r="J324">
        <v>706.18</v>
      </c>
      <c r="K324" t="s">
        <v>15</v>
      </c>
    </row>
    <row r="325" spans="1:11">
      <c r="A325" t="str">
        <f>"000868"</f>
        <v>000868</v>
      </c>
      <c r="B325" t="s">
        <v>500</v>
      </c>
      <c r="C325">
        <v>36.74</v>
      </c>
      <c r="D325">
        <v>42.53</v>
      </c>
      <c r="E325">
        <v>8.51</v>
      </c>
      <c r="F325">
        <v>9.4</v>
      </c>
      <c r="G325">
        <v>7.33</v>
      </c>
      <c r="H325">
        <v>48268</v>
      </c>
      <c r="I325">
        <v>5.53</v>
      </c>
      <c r="J325" t="s">
        <v>14</v>
      </c>
      <c r="K325" t="s">
        <v>501</v>
      </c>
    </row>
    <row r="326" spans="1:11">
      <c r="A326" t="str">
        <f>"000869"</f>
        <v>000869</v>
      </c>
      <c r="B326" t="s">
        <v>502</v>
      </c>
      <c r="C326">
        <v>94.43</v>
      </c>
      <c r="D326">
        <v>121.57</v>
      </c>
      <c r="E326">
        <v>104.53</v>
      </c>
      <c r="F326">
        <v>6.57</v>
      </c>
      <c r="G326">
        <v>4.55</v>
      </c>
      <c r="H326">
        <v>41530</v>
      </c>
      <c r="I326">
        <v>1.33</v>
      </c>
      <c r="J326">
        <v>54.55</v>
      </c>
      <c r="K326" t="s">
        <v>503</v>
      </c>
    </row>
    <row r="327" spans="1:11">
      <c r="A327" t="str">
        <f>"000875"</f>
        <v>000875</v>
      </c>
      <c r="B327" t="s">
        <v>504</v>
      </c>
      <c r="C327">
        <v>226.28</v>
      </c>
      <c r="D327">
        <v>878.53</v>
      </c>
      <c r="E327">
        <v>174.62</v>
      </c>
      <c r="F327">
        <v>36.27</v>
      </c>
      <c r="G327">
        <v>33.42</v>
      </c>
      <c r="H327">
        <v>152267</v>
      </c>
      <c r="I327">
        <v>1.41</v>
      </c>
      <c r="J327">
        <v>23.53</v>
      </c>
      <c r="K327" t="s">
        <v>505</v>
      </c>
    </row>
    <row r="328" spans="1:11">
      <c r="A328" t="str">
        <f>"000876"</f>
        <v>000876</v>
      </c>
      <c r="B328" t="s">
        <v>506</v>
      </c>
      <c r="C328">
        <v>403.7</v>
      </c>
      <c r="D328">
        <v>1168.71</v>
      </c>
      <c r="E328">
        <v>257.62</v>
      </c>
      <c r="F328">
        <v>45.03</v>
      </c>
      <c r="G328">
        <v>45.01</v>
      </c>
      <c r="H328">
        <v>197000</v>
      </c>
      <c r="I328">
        <v>1.81</v>
      </c>
      <c r="J328">
        <v>39.86</v>
      </c>
      <c r="K328" t="s">
        <v>359</v>
      </c>
    </row>
    <row r="329" spans="1:11">
      <c r="A329" t="str">
        <f>"000877"</f>
        <v>000877</v>
      </c>
      <c r="B329" t="s">
        <v>507</v>
      </c>
      <c r="C329">
        <v>388.94</v>
      </c>
      <c r="D329">
        <v>2897.28</v>
      </c>
      <c r="E329">
        <v>817.86</v>
      </c>
      <c r="F329">
        <v>71.1</v>
      </c>
      <c r="G329">
        <v>71.1</v>
      </c>
      <c r="H329">
        <v>103528</v>
      </c>
      <c r="I329">
        <v>0.48</v>
      </c>
      <c r="J329" t="s">
        <v>14</v>
      </c>
      <c r="K329" t="s">
        <v>129</v>
      </c>
    </row>
    <row r="330" spans="1:11">
      <c r="A330" t="str">
        <f>"000878"</f>
        <v>000878</v>
      </c>
      <c r="B330" t="s">
        <v>508</v>
      </c>
      <c r="C330">
        <v>458.22</v>
      </c>
      <c r="D330">
        <v>543.6</v>
      </c>
      <c r="E330">
        <v>153.2</v>
      </c>
      <c r="F330">
        <v>20.04</v>
      </c>
      <c r="G330">
        <v>20.04</v>
      </c>
      <c r="H330">
        <v>192224</v>
      </c>
      <c r="I330">
        <v>2.99</v>
      </c>
      <c r="J330">
        <v>22.15</v>
      </c>
      <c r="K330" t="s">
        <v>303</v>
      </c>
    </row>
    <row r="331" spans="1:11">
      <c r="A331" t="str">
        <f>"000880"</f>
        <v>000880</v>
      </c>
      <c r="B331" t="s">
        <v>509</v>
      </c>
      <c r="C331">
        <v>72.9</v>
      </c>
      <c r="D331">
        <v>77.47</v>
      </c>
      <c r="E331">
        <v>20.57</v>
      </c>
      <c r="F331">
        <v>4.64</v>
      </c>
      <c r="G331">
        <v>2.27</v>
      </c>
      <c r="H331">
        <v>80381</v>
      </c>
      <c r="I331">
        <v>7.24</v>
      </c>
      <c r="J331">
        <v>59.79</v>
      </c>
      <c r="K331" t="s">
        <v>253</v>
      </c>
    </row>
    <row r="332" spans="1:11">
      <c r="A332" t="str">
        <f>"000881"</f>
        <v>000881</v>
      </c>
      <c r="B332" t="s">
        <v>510</v>
      </c>
      <c r="C332">
        <v>75.41</v>
      </c>
      <c r="D332">
        <v>106.83</v>
      </c>
      <c r="E332">
        <v>52.25</v>
      </c>
      <c r="F332">
        <v>9.45</v>
      </c>
      <c r="G332">
        <v>8.42</v>
      </c>
      <c r="H332">
        <v>48440</v>
      </c>
      <c r="I332">
        <v>1.62</v>
      </c>
      <c r="J332" t="s">
        <v>14</v>
      </c>
      <c r="K332" t="s">
        <v>511</v>
      </c>
    </row>
    <row r="333" spans="1:11">
      <c r="A333" t="str">
        <f>"000882"</f>
        <v>000882</v>
      </c>
      <c r="B333" t="s">
        <v>512</v>
      </c>
      <c r="C333">
        <v>56.08</v>
      </c>
      <c r="D333">
        <v>126.41</v>
      </c>
      <c r="E333">
        <v>67.55</v>
      </c>
      <c r="F333">
        <v>27.37</v>
      </c>
      <c r="G333">
        <v>27.36</v>
      </c>
      <c r="H333">
        <v>125206</v>
      </c>
      <c r="I333">
        <v>0.83</v>
      </c>
      <c r="J333" t="s">
        <v>14</v>
      </c>
      <c r="K333" t="s">
        <v>146</v>
      </c>
    </row>
    <row r="334" spans="1:11">
      <c r="A334" t="str">
        <f>"000883"</f>
        <v>000883</v>
      </c>
      <c r="B334" t="s">
        <v>513</v>
      </c>
      <c r="C334">
        <v>296.77</v>
      </c>
      <c r="D334">
        <v>959.47</v>
      </c>
      <c r="E334">
        <v>348.01</v>
      </c>
      <c r="F334">
        <v>70.79</v>
      </c>
      <c r="G334">
        <v>64.8</v>
      </c>
      <c r="H334">
        <v>75639</v>
      </c>
      <c r="I334">
        <v>0.85</v>
      </c>
      <c r="J334">
        <v>10.41</v>
      </c>
      <c r="K334" t="s">
        <v>278</v>
      </c>
    </row>
    <row r="335" spans="1:11">
      <c r="A335" t="str">
        <f>"000885"</f>
        <v>000885</v>
      </c>
      <c r="B335" t="s">
        <v>514</v>
      </c>
      <c r="C335">
        <v>88.48</v>
      </c>
      <c r="D335">
        <v>325.97</v>
      </c>
      <c r="E335">
        <v>91.61</v>
      </c>
      <c r="F335">
        <v>6.42</v>
      </c>
      <c r="G335">
        <v>6.42</v>
      </c>
      <c r="H335">
        <v>21669</v>
      </c>
      <c r="I335">
        <v>0.97</v>
      </c>
      <c r="J335">
        <v>7.27</v>
      </c>
      <c r="K335" t="s">
        <v>59</v>
      </c>
    </row>
    <row r="336" spans="1:11">
      <c r="A336" t="str">
        <f>"000886"</f>
        <v>000886</v>
      </c>
      <c r="B336" t="s">
        <v>515</v>
      </c>
      <c r="C336">
        <v>64.15</v>
      </c>
      <c r="D336">
        <v>39.49</v>
      </c>
      <c r="E336">
        <v>30.28</v>
      </c>
      <c r="F336">
        <v>9.89</v>
      </c>
      <c r="G336">
        <v>9.78</v>
      </c>
      <c r="H336">
        <v>88349</v>
      </c>
      <c r="I336">
        <v>2.14</v>
      </c>
      <c r="J336" t="s">
        <v>14</v>
      </c>
      <c r="K336" t="s">
        <v>15</v>
      </c>
    </row>
    <row r="337" spans="1:11">
      <c r="A337" t="str">
        <f>"000887"</f>
        <v>000887</v>
      </c>
      <c r="B337" t="s">
        <v>516</v>
      </c>
      <c r="C337">
        <v>298.23</v>
      </c>
      <c r="D337">
        <v>263.35</v>
      </c>
      <c r="E337">
        <v>141.12</v>
      </c>
      <c r="F337">
        <v>13.16</v>
      </c>
      <c r="G337">
        <v>13.14</v>
      </c>
      <c r="H337">
        <v>101649</v>
      </c>
      <c r="I337">
        <v>2.12</v>
      </c>
      <c r="J337">
        <v>17.14</v>
      </c>
      <c r="K337" t="s">
        <v>517</v>
      </c>
    </row>
    <row r="338" spans="1:11">
      <c r="A338" t="str">
        <f>"000888"</f>
        <v>000888</v>
      </c>
      <c r="B338" t="s">
        <v>518</v>
      </c>
      <c r="C338">
        <v>71.71</v>
      </c>
      <c r="D338">
        <v>33.91</v>
      </c>
      <c r="E338">
        <v>27.22</v>
      </c>
      <c r="F338">
        <v>5.27</v>
      </c>
      <c r="G338">
        <v>5.27</v>
      </c>
      <c r="H338">
        <v>42324</v>
      </c>
      <c r="I338">
        <v>2.63</v>
      </c>
      <c r="J338">
        <v>22.96</v>
      </c>
      <c r="K338" t="s">
        <v>163</v>
      </c>
    </row>
    <row r="339" spans="1:11">
      <c r="A339" t="str">
        <f>"000889"</f>
        <v>000889</v>
      </c>
      <c r="B339" t="s">
        <v>519</v>
      </c>
      <c r="C339">
        <v>34.19</v>
      </c>
      <c r="D339">
        <v>8.89</v>
      </c>
      <c r="E339">
        <v>0.71</v>
      </c>
      <c r="F339">
        <v>9.36</v>
      </c>
      <c r="G339">
        <v>8.7</v>
      </c>
      <c r="H339">
        <v>38025</v>
      </c>
      <c r="I339">
        <v>51.71</v>
      </c>
      <c r="J339" t="s">
        <v>14</v>
      </c>
      <c r="K339" t="s">
        <v>520</v>
      </c>
    </row>
    <row r="340" spans="1:11">
      <c r="A340" t="str">
        <f>"000890"</f>
        <v>000890</v>
      </c>
      <c r="B340" t="s">
        <v>521</v>
      </c>
      <c r="C340">
        <v>23.66</v>
      </c>
      <c r="D340">
        <v>9.86</v>
      </c>
      <c r="E340">
        <v>-0.06</v>
      </c>
      <c r="F340">
        <v>4.2</v>
      </c>
      <c r="G340">
        <v>4.19</v>
      </c>
      <c r="H340">
        <v>46027</v>
      </c>
      <c r="I340">
        <v>-433.85</v>
      </c>
      <c r="J340" t="s">
        <v>14</v>
      </c>
      <c r="K340" t="s">
        <v>90</v>
      </c>
    </row>
    <row r="341" spans="1:11">
      <c r="A341" t="str">
        <f>"000892"</f>
        <v>000892</v>
      </c>
      <c r="B341" t="s">
        <v>522</v>
      </c>
      <c r="C341">
        <v>64.05</v>
      </c>
      <c r="D341">
        <v>16.82</v>
      </c>
      <c r="E341">
        <v>8.45</v>
      </c>
      <c r="F341">
        <v>9.81</v>
      </c>
      <c r="G341">
        <v>7.11</v>
      </c>
      <c r="H341">
        <v>40180</v>
      </c>
      <c r="I341">
        <v>10.46</v>
      </c>
      <c r="J341" t="s">
        <v>14</v>
      </c>
      <c r="K341" t="s">
        <v>452</v>
      </c>
    </row>
    <row r="342" spans="1:11">
      <c r="A342" t="str">
        <f>"000893"</f>
        <v>000893</v>
      </c>
      <c r="B342" t="s">
        <v>523</v>
      </c>
      <c r="C342">
        <v>417.76</v>
      </c>
      <c r="D342">
        <v>193.8</v>
      </c>
      <c r="E342">
        <v>130.56</v>
      </c>
      <c r="F342">
        <v>9.24</v>
      </c>
      <c r="G342">
        <v>8.12</v>
      </c>
      <c r="H342">
        <v>22729</v>
      </c>
      <c r="I342">
        <v>3.64</v>
      </c>
      <c r="J342">
        <v>26.17</v>
      </c>
      <c r="K342" t="s">
        <v>138</v>
      </c>
    </row>
    <row r="343" spans="1:11">
      <c r="A343" t="str">
        <f>"000895"</f>
        <v>000895</v>
      </c>
      <c r="B343" t="s">
        <v>524</v>
      </c>
      <c r="C343">
        <v>888.92</v>
      </c>
      <c r="D343">
        <v>406.43</v>
      </c>
      <c r="E343">
        <v>202.26</v>
      </c>
      <c r="F343">
        <v>34.65</v>
      </c>
      <c r="G343">
        <v>34.64</v>
      </c>
      <c r="H343">
        <v>146153</v>
      </c>
      <c r="I343">
        <v>4.4</v>
      </c>
      <c r="J343">
        <v>16.84</v>
      </c>
      <c r="K343" t="s">
        <v>201</v>
      </c>
    </row>
    <row r="344" spans="1:11">
      <c r="A344" t="str">
        <f>"000897"</f>
        <v>000897</v>
      </c>
      <c r="B344" t="s">
        <v>525</v>
      </c>
      <c r="C344">
        <v>36.87</v>
      </c>
      <c r="D344">
        <v>44.87</v>
      </c>
      <c r="E344">
        <v>30.72</v>
      </c>
      <c r="F344">
        <v>16.17</v>
      </c>
      <c r="G344">
        <v>16.17</v>
      </c>
      <c r="H344">
        <v>81953</v>
      </c>
      <c r="I344">
        <v>1.2</v>
      </c>
      <c r="J344">
        <v>151.98</v>
      </c>
      <c r="K344" t="s">
        <v>15</v>
      </c>
    </row>
    <row r="345" spans="1:11">
      <c r="A345" t="str">
        <f>"000898"</f>
        <v>000898</v>
      </c>
      <c r="B345" t="s">
        <v>526</v>
      </c>
      <c r="C345">
        <v>202.91</v>
      </c>
      <c r="D345">
        <v>974.93</v>
      </c>
      <c r="E345">
        <v>457.36</v>
      </c>
      <c r="F345">
        <v>93.69</v>
      </c>
      <c r="G345">
        <v>79.57</v>
      </c>
      <c r="H345">
        <v>95674</v>
      </c>
      <c r="I345">
        <v>0.52</v>
      </c>
      <c r="J345" t="s">
        <v>14</v>
      </c>
      <c r="K345" t="s">
        <v>366</v>
      </c>
    </row>
    <row r="346" spans="1:11">
      <c r="A346" t="str">
        <f>"000899"</f>
        <v>000899</v>
      </c>
      <c r="B346" t="s">
        <v>527</v>
      </c>
      <c r="C346">
        <v>101.28</v>
      </c>
      <c r="D346">
        <v>204.84</v>
      </c>
      <c r="E346">
        <v>63.09</v>
      </c>
      <c r="F346">
        <v>9.76</v>
      </c>
      <c r="G346">
        <v>9.76</v>
      </c>
      <c r="H346">
        <v>42100</v>
      </c>
      <c r="I346">
        <v>1.61</v>
      </c>
      <c r="J346">
        <v>8.72</v>
      </c>
      <c r="K346" t="s">
        <v>46</v>
      </c>
    </row>
    <row r="347" spans="1:11">
      <c r="A347" t="str">
        <f>"000900"</f>
        <v>000900</v>
      </c>
      <c r="B347" t="s">
        <v>528</v>
      </c>
      <c r="C347">
        <v>62.84</v>
      </c>
      <c r="D347">
        <v>595.74</v>
      </c>
      <c r="E347">
        <v>126.36</v>
      </c>
      <c r="F347">
        <v>15.18</v>
      </c>
      <c r="G347">
        <v>15.18</v>
      </c>
      <c r="H347">
        <v>42424</v>
      </c>
      <c r="I347">
        <v>0.56</v>
      </c>
      <c r="J347">
        <v>10.87</v>
      </c>
      <c r="K347" t="s">
        <v>161</v>
      </c>
    </row>
    <row r="348" spans="1:11">
      <c r="A348" t="str">
        <f>"000901"</f>
        <v>000901</v>
      </c>
      <c r="B348" t="s">
        <v>529</v>
      </c>
      <c r="C348">
        <v>232.11</v>
      </c>
      <c r="D348">
        <v>71.14</v>
      </c>
      <c r="E348">
        <v>43.21</v>
      </c>
      <c r="F348">
        <v>7.98</v>
      </c>
      <c r="G348">
        <v>7.98</v>
      </c>
      <c r="H348">
        <v>144603</v>
      </c>
      <c r="I348">
        <v>5.37</v>
      </c>
      <c r="J348">
        <v>183.46</v>
      </c>
      <c r="K348" t="s">
        <v>530</v>
      </c>
    </row>
    <row r="349" spans="1:11">
      <c r="A349" t="str">
        <f>"000902"</f>
        <v>000902</v>
      </c>
      <c r="B349" t="s">
        <v>531</v>
      </c>
      <c r="C349">
        <v>178.62</v>
      </c>
      <c r="D349">
        <v>197.49</v>
      </c>
      <c r="E349">
        <v>115.93</v>
      </c>
      <c r="F349">
        <v>12.55</v>
      </c>
      <c r="G349">
        <v>11.43</v>
      </c>
      <c r="H349">
        <v>31401</v>
      </c>
      <c r="I349">
        <v>1.7</v>
      </c>
      <c r="J349">
        <v>10.71</v>
      </c>
      <c r="K349" t="s">
        <v>532</v>
      </c>
    </row>
    <row r="350" spans="1:11">
      <c r="A350" t="str">
        <f>"000903"</f>
        <v>000903</v>
      </c>
      <c r="B350" t="s">
        <v>533</v>
      </c>
      <c r="C350">
        <v>51.27</v>
      </c>
      <c r="D350">
        <v>102.68</v>
      </c>
      <c r="E350">
        <v>13.3</v>
      </c>
      <c r="F350">
        <v>19.35</v>
      </c>
      <c r="G350">
        <v>19.2</v>
      </c>
      <c r="H350">
        <v>103537</v>
      </c>
      <c r="I350">
        <v>3.89</v>
      </c>
      <c r="J350" t="s">
        <v>14</v>
      </c>
      <c r="K350" t="s">
        <v>51</v>
      </c>
    </row>
    <row r="351" spans="1:11">
      <c r="A351" t="str">
        <f>"000905"</f>
        <v>000905</v>
      </c>
      <c r="B351" t="s">
        <v>534</v>
      </c>
      <c r="C351">
        <v>99.77</v>
      </c>
      <c r="D351">
        <v>134.97</v>
      </c>
      <c r="E351">
        <v>50.74</v>
      </c>
      <c r="F351">
        <v>7.42</v>
      </c>
      <c r="G351">
        <v>7.42</v>
      </c>
      <c r="H351">
        <v>41818</v>
      </c>
      <c r="I351">
        <v>1.97</v>
      </c>
      <c r="J351">
        <v>38.22</v>
      </c>
      <c r="K351" t="s">
        <v>96</v>
      </c>
    </row>
    <row r="352" spans="1:11">
      <c r="A352" t="str">
        <f>"000906"</f>
        <v>000906</v>
      </c>
      <c r="B352" t="s">
        <v>535</v>
      </c>
      <c r="C352">
        <v>42.14</v>
      </c>
      <c r="D352">
        <v>533.93</v>
      </c>
      <c r="E352">
        <v>57.56</v>
      </c>
      <c r="F352">
        <v>7.1</v>
      </c>
      <c r="G352">
        <v>7.01</v>
      </c>
      <c r="H352">
        <v>28465</v>
      </c>
      <c r="I352">
        <v>0.9</v>
      </c>
      <c r="J352">
        <v>16.83</v>
      </c>
      <c r="K352" t="s">
        <v>536</v>
      </c>
    </row>
    <row r="353" spans="1:11">
      <c r="A353" t="str">
        <f>"000908"</f>
        <v>000908</v>
      </c>
      <c r="B353" t="s">
        <v>537</v>
      </c>
      <c r="C353">
        <v>68.62</v>
      </c>
      <c r="D353">
        <v>8.78</v>
      </c>
      <c r="E353">
        <v>0.37</v>
      </c>
      <c r="F353">
        <v>8.8</v>
      </c>
      <c r="G353">
        <v>8.8</v>
      </c>
      <c r="H353">
        <v>27854</v>
      </c>
      <c r="I353">
        <v>185.71</v>
      </c>
      <c r="J353" t="s">
        <v>14</v>
      </c>
      <c r="K353" t="s">
        <v>109</v>
      </c>
    </row>
    <row r="354" spans="1:11">
      <c r="A354" t="str">
        <f>"000909"</f>
        <v>000909</v>
      </c>
      <c r="B354" t="s">
        <v>538</v>
      </c>
      <c r="C354">
        <v>23.86</v>
      </c>
      <c r="D354">
        <v>23.45</v>
      </c>
      <c r="E354">
        <v>9.93</v>
      </c>
      <c r="F354">
        <v>4.38</v>
      </c>
      <c r="G354">
        <v>4.38</v>
      </c>
      <c r="H354">
        <v>18619</v>
      </c>
      <c r="I354">
        <v>2.4</v>
      </c>
      <c r="J354" t="s">
        <v>14</v>
      </c>
      <c r="K354" t="s">
        <v>15</v>
      </c>
    </row>
    <row r="355" spans="1:11">
      <c r="A355" t="str">
        <f>"000910"</f>
        <v>000910</v>
      </c>
      <c r="B355" t="s">
        <v>539</v>
      </c>
      <c r="C355">
        <v>42.19</v>
      </c>
      <c r="D355">
        <v>97.45</v>
      </c>
      <c r="E355">
        <v>67.17</v>
      </c>
      <c r="F355">
        <v>5.47</v>
      </c>
      <c r="G355">
        <v>5.47</v>
      </c>
      <c r="H355">
        <v>17629</v>
      </c>
      <c r="I355">
        <v>0.63</v>
      </c>
      <c r="J355">
        <v>43.26</v>
      </c>
      <c r="K355" t="s">
        <v>540</v>
      </c>
    </row>
    <row r="356" spans="1:11">
      <c r="A356" t="str">
        <f>"000911"</f>
        <v>000911</v>
      </c>
      <c r="B356" t="s">
        <v>541</v>
      </c>
      <c r="C356">
        <v>29.82</v>
      </c>
      <c r="D356">
        <v>30.77</v>
      </c>
      <c r="E356">
        <v>1.2</v>
      </c>
      <c r="F356">
        <v>4</v>
      </c>
      <c r="G356">
        <v>4</v>
      </c>
      <c r="H356">
        <v>32500</v>
      </c>
      <c r="I356">
        <v>24.83</v>
      </c>
      <c r="J356" t="s">
        <v>14</v>
      </c>
      <c r="K356" t="s">
        <v>192</v>
      </c>
    </row>
    <row r="357" spans="1:11">
      <c r="A357" t="str">
        <f>"000912"</f>
        <v>000912</v>
      </c>
      <c r="B357" t="s">
        <v>542</v>
      </c>
      <c r="C357">
        <v>66.33</v>
      </c>
      <c r="D357">
        <v>94.63</v>
      </c>
      <c r="E357">
        <v>63.09</v>
      </c>
      <c r="F357">
        <v>15.68</v>
      </c>
      <c r="G357">
        <v>15.68</v>
      </c>
      <c r="H357">
        <v>41474</v>
      </c>
      <c r="I357">
        <v>1.05</v>
      </c>
      <c r="J357">
        <v>2705.73</v>
      </c>
      <c r="K357" t="s">
        <v>397</v>
      </c>
    </row>
    <row r="358" spans="1:11">
      <c r="A358" t="str">
        <f>"000913"</f>
        <v>000913</v>
      </c>
      <c r="B358" t="s">
        <v>543</v>
      </c>
      <c r="C358">
        <v>72.98</v>
      </c>
      <c r="D358">
        <v>105.25</v>
      </c>
      <c r="E358">
        <v>47.09</v>
      </c>
      <c r="F358">
        <v>5.27</v>
      </c>
      <c r="G358">
        <v>4.6</v>
      </c>
      <c r="H358">
        <v>23017</v>
      </c>
      <c r="I358">
        <v>1.78</v>
      </c>
      <c r="J358">
        <v>19.58</v>
      </c>
      <c r="K358" t="s">
        <v>544</v>
      </c>
    </row>
    <row r="359" spans="1:11">
      <c r="A359" t="str">
        <f>"000915"</f>
        <v>000915</v>
      </c>
      <c r="B359" t="s">
        <v>545</v>
      </c>
      <c r="C359">
        <v>77.44</v>
      </c>
      <c r="D359">
        <v>47.8</v>
      </c>
      <c r="E359">
        <v>28.51</v>
      </c>
      <c r="F359">
        <v>2.34</v>
      </c>
      <c r="G359">
        <v>2.34</v>
      </c>
      <c r="H359">
        <v>27598</v>
      </c>
      <c r="I359">
        <v>2.72</v>
      </c>
      <c r="J359">
        <v>14.24</v>
      </c>
      <c r="K359" t="s">
        <v>109</v>
      </c>
    </row>
    <row r="360" spans="1:11">
      <c r="A360" t="str">
        <f>"000917"</f>
        <v>000917</v>
      </c>
      <c r="B360" t="s">
        <v>546</v>
      </c>
      <c r="C360">
        <v>175.76</v>
      </c>
      <c r="D360">
        <v>164.4</v>
      </c>
      <c r="E360">
        <v>104.27</v>
      </c>
      <c r="F360">
        <v>14.18</v>
      </c>
      <c r="G360">
        <v>14.17</v>
      </c>
      <c r="H360">
        <v>76839</v>
      </c>
      <c r="I360">
        <v>1.69</v>
      </c>
      <c r="J360">
        <v>99.79</v>
      </c>
      <c r="K360" t="s">
        <v>283</v>
      </c>
    </row>
    <row r="361" spans="1:11">
      <c r="A361" t="str">
        <f>"000919"</f>
        <v>000919</v>
      </c>
      <c r="B361" t="s">
        <v>547</v>
      </c>
      <c r="C361">
        <v>49.12</v>
      </c>
      <c r="D361">
        <v>60.24</v>
      </c>
      <c r="E361">
        <v>37.92</v>
      </c>
      <c r="F361">
        <v>6.22</v>
      </c>
      <c r="G361">
        <v>6.22</v>
      </c>
      <c r="H361">
        <v>35817</v>
      </c>
      <c r="I361">
        <v>1.3</v>
      </c>
      <c r="J361">
        <v>53.83</v>
      </c>
      <c r="K361" t="s">
        <v>109</v>
      </c>
    </row>
    <row r="362" spans="1:11">
      <c r="A362" t="str">
        <f>"000920"</f>
        <v>000920</v>
      </c>
      <c r="B362" t="s">
        <v>548</v>
      </c>
      <c r="C362">
        <v>59.26</v>
      </c>
      <c r="D362">
        <v>28.37</v>
      </c>
      <c r="E362">
        <v>19.86</v>
      </c>
      <c r="F362">
        <v>4.73</v>
      </c>
      <c r="G362">
        <v>4.73</v>
      </c>
      <c r="H362">
        <v>27226</v>
      </c>
      <c r="I362">
        <v>2.98</v>
      </c>
      <c r="J362">
        <v>22.75</v>
      </c>
      <c r="K362" t="s">
        <v>549</v>
      </c>
    </row>
    <row r="363" spans="1:11">
      <c r="A363" t="str">
        <f>"000921"</f>
        <v>000921</v>
      </c>
      <c r="B363" t="s">
        <v>550</v>
      </c>
      <c r="C363">
        <v>224.85</v>
      </c>
      <c r="D363">
        <v>719.27</v>
      </c>
      <c r="E363">
        <v>169.25</v>
      </c>
      <c r="F363">
        <v>13.85</v>
      </c>
      <c r="G363">
        <v>9.18</v>
      </c>
      <c r="H363">
        <v>46259</v>
      </c>
      <c r="I363">
        <v>2</v>
      </c>
      <c r="J363">
        <v>9.05</v>
      </c>
      <c r="K363" t="s">
        <v>124</v>
      </c>
    </row>
    <row r="364" spans="1:11">
      <c r="A364" t="str">
        <f>"000922"</f>
        <v>000922</v>
      </c>
      <c r="B364" t="s">
        <v>551</v>
      </c>
      <c r="C364">
        <v>82.93</v>
      </c>
      <c r="D364">
        <v>96.75</v>
      </c>
      <c r="E364">
        <v>45.51</v>
      </c>
      <c r="F364">
        <v>6.95</v>
      </c>
      <c r="G364">
        <v>5.87</v>
      </c>
      <c r="H364">
        <v>33308</v>
      </c>
      <c r="I364">
        <v>2.16</v>
      </c>
      <c r="J364">
        <v>37.57</v>
      </c>
      <c r="K364" t="s">
        <v>552</v>
      </c>
    </row>
    <row r="365" spans="1:11">
      <c r="A365" t="str">
        <f>"000923"</f>
        <v>000923</v>
      </c>
      <c r="B365" t="s">
        <v>553</v>
      </c>
      <c r="C365">
        <v>150.51</v>
      </c>
      <c r="D365">
        <v>181.86</v>
      </c>
      <c r="E365">
        <v>102.68</v>
      </c>
      <c r="F365">
        <v>6.53</v>
      </c>
      <c r="G365">
        <v>6.28</v>
      </c>
      <c r="H365">
        <v>28320</v>
      </c>
      <c r="I365">
        <v>1.52</v>
      </c>
      <c r="J365">
        <v>21.82</v>
      </c>
      <c r="K365" t="s">
        <v>319</v>
      </c>
    </row>
    <row r="366" spans="1:11">
      <c r="A366" t="str">
        <f>"000925"</f>
        <v>000925</v>
      </c>
      <c r="B366" t="s">
        <v>554</v>
      </c>
      <c r="C366">
        <v>61.4</v>
      </c>
      <c r="D366">
        <v>92.5</v>
      </c>
      <c r="E366">
        <v>33.03</v>
      </c>
      <c r="F366">
        <v>6.76</v>
      </c>
      <c r="G366">
        <v>6.73</v>
      </c>
      <c r="H366">
        <v>48620</v>
      </c>
      <c r="I366">
        <v>1.87</v>
      </c>
      <c r="J366" t="s">
        <v>14</v>
      </c>
      <c r="K366" t="s">
        <v>22</v>
      </c>
    </row>
    <row r="367" spans="1:11">
      <c r="A367" t="str">
        <f>"000926"</f>
        <v>000926</v>
      </c>
      <c r="B367" t="s">
        <v>555</v>
      </c>
      <c r="C367">
        <v>35.87</v>
      </c>
      <c r="D367">
        <v>278.63</v>
      </c>
      <c r="E367">
        <v>86.27</v>
      </c>
      <c r="F367">
        <v>15.93</v>
      </c>
      <c r="G367">
        <v>15.73</v>
      </c>
      <c r="H367">
        <v>42200</v>
      </c>
      <c r="I367">
        <v>0.42</v>
      </c>
      <c r="J367" t="s">
        <v>14</v>
      </c>
      <c r="K367" t="s">
        <v>15</v>
      </c>
    </row>
    <row r="368" spans="1:11">
      <c r="A368" t="str">
        <f>"000927"</f>
        <v>000927</v>
      </c>
      <c r="B368" t="s">
        <v>556</v>
      </c>
      <c r="C368">
        <v>159.73</v>
      </c>
      <c r="D368">
        <v>202.46</v>
      </c>
      <c r="E368">
        <v>96.19</v>
      </c>
      <c r="F368">
        <v>60.5</v>
      </c>
      <c r="G368">
        <v>60.5</v>
      </c>
      <c r="H368">
        <v>59952</v>
      </c>
      <c r="I368">
        <v>1.66</v>
      </c>
      <c r="J368">
        <v>26.47</v>
      </c>
      <c r="K368" t="s">
        <v>536</v>
      </c>
    </row>
    <row r="369" spans="1:11">
      <c r="A369" t="str">
        <f>"000928"</f>
        <v>000928</v>
      </c>
      <c r="B369" t="s">
        <v>557</v>
      </c>
      <c r="C369">
        <v>93.39</v>
      </c>
      <c r="D369">
        <v>258.33</v>
      </c>
      <c r="E369">
        <v>84.48</v>
      </c>
      <c r="F369">
        <v>14.35</v>
      </c>
      <c r="G369">
        <v>14.35</v>
      </c>
      <c r="H369">
        <v>54276</v>
      </c>
      <c r="I369">
        <v>1.11</v>
      </c>
      <c r="J369">
        <v>12.6</v>
      </c>
      <c r="K369" t="s">
        <v>86</v>
      </c>
    </row>
    <row r="370" spans="1:11">
      <c r="A370" t="str">
        <f>"000929"</f>
        <v>000929</v>
      </c>
      <c r="B370" t="s">
        <v>558</v>
      </c>
      <c r="C370">
        <v>17.74</v>
      </c>
      <c r="D370">
        <v>11.19</v>
      </c>
      <c r="E370">
        <v>4.67</v>
      </c>
      <c r="F370">
        <v>1.86</v>
      </c>
      <c r="G370">
        <v>1.86</v>
      </c>
      <c r="H370">
        <v>11280</v>
      </c>
      <c r="I370">
        <v>3.8</v>
      </c>
      <c r="J370">
        <v>121.75</v>
      </c>
      <c r="K370" t="s">
        <v>395</v>
      </c>
    </row>
    <row r="371" spans="1:11">
      <c r="A371" t="str">
        <f>"000930"</f>
        <v>000930</v>
      </c>
      <c r="B371" t="s">
        <v>559</v>
      </c>
      <c r="C371">
        <v>109.71</v>
      </c>
      <c r="D371">
        <v>171.84</v>
      </c>
      <c r="E371">
        <v>106.63</v>
      </c>
      <c r="F371">
        <v>18.56</v>
      </c>
      <c r="G371">
        <v>18.56</v>
      </c>
      <c r="H371">
        <v>100439</v>
      </c>
      <c r="I371">
        <v>1.03</v>
      </c>
      <c r="J371">
        <v>103.92</v>
      </c>
      <c r="K371" t="s">
        <v>560</v>
      </c>
    </row>
    <row r="372" spans="1:11">
      <c r="A372" t="str">
        <f>"000931"</f>
        <v>000931</v>
      </c>
      <c r="B372" t="s">
        <v>561</v>
      </c>
      <c r="C372">
        <v>39.28</v>
      </c>
      <c r="D372">
        <v>38.16</v>
      </c>
      <c r="E372">
        <v>16.38</v>
      </c>
      <c r="F372">
        <v>7.53</v>
      </c>
      <c r="G372">
        <v>7.51</v>
      </c>
      <c r="H372">
        <v>68039</v>
      </c>
      <c r="I372">
        <v>2.4</v>
      </c>
      <c r="J372">
        <v>59.69</v>
      </c>
      <c r="K372" t="s">
        <v>109</v>
      </c>
    </row>
    <row r="373" spans="1:11">
      <c r="A373" t="str">
        <f>"000932"</f>
        <v>000932</v>
      </c>
      <c r="B373" t="s">
        <v>562</v>
      </c>
      <c r="C373">
        <v>388.95</v>
      </c>
      <c r="D373">
        <v>1539.67</v>
      </c>
      <c r="E373">
        <v>554.74</v>
      </c>
      <c r="F373">
        <v>69.09</v>
      </c>
      <c r="G373">
        <v>69.09</v>
      </c>
      <c r="H373">
        <v>84185</v>
      </c>
      <c r="I373">
        <v>0.7</v>
      </c>
      <c r="J373">
        <v>11.62</v>
      </c>
      <c r="K373" t="s">
        <v>366</v>
      </c>
    </row>
    <row r="374" spans="1:11">
      <c r="A374" t="str">
        <f>"000933"</f>
        <v>000933</v>
      </c>
      <c r="B374" t="s">
        <v>563</v>
      </c>
      <c r="C374">
        <v>684.37</v>
      </c>
      <c r="D374">
        <v>577.43</v>
      </c>
      <c r="E374">
        <v>239.61</v>
      </c>
      <c r="F374">
        <v>22.49</v>
      </c>
      <c r="G374">
        <v>22.48</v>
      </c>
      <c r="H374">
        <v>63200</v>
      </c>
      <c r="I374">
        <v>2.86</v>
      </c>
      <c r="J374">
        <v>14.72</v>
      </c>
      <c r="K374" t="s">
        <v>288</v>
      </c>
    </row>
    <row r="375" spans="1:11">
      <c r="A375" t="str">
        <f>"000935"</f>
        <v>000935</v>
      </c>
      <c r="B375" t="s">
        <v>564</v>
      </c>
      <c r="C375">
        <v>209.87</v>
      </c>
      <c r="D375">
        <v>92.97</v>
      </c>
      <c r="E375">
        <v>77.69</v>
      </c>
      <c r="F375">
        <v>7.63</v>
      </c>
      <c r="G375">
        <v>7.63</v>
      </c>
      <c r="H375">
        <v>29200</v>
      </c>
      <c r="I375">
        <v>2.7</v>
      </c>
      <c r="J375">
        <v>53.62</v>
      </c>
      <c r="K375" t="s">
        <v>129</v>
      </c>
    </row>
    <row r="376" spans="1:11">
      <c r="A376" t="str">
        <f>"000936"</f>
        <v>000936</v>
      </c>
      <c r="B376" t="s">
        <v>565</v>
      </c>
      <c r="C376">
        <v>77.34</v>
      </c>
      <c r="D376">
        <v>71.76</v>
      </c>
      <c r="E376">
        <v>53.54</v>
      </c>
      <c r="F376">
        <v>8.86</v>
      </c>
      <c r="G376">
        <v>8.86</v>
      </c>
      <c r="H376">
        <v>66174</v>
      </c>
      <c r="I376">
        <v>1.44</v>
      </c>
      <c r="J376">
        <v>17.61</v>
      </c>
      <c r="K376" t="s">
        <v>122</v>
      </c>
    </row>
    <row r="377" spans="1:11">
      <c r="A377" t="str">
        <f>"000937"</f>
        <v>000937</v>
      </c>
      <c r="B377" t="s">
        <v>566</v>
      </c>
      <c r="C377">
        <v>186.78</v>
      </c>
      <c r="D377">
        <v>536.72</v>
      </c>
      <c r="E377">
        <v>190.6</v>
      </c>
      <c r="F377">
        <v>35.34</v>
      </c>
      <c r="G377">
        <v>34.33</v>
      </c>
      <c r="H377">
        <v>80793</v>
      </c>
      <c r="I377">
        <v>1.01</v>
      </c>
      <c r="J377">
        <v>35.41</v>
      </c>
      <c r="K377" t="s">
        <v>567</v>
      </c>
    </row>
    <row r="378" spans="1:11">
      <c r="A378" t="str">
        <f>"000938"</f>
        <v>000938</v>
      </c>
      <c r="B378" t="s">
        <v>568</v>
      </c>
      <c r="C378">
        <v>774.51</v>
      </c>
      <c r="D378">
        <v>936.38</v>
      </c>
      <c r="E378">
        <v>144.69</v>
      </c>
      <c r="F378">
        <v>28.6</v>
      </c>
      <c r="G378">
        <v>28.6</v>
      </c>
      <c r="H378">
        <v>290000</v>
      </c>
      <c r="I378">
        <v>5.35</v>
      </c>
      <c r="J378">
        <v>41.38</v>
      </c>
      <c r="K378" t="s">
        <v>88</v>
      </c>
    </row>
    <row r="379" spans="1:11">
      <c r="A379" t="str">
        <f>"000948"</f>
        <v>000948</v>
      </c>
      <c r="B379" t="s">
        <v>569</v>
      </c>
      <c r="C379">
        <v>73.97</v>
      </c>
      <c r="D379">
        <v>82.1</v>
      </c>
      <c r="E379">
        <v>26.85</v>
      </c>
      <c r="F379">
        <v>3.9</v>
      </c>
      <c r="G379">
        <v>3.89</v>
      </c>
      <c r="H379">
        <v>59916</v>
      </c>
      <c r="I379">
        <v>2.76</v>
      </c>
      <c r="J379" t="s">
        <v>14</v>
      </c>
      <c r="K379" t="s">
        <v>117</v>
      </c>
    </row>
    <row r="380" spans="1:11">
      <c r="A380" t="str">
        <f>"000949"</f>
        <v>000949</v>
      </c>
      <c r="B380" t="s">
        <v>570</v>
      </c>
      <c r="C380">
        <v>104.71</v>
      </c>
      <c r="D380">
        <v>133.64</v>
      </c>
      <c r="E380">
        <v>66.27</v>
      </c>
      <c r="F380">
        <v>17</v>
      </c>
      <c r="G380">
        <v>17</v>
      </c>
      <c r="H380">
        <v>63951</v>
      </c>
      <c r="I380">
        <v>1.58</v>
      </c>
      <c r="J380">
        <v>58.97</v>
      </c>
      <c r="K380" t="s">
        <v>571</v>
      </c>
    </row>
    <row r="381" spans="1:11">
      <c r="A381" t="str">
        <f>"000950"</f>
        <v>000950</v>
      </c>
      <c r="B381" t="s">
        <v>572</v>
      </c>
      <c r="C381">
        <v>112.85</v>
      </c>
      <c r="D381">
        <v>677.12</v>
      </c>
      <c r="E381">
        <v>115.56</v>
      </c>
      <c r="F381">
        <v>17.28</v>
      </c>
      <c r="G381">
        <v>17.28</v>
      </c>
      <c r="H381">
        <v>42036</v>
      </c>
      <c r="I381">
        <v>0.98</v>
      </c>
      <c r="J381">
        <v>22.04</v>
      </c>
      <c r="K381" t="s">
        <v>48</v>
      </c>
    </row>
    <row r="382" spans="1:11">
      <c r="A382" t="str">
        <f>"000951"</f>
        <v>000951</v>
      </c>
      <c r="B382" t="s">
        <v>573</v>
      </c>
      <c r="C382">
        <v>195.38</v>
      </c>
      <c r="D382">
        <v>479.01</v>
      </c>
      <c r="E382">
        <v>155.46</v>
      </c>
      <c r="F382">
        <v>11.75</v>
      </c>
      <c r="G382">
        <v>11.75</v>
      </c>
      <c r="H382">
        <v>43206</v>
      </c>
      <c r="I382">
        <v>1.26</v>
      </c>
      <c r="J382">
        <v>13.95</v>
      </c>
      <c r="K382" t="s">
        <v>226</v>
      </c>
    </row>
    <row r="383" spans="1:11">
      <c r="A383" t="str">
        <f>"000952"</f>
        <v>000952</v>
      </c>
      <c r="B383" t="s">
        <v>574</v>
      </c>
      <c r="C383">
        <v>28.41</v>
      </c>
      <c r="D383">
        <v>25.8</v>
      </c>
      <c r="E383">
        <v>9.65</v>
      </c>
      <c r="F383">
        <v>3.47</v>
      </c>
      <c r="G383">
        <v>3.44</v>
      </c>
      <c r="H383">
        <v>38835</v>
      </c>
      <c r="I383">
        <v>2.97</v>
      </c>
      <c r="J383" t="s">
        <v>14</v>
      </c>
      <c r="K383" t="s">
        <v>404</v>
      </c>
    </row>
    <row r="384" spans="1:11">
      <c r="A384" t="str">
        <f>"000953"</f>
        <v>000953</v>
      </c>
      <c r="B384" t="s">
        <v>575</v>
      </c>
      <c r="C384">
        <v>27.9</v>
      </c>
      <c r="D384">
        <v>2.72</v>
      </c>
      <c r="E384">
        <v>1.54</v>
      </c>
      <c r="F384">
        <v>3.66</v>
      </c>
      <c r="G384">
        <v>3.66</v>
      </c>
      <c r="H384">
        <v>35836</v>
      </c>
      <c r="I384">
        <v>18.1</v>
      </c>
      <c r="J384">
        <v>263.75</v>
      </c>
      <c r="K384" t="s">
        <v>404</v>
      </c>
    </row>
    <row r="385" spans="1:11">
      <c r="A385" t="str">
        <f>"000955"</f>
        <v>000955</v>
      </c>
      <c r="B385" t="s">
        <v>576</v>
      </c>
      <c r="C385">
        <v>30.72</v>
      </c>
      <c r="D385">
        <v>8.58</v>
      </c>
      <c r="E385">
        <v>6.48</v>
      </c>
      <c r="F385">
        <v>5.38</v>
      </c>
      <c r="G385">
        <v>5.38</v>
      </c>
      <c r="H385">
        <v>49595</v>
      </c>
      <c r="I385">
        <v>4.74</v>
      </c>
      <c r="J385">
        <v>10015.97</v>
      </c>
      <c r="K385" t="s">
        <v>577</v>
      </c>
    </row>
    <row r="386" spans="1:11">
      <c r="A386" t="str">
        <f>"000957"</f>
        <v>000957</v>
      </c>
      <c r="B386" t="s">
        <v>578</v>
      </c>
      <c r="C386">
        <v>66.7</v>
      </c>
      <c r="D386">
        <v>94.63</v>
      </c>
      <c r="E386">
        <v>31.19</v>
      </c>
      <c r="F386">
        <v>5.93</v>
      </c>
      <c r="G386">
        <v>5.93</v>
      </c>
      <c r="H386">
        <v>70488</v>
      </c>
      <c r="I386">
        <v>2.14</v>
      </c>
      <c r="J386">
        <v>18.07</v>
      </c>
      <c r="K386" t="s">
        <v>501</v>
      </c>
    </row>
    <row r="387" spans="1:11">
      <c r="A387" t="str">
        <f>"000958"</f>
        <v>000958</v>
      </c>
      <c r="B387" t="s">
        <v>579</v>
      </c>
      <c r="C387">
        <v>378.99</v>
      </c>
      <c r="D387">
        <v>510.04</v>
      </c>
      <c r="E387">
        <v>202.83</v>
      </c>
      <c r="F387">
        <v>173.73</v>
      </c>
      <c r="G387">
        <v>53.83</v>
      </c>
      <c r="H387">
        <v>111163</v>
      </c>
      <c r="I387">
        <v>1.87</v>
      </c>
      <c r="J387">
        <v>148.78</v>
      </c>
      <c r="K387" t="s">
        <v>292</v>
      </c>
    </row>
    <row r="388" spans="1:11">
      <c r="A388" t="str">
        <f>"000959"</f>
        <v>000959</v>
      </c>
      <c r="B388" t="s">
        <v>580</v>
      </c>
      <c r="C388">
        <v>393.44</v>
      </c>
      <c r="D388">
        <v>1295.08</v>
      </c>
      <c r="E388">
        <v>504.22</v>
      </c>
      <c r="F388">
        <v>77.55</v>
      </c>
      <c r="G388">
        <v>75.23</v>
      </c>
      <c r="H388">
        <v>91793</v>
      </c>
      <c r="I388">
        <v>0.8</v>
      </c>
      <c r="J388">
        <v>31.9</v>
      </c>
      <c r="K388" t="s">
        <v>366</v>
      </c>
    </row>
    <row r="389" spans="1:11">
      <c r="A389" t="str">
        <f>"000960"</f>
        <v>000960</v>
      </c>
      <c r="B389" t="s">
        <v>581</v>
      </c>
      <c r="C389">
        <v>658.32</v>
      </c>
      <c r="D389">
        <v>366.99</v>
      </c>
      <c r="E389">
        <v>219.42</v>
      </c>
      <c r="F389">
        <v>16.46</v>
      </c>
      <c r="G389">
        <v>16.46</v>
      </c>
      <c r="H389">
        <v>84072</v>
      </c>
      <c r="I389">
        <v>3.3</v>
      </c>
      <c r="J389">
        <v>28.29</v>
      </c>
      <c r="K389" t="s">
        <v>301</v>
      </c>
    </row>
    <row r="390" spans="1:11">
      <c r="A390" t="str">
        <f>"000962"</f>
        <v>000962</v>
      </c>
      <c r="B390" t="s">
        <v>582</v>
      </c>
      <c r="C390">
        <v>185.16</v>
      </c>
      <c r="D390">
        <v>35.81</v>
      </c>
      <c r="E390">
        <v>27.52</v>
      </c>
      <c r="F390">
        <v>5.05</v>
      </c>
      <c r="G390">
        <v>5.02</v>
      </c>
      <c r="H390">
        <v>57061</v>
      </c>
      <c r="I390">
        <v>6.77</v>
      </c>
      <c r="J390">
        <v>67.1</v>
      </c>
      <c r="K390" t="s">
        <v>301</v>
      </c>
    </row>
    <row r="391" spans="1:11">
      <c r="A391" t="str">
        <f>"000963"</f>
        <v>000963</v>
      </c>
      <c r="B391" t="s">
        <v>583</v>
      </c>
      <c r="C391">
        <v>685.57</v>
      </c>
      <c r="D391">
        <v>399.29</v>
      </c>
      <c r="E391">
        <v>241.33</v>
      </c>
      <c r="F391">
        <v>17.54</v>
      </c>
      <c r="G391">
        <v>17.53</v>
      </c>
      <c r="H391">
        <v>68793</v>
      </c>
      <c r="I391">
        <v>2.84</v>
      </c>
      <c r="J391">
        <v>18.72</v>
      </c>
      <c r="K391" t="s">
        <v>109</v>
      </c>
    </row>
    <row r="392" spans="1:11">
      <c r="A392" t="str">
        <f>"000965"</f>
        <v>000965</v>
      </c>
      <c r="B392" t="s">
        <v>584</v>
      </c>
      <c r="C392">
        <v>44.39</v>
      </c>
      <c r="D392">
        <v>154.94</v>
      </c>
      <c r="E392">
        <v>54.94</v>
      </c>
      <c r="F392">
        <v>11.1</v>
      </c>
      <c r="G392">
        <v>11.1</v>
      </c>
      <c r="H392">
        <v>54637</v>
      </c>
      <c r="I392">
        <v>0.81</v>
      </c>
      <c r="J392">
        <v>51.53</v>
      </c>
      <c r="K392" t="s">
        <v>15</v>
      </c>
    </row>
    <row r="393" spans="1:11">
      <c r="A393" t="str">
        <f>"000966"</f>
        <v>000966</v>
      </c>
      <c r="B393" t="s">
        <v>585</v>
      </c>
      <c r="C393">
        <v>143.83</v>
      </c>
      <c r="D393">
        <v>407.3</v>
      </c>
      <c r="E393">
        <v>138</v>
      </c>
      <c r="F393">
        <v>34.81</v>
      </c>
      <c r="G393">
        <v>32.62</v>
      </c>
      <c r="H393">
        <v>99284</v>
      </c>
      <c r="I393">
        <v>1.11</v>
      </c>
      <c r="J393">
        <v>33.74</v>
      </c>
      <c r="K393" t="s">
        <v>46</v>
      </c>
    </row>
    <row r="394" spans="1:11">
      <c r="A394" t="str">
        <f>"000967"</f>
        <v>000967</v>
      </c>
      <c r="B394" t="s">
        <v>586</v>
      </c>
      <c r="C394">
        <v>216.2</v>
      </c>
      <c r="D394">
        <v>333.47</v>
      </c>
      <c r="E394">
        <v>173.45</v>
      </c>
      <c r="F394">
        <v>31.67</v>
      </c>
      <c r="G394">
        <v>31.65</v>
      </c>
      <c r="H394">
        <v>29029</v>
      </c>
      <c r="I394">
        <v>1.27</v>
      </c>
      <c r="J394">
        <v>34.42</v>
      </c>
      <c r="K394" t="s">
        <v>228</v>
      </c>
    </row>
    <row r="395" spans="1:11">
      <c r="A395" t="str">
        <f>"000968"</f>
        <v>000968</v>
      </c>
      <c r="B395" t="s">
        <v>587</v>
      </c>
      <c r="C395">
        <v>68.6</v>
      </c>
      <c r="D395">
        <v>111.31</v>
      </c>
      <c r="E395">
        <v>61.79</v>
      </c>
      <c r="F395">
        <v>9.68</v>
      </c>
      <c r="G395">
        <v>9.68</v>
      </c>
      <c r="H395">
        <v>43174</v>
      </c>
      <c r="I395">
        <v>1.11</v>
      </c>
      <c r="J395">
        <v>19.2</v>
      </c>
      <c r="K395" t="s">
        <v>588</v>
      </c>
    </row>
    <row r="396" spans="1:11">
      <c r="A396" t="str">
        <f>"000969"</f>
        <v>000969</v>
      </c>
      <c r="B396" t="s">
        <v>589</v>
      </c>
      <c r="C396">
        <v>302.58</v>
      </c>
      <c r="D396">
        <v>115.22</v>
      </c>
      <c r="E396">
        <v>56.6</v>
      </c>
      <c r="F396">
        <v>10.51</v>
      </c>
      <c r="G396">
        <v>10.34</v>
      </c>
      <c r="H396">
        <v>78380</v>
      </c>
      <c r="I396">
        <v>5.43</v>
      </c>
      <c r="J396">
        <v>81.9</v>
      </c>
      <c r="K396" t="s">
        <v>307</v>
      </c>
    </row>
    <row r="397" spans="1:11">
      <c r="A397" t="str">
        <f>"000970"</f>
        <v>000970</v>
      </c>
      <c r="B397" t="s">
        <v>590</v>
      </c>
      <c r="C397">
        <v>166.92</v>
      </c>
      <c r="D397">
        <v>105.3</v>
      </c>
      <c r="E397">
        <v>65.09</v>
      </c>
      <c r="F397">
        <v>12.16</v>
      </c>
      <c r="G397">
        <v>12.16</v>
      </c>
      <c r="H397">
        <v>115779</v>
      </c>
      <c r="I397">
        <v>2.56</v>
      </c>
      <c r="J397">
        <v>138.59</v>
      </c>
      <c r="K397" t="s">
        <v>442</v>
      </c>
    </row>
    <row r="398" spans="1:11">
      <c r="A398" t="str">
        <f>"000972"</f>
        <v>000972</v>
      </c>
      <c r="B398" t="s">
        <v>591</v>
      </c>
      <c r="C398">
        <v>30.85</v>
      </c>
      <c r="D398">
        <v>12.48</v>
      </c>
      <c r="E398">
        <v>-1.71</v>
      </c>
      <c r="F398">
        <v>7.71</v>
      </c>
      <c r="G398">
        <v>7.71</v>
      </c>
      <c r="H398">
        <v>25828</v>
      </c>
      <c r="I398">
        <v>-18.02</v>
      </c>
      <c r="J398" t="s">
        <v>14</v>
      </c>
      <c r="K398" t="s">
        <v>592</v>
      </c>
    </row>
    <row r="399" spans="1:11">
      <c r="A399" t="str">
        <f>"000973"</f>
        <v>000973</v>
      </c>
      <c r="B399" t="s">
        <v>593</v>
      </c>
      <c r="C399">
        <v>125.28</v>
      </c>
      <c r="D399">
        <v>50.42</v>
      </c>
      <c r="E399">
        <v>29.09</v>
      </c>
      <c r="F399">
        <v>9.67</v>
      </c>
      <c r="G399">
        <v>9.67</v>
      </c>
      <c r="H399">
        <v>69757</v>
      </c>
      <c r="I399">
        <v>4.31</v>
      </c>
      <c r="J399">
        <v>111.97</v>
      </c>
      <c r="K399" t="s">
        <v>496</v>
      </c>
    </row>
    <row r="400" spans="1:11">
      <c r="A400" t="str">
        <f>"000975"</f>
        <v>000975</v>
      </c>
      <c r="B400" t="s">
        <v>594</v>
      </c>
      <c r="C400">
        <v>706.16</v>
      </c>
      <c r="D400">
        <v>202.94</v>
      </c>
      <c r="E400">
        <v>144.24</v>
      </c>
      <c r="F400">
        <v>27.77</v>
      </c>
      <c r="G400">
        <v>25.27</v>
      </c>
      <c r="H400">
        <v>43739</v>
      </c>
      <c r="I400">
        <v>5.38</v>
      </c>
      <c r="J400">
        <v>23.66</v>
      </c>
      <c r="K400" t="s">
        <v>173</v>
      </c>
    </row>
    <row r="401" spans="1:11">
      <c r="A401" t="str">
        <f>"000977"</f>
        <v>000977</v>
      </c>
      <c r="B401" t="s">
        <v>595</v>
      </c>
      <c r="C401">
        <v>1020.18</v>
      </c>
      <c r="D401">
        <v>1093.33</v>
      </c>
      <c r="E401">
        <v>210.67</v>
      </c>
      <c r="F401">
        <v>14.68</v>
      </c>
      <c r="G401">
        <v>14.67</v>
      </c>
      <c r="H401">
        <v>280000</v>
      </c>
      <c r="I401">
        <v>4.86</v>
      </c>
      <c r="J401">
        <v>51.68</v>
      </c>
      <c r="K401" t="s">
        <v>88</v>
      </c>
    </row>
    <row r="402" spans="1:11">
      <c r="A402" t="str">
        <f>"000978"</f>
        <v>000978</v>
      </c>
      <c r="B402" t="s">
        <v>596</v>
      </c>
      <c r="C402">
        <v>34.17</v>
      </c>
      <c r="D402">
        <v>22.77</v>
      </c>
      <c r="E402">
        <v>11.08</v>
      </c>
      <c r="F402">
        <v>4.68</v>
      </c>
      <c r="G402">
        <v>4.68</v>
      </c>
      <c r="H402">
        <v>31847</v>
      </c>
      <c r="I402">
        <v>3.09</v>
      </c>
      <c r="J402">
        <v>71.66</v>
      </c>
      <c r="K402" t="s">
        <v>163</v>
      </c>
    </row>
    <row r="403" spans="1:11">
      <c r="A403" t="str">
        <f>"000980"</f>
        <v>000980</v>
      </c>
      <c r="B403" t="s">
        <v>597</v>
      </c>
      <c r="C403">
        <v>175.09</v>
      </c>
      <c r="D403">
        <v>33.7</v>
      </c>
      <c r="E403">
        <v>0.13</v>
      </c>
      <c r="F403">
        <v>50.43</v>
      </c>
      <c r="G403">
        <v>50.31</v>
      </c>
      <c r="H403">
        <v>121223</v>
      </c>
      <c r="I403">
        <v>1740</v>
      </c>
      <c r="J403" t="s">
        <v>14</v>
      </c>
      <c r="K403" t="s">
        <v>517</v>
      </c>
    </row>
    <row r="404" spans="1:11">
      <c r="A404" t="str">
        <f>"000981"</f>
        <v>000981</v>
      </c>
      <c r="B404" t="s">
        <v>598</v>
      </c>
      <c r="C404">
        <v>539.41</v>
      </c>
      <c r="D404">
        <v>88.53</v>
      </c>
      <c r="E404">
        <v>16.83</v>
      </c>
      <c r="F404">
        <v>99.97</v>
      </c>
      <c r="G404">
        <v>95.13</v>
      </c>
      <c r="H404">
        <v>587037</v>
      </c>
      <c r="I404">
        <v>33.75</v>
      </c>
      <c r="J404">
        <v>97.33</v>
      </c>
      <c r="K404" t="s">
        <v>51</v>
      </c>
    </row>
    <row r="405" spans="1:11">
      <c r="A405" t="str">
        <f>"000983"</f>
        <v>000983</v>
      </c>
      <c r="B405" t="s">
        <v>599</v>
      </c>
      <c r="C405">
        <v>320.64</v>
      </c>
      <c r="D405">
        <v>1093.91</v>
      </c>
      <c r="E405">
        <v>367.02</v>
      </c>
      <c r="F405">
        <v>56.77</v>
      </c>
      <c r="G405">
        <v>46.4</v>
      </c>
      <c r="H405">
        <v>165418</v>
      </c>
      <c r="I405">
        <v>1.07</v>
      </c>
      <c r="J405">
        <v>20.52</v>
      </c>
      <c r="K405" t="s">
        <v>567</v>
      </c>
    </row>
    <row r="406" spans="1:11">
      <c r="A406" t="str">
        <f>"000985"</f>
        <v>000985</v>
      </c>
      <c r="B406" t="s">
        <v>600</v>
      </c>
      <c r="C406">
        <v>26.58</v>
      </c>
      <c r="D406">
        <v>7.29</v>
      </c>
      <c r="E406">
        <v>6.15</v>
      </c>
      <c r="F406">
        <v>1.3</v>
      </c>
      <c r="G406">
        <v>1.3</v>
      </c>
      <c r="H406">
        <v>12622</v>
      </c>
      <c r="I406">
        <v>4.32</v>
      </c>
      <c r="J406">
        <v>150.71</v>
      </c>
      <c r="K406" t="s">
        <v>601</v>
      </c>
    </row>
    <row r="407" spans="1:11">
      <c r="A407" t="str">
        <f>"000987"</f>
        <v>000987</v>
      </c>
      <c r="B407" t="s">
        <v>602</v>
      </c>
      <c r="C407">
        <v>512.47</v>
      </c>
      <c r="D407">
        <v>2107.2</v>
      </c>
      <c r="E407">
        <v>328.51</v>
      </c>
      <c r="F407">
        <v>50.17</v>
      </c>
      <c r="G407">
        <v>50.14</v>
      </c>
      <c r="H407">
        <v>70643</v>
      </c>
      <c r="I407">
        <v>1.62</v>
      </c>
      <c r="J407">
        <v>12.78</v>
      </c>
      <c r="K407" t="s">
        <v>292</v>
      </c>
    </row>
    <row r="408" spans="1:11">
      <c r="A408" t="str">
        <f>"000988"</f>
        <v>000988</v>
      </c>
      <c r="B408" t="s">
        <v>603</v>
      </c>
      <c r="C408">
        <v>827</v>
      </c>
      <c r="D408">
        <v>225.52</v>
      </c>
      <c r="E408">
        <v>109.05</v>
      </c>
      <c r="F408">
        <v>10.06</v>
      </c>
      <c r="G408">
        <v>10.05</v>
      </c>
      <c r="H408">
        <v>189376</v>
      </c>
      <c r="I408">
        <v>7.59</v>
      </c>
      <c r="J408">
        <v>46.97</v>
      </c>
      <c r="K408" t="s">
        <v>604</v>
      </c>
    </row>
    <row r="409" spans="1:11">
      <c r="A409" t="str">
        <f>"000989"</f>
        <v>000989</v>
      </c>
      <c r="B409" t="s">
        <v>605</v>
      </c>
      <c r="C409">
        <v>63.38</v>
      </c>
      <c r="D409">
        <v>49.98</v>
      </c>
      <c r="E409">
        <v>36.51</v>
      </c>
      <c r="F409">
        <v>8.56</v>
      </c>
      <c r="G409">
        <v>6.94</v>
      </c>
      <c r="H409">
        <v>57358</v>
      </c>
      <c r="I409">
        <v>2.14</v>
      </c>
      <c r="J409">
        <v>38.68</v>
      </c>
      <c r="K409" t="s">
        <v>155</v>
      </c>
    </row>
    <row r="410" spans="1:11">
      <c r="A410" t="str">
        <f>"000990"</f>
        <v>000990</v>
      </c>
      <c r="B410" t="s">
        <v>606</v>
      </c>
      <c r="C410">
        <v>98.31</v>
      </c>
      <c r="D410">
        <v>275.22</v>
      </c>
      <c r="E410">
        <v>178.72</v>
      </c>
      <c r="F410">
        <v>12.15</v>
      </c>
      <c r="G410">
        <v>12.15</v>
      </c>
      <c r="H410">
        <v>41482</v>
      </c>
      <c r="I410">
        <v>0.55</v>
      </c>
      <c r="J410">
        <v>71.19</v>
      </c>
      <c r="K410" t="s">
        <v>479</v>
      </c>
    </row>
    <row r="411" spans="1:11">
      <c r="A411" t="str">
        <f>"000993"</f>
        <v>000993</v>
      </c>
      <c r="B411" t="s">
        <v>607</v>
      </c>
      <c r="C411">
        <v>56.11</v>
      </c>
      <c r="D411">
        <v>37.6</v>
      </c>
      <c r="E411">
        <v>26.64</v>
      </c>
      <c r="F411">
        <v>4.58</v>
      </c>
      <c r="G411">
        <v>4.4</v>
      </c>
      <c r="H411">
        <v>57485</v>
      </c>
      <c r="I411">
        <v>2.19</v>
      </c>
      <c r="J411">
        <v>28.93</v>
      </c>
      <c r="K411" t="s">
        <v>278</v>
      </c>
    </row>
    <row r="412" spans="1:11">
      <c r="A412" t="str">
        <f>"000995"</f>
        <v>000995</v>
      </c>
      <c r="B412" t="s">
        <v>608</v>
      </c>
      <c r="C412">
        <v>22.69</v>
      </c>
      <c r="D412">
        <v>4.86</v>
      </c>
      <c r="E412">
        <v>1.47</v>
      </c>
      <c r="F412">
        <v>1.77</v>
      </c>
      <c r="G412">
        <v>1.77</v>
      </c>
      <c r="H412">
        <v>37164</v>
      </c>
      <c r="I412">
        <v>15.39</v>
      </c>
      <c r="J412" t="s">
        <v>14</v>
      </c>
      <c r="K412" t="s">
        <v>251</v>
      </c>
    </row>
    <row r="413" spans="1:11">
      <c r="A413" t="str">
        <f>"000997"</f>
        <v>000997</v>
      </c>
      <c r="B413" t="s">
        <v>609</v>
      </c>
      <c r="C413">
        <v>306.66</v>
      </c>
      <c r="D413">
        <v>138.27</v>
      </c>
      <c r="E413">
        <v>71.86</v>
      </c>
      <c r="F413">
        <v>10.13</v>
      </c>
      <c r="G413">
        <v>10.07</v>
      </c>
      <c r="H413">
        <v>66311</v>
      </c>
      <c r="I413">
        <v>4.29</v>
      </c>
      <c r="J413">
        <v>25.19</v>
      </c>
      <c r="K413" t="s">
        <v>88</v>
      </c>
    </row>
    <row r="414" spans="1:11">
      <c r="A414" t="str">
        <f>"000998"</f>
        <v>000998</v>
      </c>
      <c r="B414" t="s">
        <v>610</v>
      </c>
      <c r="C414">
        <v>125.06</v>
      </c>
      <c r="D414">
        <v>254.79</v>
      </c>
      <c r="E414">
        <v>57.32</v>
      </c>
      <c r="F414">
        <v>14.69</v>
      </c>
      <c r="G414">
        <v>13.15</v>
      </c>
      <c r="H414">
        <v>138474</v>
      </c>
      <c r="I414">
        <v>2.44</v>
      </c>
      <c r="J414" t="s">
        <v>14</v>
      </c>
      <c r="K414" t="s">
        <v>373</v>
      </c>
    </row>
    <row r="415" spans="1:11">
      <c r="A415" t="str">
        <f>"000999"</f>
        <v>000999</v>
      </c>
      <c r="B415" t="s">
        <v>611</v>
      </c>
      <c r="C415">
        <v>478.19</v>
      </c>
      <c r="D415">
        <v>565.64</v>
      </c>
      <c r="E415">
        <v>211.16</v>
      </c>
      <c r="F415">
        <v>16.64</v>
      </c>
      <c r="G415">
        <v>16.63</v>
      </c>
      <c r="H415">
        <v>95303</v>
      </c>
      <c r="I415">
        <v>2.27</v>
      </c>
      <c r="J415">
        <v>15.26</v>
      </c>
      <c r="K415" t="s">
        <v>155</v>
      </c>
    </row>
    <row r="416" spans="1:11">
      <c r="A416" t="str">
        <f>"001201"</f>
        <v>001201</v>
      </c>
      <c r="B416" t="s">
        <v>612</v>
      </c>
      <c r="C416">
        <v>29.74</v>
      </c>
      <c r="D416">
        <v>62.07</v>
      </c>
      <c r="E416">
        <v>33.97</v>
      </c>
      <c r="F416">
        <v>2.58</v>
      </c>
      <c r="G416">
        <v>2.03</v>
      </c>
      <c r="H416">
        <v>17738</v>
      </c>
      <c r="I416">
        <v>1.11</v>
      </c>
      <c r="J416">
        <v>246.83</v>
      </c>
      <c r="K416" t="s">
        <v>68</v>
      </c>
    </row>
    <row r="417" spans="1:11">
      <c r="A417" t="str">
        <f>"001202"</f>
        <v>001202</v>
      </c>
      <c r="B417" t="s">
        <v>613</v>
      </c>
      <c r="C417">
        <v>22.06</v>
      </c>
      <c r="D417">
        <v>18.67</v>
      </c>
      <c r="E417">
        <v>8.36</v>
      </c>
      <c r="F417">
        <v>1.67</v>
      </c>
      <c r="G417">
        <v>1.17</v>
      </c>
      <c r="H417">
        <v>13068</v>
      </c>
      <c r="I417">
        <v>3.76</v>
      </c>
      <c r="J417">
        <v>39.84</v>
      </c>
      <c r="K417" t="s">
        <v>536</v>
      </c>
    </row>
    <row r="418" spans="1:11">
      <c r="A418" t="str">
        <f>"001203"</f>
        <v>001203</v>
      </c>
      <c r="B418" t="s">
        <v>614</v>
      </c>
      <c r="C418">
        <v>382.36</v>
      </c>
      <c r="D418">
        <v>170.45</v>
      </c>
      <c r="E418">
        <v>66.37</v>
      </c>
      <c r="F418">
        <v>15.33</v>
      </c>
      <c r="G418">
        <v>13.15</v>
      </c>
      <c r="H418">
        <v>45429</v>
      </c>
      <c r="I418">
        <v>6.84</v>
      </c>
      <c r="J418">
        <v>56.28</v>
      </c>
      <c r="K418" t="s">
        <v>319</v>
      </c>
    </row>
    <row r="419" spans="1:11">
      <c r="A419" t="str">
        <f>"001205"</f>
        <v>001205</v>
      </c>
      <c r="B419" t="s">
        <v>615</v>
      </c>
      <c r="C419">
        <v>26.01</v>
      </c>
      <c r="D419">
        <v>45.66</v>
      </c>
      <c r="E419">
        <v>21.2</v>
      </c>
      <c r="F419">
        <v>1.88</v>
      </c>
      <c r="G419">
        <v>1.6</v>
      </c>
      <c r="H419">
        <v>13486</v>
      </c>
      <c r="I419">
        <v>1.47</v>
      </c>
      <c r="J419">
        <v>31.39</v>
      </c>
      <c r="K419" t="s">
        <v>188</v>
      </c>
    </row>
    <row r="420" spans="1:11">
      <c r="A420" t="str">
        <f>"001206"</f>
        <v>001206</v>
      </c>
      <c r="B420" t="s">
        <v>616</v>
      </c>
      <c r="C420">
        <v>30.53</v>
      </c>
      <c r="D420">
        <v>22</v>
      </c>
      <c r="E420">
        <v>18.71</v>
      </c>
      <c r="F420">
        <v>1.85</v>
      </c>
      <c r="G420">
        <v>1.06</v>
      </c>
      <c r="H420">
        <v>17363</v>
      </c>
      <c r="I420">
        <v>2.84</v>
      </c>
      <c r="J420">
        <v>25.42</v>
      </c>
      <c r="K420" t="s">
        <v>617</v>
      </c>
    </row>
    <row r="421" spans="1:11">
      <c r="A421" t="str">
        <f>"001207"</f>
        <v>001207</v>
      </c>
      <c r="B421" t="s">
        <v>618</v>
      </c>
      <c r="C421">
        <v>48.17</v>
      </c>
      <c r="D421">
        <v>32.23</v>
      </c>
      <c r="E421">
        <v>23.55</v>
      </c>
      <c r="F421">
        <v>2.17</v>
      </c>
      <c r="G421">
        <v>1.97</v>
      </c>
      <c r="H421">
        <v>17310</v>
      </c>
      <c r="I421">
        <v>2.25</v>
      </c>
      <c r="J421">
        <v>17.22</v>
      </c>
      <c r="K421" t="s">
        <v>619</v>
      </c>
    </row>
    <row r="422" spans="1:11">
      <c r="A422" t="str">
        <f>"001208"</f>
        <v>001208</v>
      </c>
      <c r="B422" t="s">
        <v>620</v>
      </c>
      <c r="C422">
        <v>69.51</v>
      </c>
      <c r="D422">
        <v>61.21</v>
      </c>
      <c r="E422">
        <v>28.93</v>
      </c>
      <c r="F422">
        <v>6.38</v>
      </c>
      <c r="G422">
        <v>2.63</v>
      </c>
      <c r="H422">
        <v>48943</v>
      </c>
      <c r="I422">
        <v>4.87</v>
      </c>
      <c r="J422">
        <v>137.09</v>
      </c>
      <c r="K422" t="s">
        <v>383</v>
      </c>
    </row>
    <row r="423" spans="1:11">
      <c r="A423" t="str">
        <f>"001209"</f>
        <v>001209</v>
      </c>
      <c r="B423" t="s">
        <v>621</v>
      </c>
      <c r="C423">
        <v>21.84</v>
      </c>
      <c r="D423">
        <v>19.55</v>
      </c>
      <c r="E423">
        <v>12.85</v>
      </c>
      <c r="F423">
        <v>1.32</v>
      </c>
      <c r="G423">
        <v>0.96</v>
      </c>
      <c r="H423">
        <v>16687</v>
      </c>
      <c r="I423">
        <v>2.33</v>
      </c>
      <c r="J423">
        <v>130.21</v>
      </c>
      <c r="K423" t="s">
        <v>622</v>
      </c>
    </row>
    <row r="424" spans="1:11">
      <c r="A424" t="str">
        <f>"001210"</f>
        <v>001210</v>
      </c>
      <c r="B424" t="s">
        <v>623</v>
      </c>
      <c r="C424">
        <v>20.34</v>
      </c>
      <c r="D424">
        <v>20.56</v>
      </c>
      <c r="E424">
        <v>12.97</v>
      </c>
      <c r="F424">
        <v>1.57</v>
      </c>
      <c r="G424">
        <v>0.95</v>
      </c>
      <c r="H424">
        <v>11556</v>
      </c>
      <c r="I424">
        <v>2.58</v>
      </c>
      <c r="J424">
        <v>27.95</v>
      </c>
      <c r="K424" t="s">
        <v>350</v>
      </c>
    </row>
    <row r="425" spans="1:11">
      <c r="A425" t="str">
        <f>"001211"</f>
        <v>001211</v>
      </c>
      <c r="B425" t="s">
        <v>624</v>
      </c>
      <c r="C425">
        <v>18.66</v>
      </c>
      <c r="D425">
        <v>18.56</v>
      </c>
      <c r="E425">
        <v>8.64</v>
      </c>
      <c r="F425">
        <v>0.72</v>
      </c>
      <c r="G425">
        <v>0.67</v>
      </c>
      <c r="H425">
        <v>8642</v>
      </c>
      <c r="I425">
        <v>2.32</v>
      </c>
      <c r="J425">
        <v>178.22</v>
      </c>
      <c r="K425" t="s">
        <v>625</v>
      </c>
    </row>
    <row r="426" spans="1:11">
      <c r="A426" t="str">
        <f>"001212"</f>
        <v>001212</v>
      </c>
      <c r="B426" t="s">
        <v>626</v>
      </c>
      <c r="C426">
        <v>84.14</v>
      </c>
      <c r="D426">
        <v>22.5</v>
      </c>
      <c r="E426">
        <v>17.84</v>
      </c>
      <c r="F426">
        <v>2.01</v>
      </c>
      <c r="G426">
        <v>1.74</v>
      </c>
      <c r="H426">
        <v>24349</v>
      </c>
      <c r="I426">
        <v>5.28</v>
      </c>
      <c r="J426">
        <v>1971.52</v>
      </c>
      <c r="K426" t="s">
        <v>73</v>
      </c>
    </row>
    <row r="427" spans="1:11">
      <c r="A427" t="str">
        <f>"001213"</f>
        <v>001213</v>
      </c>
      <c r="B427" t="s">
        <v>627</v>
      </c>
      <c r="C427">
        <v>182.22</v>
      </c>
      <c r="D427">
        <v>211.16</v>
      </c>
      <c r="E427">
        <v>191.75</v>
      </c>
      <c r="F427">
        <v>44.44</v>
      </c>
      <c r="G427">
        <v>44.44</v>
      </c>
      <c r="H427">
        <v>71690</v>
      </c>
      <c r="I427">
        <v>0.95</v>
      </c>
      <c r="J427">
        <v>28.91</v>
      </c>
      <c r="K427" t="s">
        <v>235</v>
      </c>
    </row>
    <row r="428" spans="1:11">
      <c r="A428" t="str">
        <f>"001215"</f>
        <v>001215</v>
      </c>
      <c r="B428" t="s">
        <v>628</v>
      </c>
      <c r="C428">
        <v>43.45</v>
      </c>
      <c r="D428">
        <v>24.31</v>
      </c>
      <c r="E428">
        <v>18.67</v>
      </c>
      <c r="F428">
        <v>0.97</v>
      </c>
      <c r="G428">
        <v>0.97</v>
      </c>
      <c r="H428">
        <v>9555</v>
      </c>
      <c r="I428">
        <v>2.34</v>
      </c>
      <c r="J428">
        <v>60.83</v>
      </c>
      <c r="K428" t="s">
        <v>629</v>
      </c>
    </row>
    <row r="429" spans="1:11">
      <c r="A429" t="str">
        <f>"001216"</f>
        <v>001216</v>
      </c>
      <c r="B429" t="s">
        <v>630</v>
      </c>
      <c r="C429">
        <v>48.93</v>
      </c>
      <c r="D429">
        <v>21.91</v>
      </c>
      <c r="E429">
        <v>18.08</v>
      </c>
      <c r="F429">
        <v>2.52</v>
      </c>
      <c r="G429">
        <v>2.46</v>
      </c>
      <c r="H429">
        <v>16295</v>
      </c>
      <c r="I429">
        <v>2.77</v>
      </c>
      <c r="J429">
        <v>19.88</v>
      </c>
      <c r="K429" t="s">
        <v>625</v>
      </c>
    </row>
    <row r="430" spans="1:11">
      <c r="A430" t="str">
        <f>"001217"</f>
        <v>001217</v>
      </c>
      <c r="B430" t="s">
        <v>631</v>
      </c>
      <c r="C430">
        <v>42.75</v>
      </c>
      <c r="D430">
        <v>34.73</v>
      </c>
      <c r="E430">
        <v>22.49</v>
      </c>
      <c r="F430">
        <v>3.32</v>
      </c>
      <c r="G430">
        <v>3.29</v>
      </c>
      <c r="H430">
        <v>21798</v>
      </c>
      <c r="I430">
        <v>1.92</v>
      </c>
      <c r="J430">
        <v>147.31</v>
      </c>
      <c r="K430" t="s">
        <v>348</v>
      </c>
    </row>
    <row r="431" spans="1:11">
      <c r="A431" t="str">
        <f>"001218"</f>
        <v>001218</v>
      </c>
      <c r="B431" t="s">
        <v>632</v>
      </c>
      <c r="C431">
        <v>21.99</v>
      </c>
      <c r="D431">
        <v>30.77</v>
      </c>
      <c r="E431">
        <v>22.75</v>
      </c>
      <c r="F431">
        <v>1.3</v>
      </c>
      <c r="G431">
        <v>0.93</v>
      </c>
      <c r="H431">
        <v>12995</v>
      </c>
      <c r="I431">
        <v>1.35</v>
      </c>
      <c r="J431">
        <v>22.99</v>
      </c>
      <c r="K431" t="s">
        <v>511</v>
      </c>
    </row>
    <row r="432" spans="1:11">
      <c r="A432" t="str">
        <f>"001219"</f>
        <v>001219</v>
      </c>
      <c r="B432" t="s">
        <v>633</v>
      </c>
      <c r="C432">
        <v>28.25</v>
      </c>
      <c r="D432">
        <v>12.86</v>
      </c>
      <c r="E432">
        <v>10.62</v>
      </c>
      <c r="F432">
        <v>1.95</v>
      </c>
      <c r="G432">
        <v>1.9</v>
      </c>
      <c r="H432">
        <v>15060</v>
      </c>
      <c r="I432">
        <v>2.73</v>
      </c>
      <c r="J432">
        <v>23.42</v>
      </c>
      <c r="K432" t="s">
        <v>634</v>
      </c>
    </row>
    <row r="433" spans="1:11">
      <c r="A433" t="str">
        <f>"001221"</f>
        <v>001221</v>
      </c>
      <c r="B433" t="s">
        <v>635</v>
      </c>
      <c r="C433">
        <v>20.77</v>
      </c>
      <c r="D433">
        <v>42.58</v>
      </c>
      <c r="E433">
        <v>27.4</v>
      </c>
      <c r="F433">
        <v>4</v>
      </c>
      <c r="G433">
        <v>0.35</v>
      </c>
      <c r="H433">
        <v>20446</v>
      </c>
      <c r="I433">
        <v>8.68</v>
      </c>
      <c r="J433">
        <v>36.9</v>
      </c>
      <c r="K433" t="s">
        <v>625</v>
      </c>
    </row>
    <row r="434" spans="1:11">
      <c r="A434" t="str">
        <f>"001222"</f>
        <v>001222</v>
      </c>
      <c r="B434" t="s">
        <v>636</v>
      </c>
      <c r="C434">
        <v>24.72</v>
      </c>
      <c r="D434">
        <v>18.36</v>
      </c>
      <c r="E434">
        <v>14.25</v>
      </c>
      <c r="F434">
        <v>1.91</v>
      </c>
      <c r="G434">
        <v>1.07</v>
      </c>
      <c r="H434">
        <v>13616</v>
      </c>
      <c r="I434">
        <v>3.08</v>
      </c>
      <c r="J434">
        <v>25.3</v>
      </c>
      <c r="K434" t="s">
        <v>637</v>
      </c>
    </row>
    <row r="435" spans="1:11">
      <c r="A435" t="str">
        <f>"001223"</f>
        <v>001223</v>
      </c>
      <c r="B435" t="s">
        <v>638</v>
      </c>
      <c r="C435">
        <v>51.36</v>
      </c>
      <c r="D435">
        <v>25.92</v>
      </c>
      <c r="E435">
        <v>19.48</v>
      </c>
      <c r="F435">
        <v>0.93</v>
      </c>
      <c r="G435">
        <v>0.93</v>
      </c>
      <c r="H435">
        <v>6710</v>
      </c>
      <c r="I435">
        <v>2.64</v>
      </c>
      <c r="J435">
        <v>41.89</v>
      </c>
      <c r="K435" t="s">
        <v>493</v>
      </c>
    </row>
    <row r="436" spans="1:11">
      <c r="A436" t="str">
        <f>"001225"</f>
        <v>001225</v>
      </c>
      <c r="B436" t="s">
        <v>639</v>
      </c>
      <c r="C436">
        <v>15.48</v>
      </c>
      <c r="D436">
        <v>15.46</v>
      </c>
      <c r="E436">
        <v>13.81</v>
      </c>
      <c r="F436">
        <v>0.66</v>
      </c>
      <c r="G436">
        <v>0.21</v>
      </c>
      <c r="H436">
        <v>6967</v>
      </c>
      <c r="I436">
        <v>3.51</v>
      </c>
      <c r="J436">
        <v>115.43</v>
      </c>
      <c r="K436" t="s">
        <v>493</v>
      </c>
    </row>
    <row r="437" spans="1:11">
      <c r="A437" t="str">
        <f>"001226"</f>
        <v>001226</v>
      </c>
      <c r="B437" t="s">
        <v>640</v>
      </c>
      <c r="C437">
        <v>16.08</v>
      </c>
      <c r="D437">
        <v>11.73</v>
      </c>
      <c r="E437">
        <v>7.29</v>
      </c>
      <c r="F437">
        <v>0.75</v>
      </c>
      <c r="G437">
        <v>0.34</v>
      </c>
      <c r="H437">
        <v>10322</v>
      </c>
      <c r="I437">
        <v>4.86</v>
      </c>
      <c r="J437">
        <v>160.65</v>
      </c>
      <c r="K437" t="s">
        <v>641</v>
      </c>
    </row>
    <row r="438" spans="1:11">
      <c r="A438" t="str">
        <f>"001227"</f>
        <v>001227</v>
      </c>
      <c r="B438" t="s">
        <v>642</v>
      </c>
      <c r="C438">
        <v>97.76</v>
      </c>
      <c r="D438">
        <v>5233.6</v>
      </c>
      <c r="E438">
        <v>404.29</v>
      </c>
      <c r="F438">
        <v>56.96</v>
      </c>
      <c r="G438">
        <v>42.14</v>
      </c>
      <c r="H438">
        <v>99574</v>
      </c>
      <c r="I438">
        <v>0.43</v>
      </c>
      <c r="J438">
        <v>6.59</v>
      </c>
      <c r="K438" t="s">
        <v>643</v>
      </c>
    </row>
    <row r="439" spans="1:11">
      <c r="A439" t="str">
        <f>"001228"</f>
        <v>001228</v>
      </c>
      <c r="B439" t="s">
        <v>644</v>
      </c>
      <c r="C439">
        <v>23.45</v>
      </c>
      <c r="D439">
        <v>45.61</v>
      </c>
      <c r="E439">
        <v>17.1</v>
      </c>
      <c r="F439">
        <v>1.04</v>
      </c>
      <c r="G439">
        <v>0.8</v>
      </c>
      <c r="H439">
        <v>10845</v>
      </c>
      <c r="I439">
        <v>1.78</v>
      </c>
      <c r="J439">
        <v>23.95</v>
      </c>
      <c r="K439" t="s">
        <v>536</v>
      </c>
    </row>
    <row r="440" spans="1:11">
      <c r="A440" t="str">
        <f>"001229"</f>
        <v>001229</v>
      </c>
      <c r="B440" t="s">
        <v>645</v>
      </c>
      <c r="C440">
        <v>21.76</v>
      </c>
      <c r="D440">
        <v>10.43</v>
      </c>
      <c r="E440">
        <v>9.73</v>
      </c>
      <c r="F440">
        <v>1.02</v>
      </c>
      <c r="G440">
        <v>0.53</v>
      </c>
      <c r="H440">
        <v>12887</v>
      </c>
      <c r="I440">
        <v>4.25</v>
      </c>
      <c r="J440">
        <v>78.97</v>
      </c>
      <c r="K440" t="s">
        <v>88</v>
      </c>
    </row>
    <row r="441" spans="1:11">
      <c r="A441" t="str">
        <f>"001230"</f>
        <v>001230</v>
      </c>
      <c r="B441" t="s">
        <v>646</v>
      </c>
      <c r="C441">
        <v>12.18</v>
      </c>
      <c r="D441">
        <v>32.89</v>
      </c>
      <c r="E441">
        <v>19.31</v>
      </c>
      <c r="F441">
        <v>1.34</v>
      </c>
      <c r="G441">
        <v>0.53</v>
      </c>
      <c r="H441">
        <v>13338</v>
      </c>
      <c r="I441">
        <v>1.59</v>
      </c>
      <c r="J441">
        <v>18.5</v>
      </c>
      <c r="K441" t="s">
        <v>59</v>
      </c>
    </row>
    <row r="442" spans="1:11">
      <c r="A442" t="str">
        <f>"001231"</f>
        <v>001231</v>
      </c>
      <c r="B442" t="s">
        <v>647</v>
      </c>
      <c r="C442">
        <v>12.2</v>
      </c>
      <c r="D442">
        <v>14.55</v>
      </c>
      <c r="E442">
        <v>9.89</v>
      </c>
      <c r="F442">
        <v>1</v>
      </c>
      <c r="G442">
        <v>0.5</v>
      </c>
      <c r="H442">
        <v>19624</v>
      </c>
      <c r="I442">
        <v>2.47</v>
      </c>
      <c r="J442">
        <v>46.03</v>
      </c>
      <c r="K442" t="s">
        <v>196</v>
      </c>
    </row>
    <row r="443" spans="1:11">
      <c r="A443" t="str">
        <f>"001233"</f>
        <v>001233</v>
      </c>
      <c r="B443" t="s">
        <v>648</v>
      </c>
      <c r="C443">
        <v>23.68</v>
      </c>
      <c r="D443">
        <v>37.05</v>
      </c>
      <c r="E443">
        <v>28.36</v>
      </c>
      <c r="F443">
        <v>1.86</v>
      </c>
      <c r="G443">
        <v>0.35</v>
      </c>
      <c r="H443">
        <v>65957</v>
      </c>
      <c r="I443">
        <v>2.52</v>
      </c>
      <c r="J443">
        <v>20.2</v>
      </c>
      <c r="K443" t="s">
        <v>263</v>
      </c>
    </row>
    <row r="444" spans="1:11">
      <c r="A444" t="str">
        <f>"001234"</f>
        <v>001234</v>
      </c>
      <c r="B444" t="s">
        <v>649</v>
      </c>
      <c r="C444">
        <v>26.82</v>
      </c>
      <c r="D444">
        <v>11.59</v>
      </c>
      <c r="E444">
        <v>9.13</v>
      </c>
      <c r="F444">
        <v>1.09</v>
      </c>
      <c r="G444">
        <v>0.92</v>
      </c>
      <c r="H444">
        <v>18999</v>
      </c>
      <c r="I444">
        <v>3.51</v>
      </c>
      <c r="J444">
        <v>69.63</v>
      </c>
      <c r="K444" t="s">
        <v>650</v>
      </c>
    </row>
    <row r="445" spans="1:11">
      <c r="A445" t="str">
        <f>"001236"</f>
        <v>001236</v>
      </c>
      <c r="B445" t="s">
        <v>651</v>
      </c>
      <c r="C445">
        <v>82.1</v>
      </c>
      <c r="D445">
        <v>125.33</v>
      </c>
      <c r="E445">
        <v>18.67</v>
      </c>
      <c r="F445">
        <v>10.08</v>
      </c>
      <c r="G445">
        <v>7.58</v>
      </c>
      <c r="H445">
        <v>54428</v>
      </c>
      <c r="I445">
        <v>5.85</v>
      </c>
      <c r="J445">
        <v>3917.34</v>
      </c>
      <c r="K445" t="s">
        <v>652</v>
      </c>
    </row>
    <row r="446" spans="1:11">
      <c r="A446" t="str">
        <f>"001238"</f>
        <v>001238</v>
      </c>
      <c r="B446" t="s">
        <v>653</v>
      </c>
      <c r="C446">
        <v>53.51</v>
      </c>
      <c r="D446">
        <v>18.53</v>
      </c>
      <c r="E446">
        <v>11.27</v>
      </c>
      <c r="F446">
        <v>1.11</v>
      </c>
      <c r="G446">
        <v>1.04</v>
      </c>
      <c r="H446">
        <v>4271</v>
      </c>
      <c r="I446">
        <v>5.04</v>
      </c>
      <c r="J446">
        <v>94.27</v>
      </c>
      <c r="K446" t="s">
        <v>540</v>
      </c>
    </row>
    <row r="447" spans="1:11">
      <c r="A447" t="str">
        <f>"001239"</f>
        <v>001239</v>
      </c>
      <c r="B447" t="s">
        <v>654</v>
      </c>
      <c r="C447">
        <v>18.76</v>
      </c>
      <c r="D447">
        <v>41.35</v>
      </c>
      <c r="E447">
        <v>13.78</v>
      </c>
      <c r="F447">
        <v>2.4</v>
      </c>
      <c r="G447">
        <v>1.14</v>
      </c>
      <c r="H447">
        <v>17977</v>
      </c>
      <c r="I447">
        <v>2.87</v>
      </c>
      <c r="J447">
        <v>41.18</v>
      </c>
      <c r="K447" t="s">
        <v>641</v>
      </c>
    </row>
    <row r="448" spans="1:11">
      <c r="A448" t="str">
        <f>"001255"</f>
        <v>001255</v>
      </c>
      <c r="B448" t="s">
        <v>655</v>
      </c>
      <c r="C448">
        <v>32.42</v>
      </c>
      <c r="D448">
        <v>14.03</v>
      </c>
      <c r="E448">
        <v>7.39</v>
      </c>
      <c r="F448">
        <v>0.86</v>
      </c>
      <c r="G448">
        <v>0.71</v>
      </c>
      <c r="H448">
        <v>8361</v>
      </c>
      <c r="I448">
        <v>5.02</v>
      </c>
      <c r="J448">
        <v>410.64</v>
      </c>
      <c r="K448" t="s">
        <v>383</v>
      </c>
    </row>
    <row r="449" spans="1:11">
      <c r="A449" t="str">
        <f>"001256"</f>
        <v>001256</v>
      </c>
      <c r="B449" t="s">
        <v>656</v>
      </c>
      <c r="C449">
        <v>22.9</v>
      </c>
      <c r="D449">
        <v>15.85</v>
      </c>
      <c r="E449">
        <v>12.09</v>
      </c>
      <c r="F449">
        <v>1.43</v>
      </c>
      <c r="G449">
        <v>1.07</v>
      </c>
      <c r="H449">
        <v>9526</v>
      </c>
      <c r="I449">
        <v>2.53</v>
      </c>
      <c r="J449">
        <v>28.24</v>
      </c>
      <c r="K449" t="s">
        <v>657</v>
      </c>
    </row>
    <row r="450" spans="1:11">
      <c r="A450" t="str">
        <f>"001258"</f>
        <v>001258</v>
      </c>
      <c r="B450" t="s">
        <v>658</v>
      </c>
      <c r="C450">
        <v>68.88</v>
      </c>
      <c r="D450">
        <v>181.11</v>
      </c>
      <c r="E450">
        <v>30.35</v>
      </c>
      <c r="F450">
        <v>9.33</v>
      </c>
      <c r="G450">
        <v>9.33</v>
      </c>
      <c r="H450">
        <v>48572</v>
      </c>
      <c r="I450">
        <v>2.27</v>
      </c>
      <c r="J450">
        <v>38.92</v>
      </c>
      <c r="K450" t="s">
        <v>111</v>
      </c>
    </row>
    <row r="451" spans="1:11">
      <c r="A451" t="str">
        <f>"001259"</f>
        <v>001259</v>
      </c>
      <c r="B451" t="s">
        <v>659</v>
      </c>
      <c r="C451">
        <v>14.63</v>
      </c>
      <c r="D451">
        <v>8.39</v>
      </c>
      <c r="E451">
        <v>7.14</v>
      </c>
      <c r="F451">
        <v>0.74</v>
      </c>
      <c r="G451">
        <v>0.48</v>
      </c>
      <c r="H451">
        <v>6584</v>
      </c>
      <c r="I451">
        <v>3.17</v>
      </c>
      <c r="J451">
        <v>407.98</v>
      </c>
      <c r="K451" t="s">
        <v>660</v>
      </c>
    </row>
    <row r="452" spans="1:11">
      <c r="A452" t="str">
        <f>"001260"</f>
        <v>001260</v>
      </c>
      <c r="B452" t="s">
        <v>661</v>
      </c>
      <c r="C452">
        <v>7.58</v>
      </c>
      <c r="D452">
        <v>10.7</v>
      </c>
      <c r="E452">
        <v>8.28</v>
      </c>
      <c r="F452">
        <v>1.15</v>
      </c>
      <c r="G452">
        <v>0.32</v>
      </c>
      <c r="H452">
        <v>9693</v>
      </c>
      <c r="I452">
        <v>3.32</v>
      </c>
      <c r="J452">
        <v>55.1</v>
      </c>
      <c r="K452" t="s">
        <v>356</v>
      </c>
    </row>
    <row r="453" spans="1:11">
      <c r="A453" t="str">
        <f>"001266"</f>
        <v>001266</v>
      </c>
      <c r="B453" t="s">
        <v>662</v>
      </c>
      <c r="C453">
        <v>20.03</v>
      </c>
      <c r="D453">
        <v>16.98</v>
      </c>
      <c r="E453">
        <v>9.39</v>
      </c>
      <c r="F453">
        <v>1.04</v>
      </c>
      <c r="G453">
        <v>0.58</v>
      </c>
      <c r="H453">
        <v>10221</v>
      </c>
      <c r="I453">
        <v>3.79</v>
      </c>
      <c r="J453">
        <v>219.6</v>
      </c>
      <c r="K453" t="s">
        <v>663</v>
      </c>
    </row>
    <row r="454" spans="1:11">
      <c r="A454" t="str">
        <f>"001267"</f>
        <v>001267</v>
      </c>
      <c r="B454" t="s">
        <v>664</v>
      </c>
      <c r="C454">
        <v>141.11</v>
      </c>
      <c r="D454">
        <v>40.48</v>
      </c>
      <c r="E454">
        <v>15.82</v>
      </c>
      <c r="F454">
        <v>7.85</v>
      </c>
      <c r="G454">
        <v>6.06</v>
      </c>
      <c r="H454">
        <v>43060</v>
      </c>
      <c r="I454">
        <v>11.54</v>
      </c>
      <c r="J454">
        <v>265.07</v>
      </c>
      <c r="K454" t="s">
        <v>26</v>
      </c>
    </row>
    <row r="455" spans="1:11">
      <c r="A455" t="str">
        <f>"001268"</f>
        <v>001268</v>
      </c>
      <c r="B455" t="s">
        <v>665</v>
      </c>
      <c r="C455">
        <v>22.22</v>
      </c>
      <c r="D455">
        <v>15.34</v>
      </c>
      <c r="E455">
        <v>10.27</v>
      </c>
      <c r="F455">
        <v>1.08</v>
      </c>
      <c r="G455">
        <v>0.63</v>
      </c>
      <c r="H455">
        <v>8918</v>
      </c>
      <c r="I455">
        <v>3.71</v>
      </c>
      <c r="J455">
        <v>47.99</v>
      </c>
      <c r="K455" t="s">
        <v>424</v>
      </c>
    </row>
    <row r="456" spans="1:11">
      <c r="A456" t="str">
        <f>"001269"</f>
        <v>001269</v>
      </c>
      <c r="B456" t="s">
        <v>666</v>
      </c>
      <c r="C456">
        <v>45.91</v>
      </c>
      <c r="D456">
        <v>20.77</v>
      </c>
      <c r="E456">
        <v>9.75</v>
      </c>
      <c r="F456">
        <v>1.92</v>
      </c>
      <c r="G456">
        <v>1.92</v>
      </c>
      <c r="H456">
        <v>24054</v>
      </c>
      <c r="I456">
        <v>5.26</v>
      </c>
      <c r="J456" t="s">
        <v>14</v>
      </c>
      <c r="K456" t="s">
        <v>667</v>
      </c>
    </row>
    <row r="457" spans="1:11">
      <c r="A457" t="str">
        <f>"001270"</f>
        <v>001270</v>
      </c>
      <c r="B457" t="s">
        <v>668</v>
      </c>
      <c r="C457">
        <v>249.98</v>
      </c>
      <c r="D457">
        <v>15.88</v>
      </c>
      <c r="E457">
        <v>14.73</v>
      </c>
      <c r="F457">
        <v>2.06</v>
      </c>
      <c r="G457">
        <v>2.03</v>
      </c>
      <c r="H457">
        <v>19862</v>
      </c>
      <c r="I457">
        <v>17.19</v>
      </c>
      <c r="J457">
        <v>210.16</v>
      </c>
      <c r="K457" t="s">
        <v>223</v>
      </c>
    </row>
    <row r="458" spans="1:11">
      <c r="A458" t="str">
        <f>"001277"</f>
        <v>001277</v>
      </c>
      <c r="B458" t="s">
        <v>669</v>
      </c>
      <c r="C458">
        <v>18.36</v>
      </c>
      <c r="D458">
        <v>20.76</v>
      </c>
      <c r="E458">
        <v>15.47</v>
      </c>
      <c r="F458">
        <v>0.76</v>
      </c>
      <c r="G458">
        <v>0.45</v>
      </c>
      <c r="H458">
        <v>10613</v>
      </c>
      <c r="I458">
        <v>1.99</v>
      </c>
      <c r="J458">
        <v>30.6</v>
      </c>
      <c r="K458" t="s">
        <v>491</v>
      </c>
    </row>
    <row r="459" spans="1:11">
      <c r="A459" t="str">
        <f>"001278"</f>
        <v>001278</v>
      </c>
      <c r="B459" t="s">
        <v>670</v>
      </c>
      <c r="C459">
        <v>9.97</v>
      </c>
      <c r="D459">
        <v>38.51</v>
      </c>
      <c r="E459">
        <v>12.6</v>
      </c>
      <c r="F459">
        <v>1.24</v>
      </c>
      <c r="G459">
        <v>0.51</v>
      </c>
      <c r="H459">
        <v>12668</v>
      </c>
      <c r="I459">
        <v>1.94</v>
      </c>
      <c r="J459" t="s">
        <v>14</v>
      </c>
      <c r="K459" t="s">
        <v>356</v>
      </c>
    </row>
    <row r="460" spans="1:11">
      <c r="A460" t="str">
        <f>"001279"</f>
        <v>001279</v>
      </c>
      <c r="B460" t="s">
        <v>671</v>
      </c>
      <c r="C460">
        <v>14.16</v>
      </c>
      <c r="D460">
        <v>16.6</v>
      </c>
      <c r="E460">
        <v>10.08</v>
      </c>
      <c r="F460">
        <v>1.6</v>
      </c>
      <c r="G460">
        <v>0.4</v>
      </c>
      <c r="H460">
        <v>17938</v>
      </c>
      <c r="I460">
        <v>5.62</v>
      </c>
      <c r="J460">
        <v>93.21</v>
      </c>
      <c r="K460" t="s">
        <v>672</v>
      </c>
    </row>
    <row r="461" spans="1:11">
      <c r="A461" t="str">
        <f>"001280"</f>
        <v>001280</v>
      </c>
      <c r="B461" t="s">
        <v>673</v>
      </c>
      <c r="C461">
        <v>105.49</v>
      </c>
      <c r="D461">
        <v>278.58</v>
      </c>
      <c r="E461">
        <v>120.45</v>
      </c>
      <c r="F461">
        <v>20.68</v>
      </c>
      <c r="G461">
        <v>1.58</v>
      </c>
      <c r="H461">
        <v>249721</v>
      </c>
      <c r="I461">
        <v>8.41</v>
      </c>
      <c r="J461">
        <v>86.28</v>
      </c>
      <c r="K461" t="s">
        <v>301</v>
      </c>
    </row>
    <row r="462" spans="1:11">
      <c r="A462" t="str">
        <f>"001282"</f>
        <v>001282</v>
      </c>
      <c r="B462" t="s">
        <v>674</v>
      </c>
      <c r="C462">
        <v>17.1</v>
      </c>
      <c r="D462">
        <v>26.22</v>
      </c>
      <c r="E462">
        <v>16.2</v>
      </c>
      <c r="F462">
        <v>2.22</v>
      </c>
      <c r="G462">
        <v>0.78</v>
      </c>
      <c r="H462">
        <v>20949</v>
      </c>
      <c r="I462">
        <v>3</v>
      </c>
      <c r="J462">
        <v>39.86</v>
      </c>
      <c r="K462" t="s">
        <v>517</v>
      </c>
    </row>
    <row r="463" spans="1:11">
      <c r="A463" t="str">
        <f>"001283"</f>
        <v>001283</v>
      </c>
      <c r="B463" t="s">
        <v>675</v>
      </c>
      <c r="C463">
        <v>57.57</v>
      </c>
      <c r="D463">
        <v>85.61</v>
      </c>
      <c r="E463">
        <v>34.53</v>
      </c>
      <c r="F463">
        <v>1</v>
      </c>
      <c r="G463">
        <v>0.8</v>
      </c>
      <c r="H463">
        <v>24928</v>
      </c>
      <c r="I463">
        <v>2.09</v>
      </c>
      <c r="J463">
        <v>30.89</v>
      </c>
      <c r="K463" t="s">
        <v>70</v>
      </c>
    </row>
    <row r="464" spans="1:11">
      <c r="A464" t="str">
        <f>"001285"</f>
        <v>001285</v>
      </c>
      <c r="B464" t="s">
        <v>676</v>
      </c>
      <c r="C464">
        <v>24.14</v>
      </c>
      <c r="D464">
        <v>49.62</v>
      </c>
      <c r="E464">
        <v>36.93</v>
      </c>
      <c r="F464">
        <v>1.8</v>
      </c>
      <c r="G464">
        <v>0.41</v>
      </c>
      <c r="H464">
        <v>33554</v>
      </c>
      <c r="I464">
        <v>2.9</v>
      </c>
      <c r="J464">
        <v>33.82</v>
      </c>
      <c r="K464" t="s">
        <v>51</v>
      </c>
    </row>
    <row r="465" spans="1:11">
      <c r="A465" t="str">
        <f>"001286"</f>
        <v>001286</v>
      </c>
      <c r="B465" t="s">
        <v>677</v>
      </c>
      <c r="C465">
        <v>100.06</v>
      </c>
      <c r="D465">
        <v>713.34</v>
      </c>
      <c r="E465">
        <v>261.83</v>
      </c>
      <c r="F465">
        <v>37.5</v>
      </c>
      <c r="G465">
        <v>10.5</v>
      </c>
      <c r="H465">
        <v>68861</v>
      </c>
      <c r="I465">
        <v>1.36</v>
      </c>
      <c r="J465">
        <v>11.09</v>
      </c>
      <c r="K465" t="s">
        <v>46</v>
      </c>
    </row>
    <row r="466" spans="1:11">
      <c r="A466" t="str">
        <f>"001287"</f>
        <v>001287</v>
      </c>
      <c r="B466" t="s">
        <v>678</v>
      </c>
      <c r="C466">
        <v>103.09</v>
      </c>
      <c r="D466">
        <v>293.88</v>
      </c>
      <c r="E466">
        <v>53.78</v>
      </c>
      <c r="F466">
        <v>7.6</v>
      </c>
      <c r="G466">
        <v>4.37</v>
      </c>
      <c r="H466">
        <v>88163</v>
      </c>
      <c r="I466">
        <v>3.33</v>
      </c>
      <c r="J466">
        <v>52.15</v>
      </c>
      <c r="K466" t="s">
        <v>82</v>
      </c>
    </row>
    <row r="467" spans="1:11">
      <c r="A467" t="str">
        <f>"001288"</f>
        <v>001288</v>
      </c>
      <c r="B467" t="s">
        <v>679</v>
      </c>
      <c r="C467">
        <v>45.74</v>
      </c>
      <c r="D467">
        <v>52.36</v>
      </c>
      <c r="E467">
        <v>22.99</v>
      </c>
      <c r="F467">
        <v>2.35</v>
      </c>
      <c r="G467">
        <v>1.52</v>
      </c>
      <c r="H467">
        <v>9533</v>
      </c>
      <c r="I467">
        <v>3.23</v>
      </c>
      <c r="J467">
        <v>49.5</v>
      </c>
      <c r="K467" t="s">
        <v>493</v>
      </c>
    </row>
    <row r="468" spans="1:11">
      <c r="A468" t="str">
        <f>"001289"</f>
        <v>001289</v>
      </c>
      <c r="B468" t="s">
        <v>680</v>
      </c>
      <c r="C468">
        <v>793.6</v>
      </c>
      <c r="D468">
        <v>2625.21</v>
      </c>
      <c r="E468">
        <v>759.08</v>
      </c>
      <c r="F468">
        <v>83.6</v>
      </c>
      <c r="G468">
        <v>50.42</v>
      </c>
      <c r="H468">
        <v>34238</v>
      </c>
      <c r="I468">
        <v>1.73</v>
      </c>
      <c r="J468">
        <v>22.47</v>
      </c>
      <c r="K468" t="s">
        <v>111</v>
      </c>
    </row>
    <row r="469" spans="1:11">
      <c r="A469" t="str">
        <f>"001296"</f>
        <v>001296</v>
      </c>
      <c r="B469" t="s">
        <v>681</v>
      </c>
      <c r="C469">
        <v>21.44</v>
      </c>
      <c r="D469">
        <v>22.16</v>
      </c>
      <c r="E469">
        <v>17.8</v>
      </c>
      <c r="F469">
        <v>1.5</v>
      </c>
      <c r="G469">
        <v>0.77</v>
      </c>
      <c r="H469">
        <v>26658</v>
      </c>
      <c r="I469">
        <v>2.34</v>
      </c>
      <c r="J469">
        <v>27.53</v>
      </c>
      <c r="K469" t="s">
        <v>682</v>
      </c>
    </row>
    <row r="470" spans="1:11">
      <c r="A470" t="str">
        <f>"001298"</f>
        <v>001298</v>
      </c>
      <c r="B470" t="s">
        <v>683</v>
      </c>
      <c r="C470">
        <v>50.74</v>
      </c>
      <c r="D470">
        <v>36.49</v>
      </c>
      <c r="E470">
        <v>16.11</v>
      </c>
      <c r="F470">
        <v>2.97</v>
      </c>
      <c r="G470">
        <v>1.65</v>
      </c>
      <c r="H470">
        <v>72106</v>
      </c>
      <c r="I470">
        <v>5.68</v>
      </c>
      <c r="J470">
        <v>139.63</v>
      </c>
      <c r="K470" t="s">
        <v>82</v>
      </c>
    </row>
    <row r="471" spans="1:11">
      <c r="A471" t="str">
        <f>"001299"</f>
        <v>001299</v>
      </c>
      <c r="B471" t="s">
        <v>684</v>
      </c>
      <c r="C471">
        <v>28.68</v>
      </c>
      <c r="D471">
        <v>15.89</v>
      </c>
      <c r="E471">
        <v>11.82</v>
      </c>
      <c r="F471">
        <v>2.43</v>
      </c>
      <c r="G471">
        <v>2.18</v>
      </c>
      <c r="H471">
        <v>19482</v>
      </c>
      <c r="I471">
        <v>2.7</v>
      </c>
      <c r="J471">
        <v>36.06</v>
      </c>
      <c r="K471" t="s">
        <v>136</v>
      </c>
    </row>
    <row r="472" spans="1:11">
      <c r="A472" t="str">
        <f>"001300"</f>
        <v>001300</v>
      </c>
      <c r="B472" t="s">
        <v>685</v>
      </c>
      <c r="C472">
        <v>43.61</v>
      </c>
      <c r="D472">
        <v>12.72</v>
      </c>
      <c r="E472">
        <v>10.36</v>
      </c>
      <c r="F472">
        <v>2.44</v>
      </c>
      <c r="G472">
        <v>2.44</v>
      </c>
      <c r="H472">
        <v>14065</v>
      </c>
      <c r="I472">
        <v>4.21</v>
      </c>
      <c r="J472" t="s">
        <v>14</v>
      </c>
      <c r="K472" t="s">
        <v>637</v>
      </c>
    </row>
    <row r="473" spans="1:11">
      <c r="A473" t="str">
        <f>"001301"</f>
        <v>001301</v>
      </c>
      <c r="B473" t="s">
        <v>686</v>
      </c>
      <c r="C473">
        <v>160.14</v>
      </c>
      <c r="D473">
        <v>110.2</v>
      </c>
      <c r="E473">
        <v>67.62</v>
      </c>
      <c r="F473">
        <v>2.61</v>
      </c>
      <c r="G473">
        <v>1.86</v>
      </c>
      <c r="H473">
        <v>17144</v>
      </c>
      <c r="I473">
        <v>3.32</v>
      </c>
      <c r="J473">
        <v>23.67</v>
      </c>
      <c r="K473" t="s">
        <v>24</v>
      </c>
    </row>
    <row r="474" spans="1:11">
      <c r="A474" t="str">
        <f>"001306"</f>
        <v>001306</v>
      </c>
      <c r="B474" t="s">
        <v>687</v>
      </c>
      <c r="C474">
        <v>13.24</v>
      </c>
      <c r="D474">
        <v>23.03</v>
      </c>
      <c r="E474">
        <v>13.4</v>
      </c>
      <c r="F474">
        <v>0.63</v>
      </c>
      <c r="G474">
        <v>0.16</v>
      </c>
      <c r="H474">
        <v>9167</v>
      </c>
      <c r="I474">
        <v>4.01</v>
      </c>
      <c r="J474">
        <v>159.28</v>
      </c>
      <c r="K474" t="s">
        <v>424</v>
      </c>
    </row>
    <row r="475" spans="1:11">
      <c r="A475" t="str">
        <f>"001308"</f>
        <v>001308</v>
      </c>
      <c r="B475" t="s">
        <v>688</v>
      </c>
      <c r="C475">
        <v>107.98</v>
      </c>
      <c r="D475">
        <v>167.38</v>
      </c>
      <c r="E475">
        <v>81.84</v>
      </c>
      <c r="F475">
        <v>7.03</v>
      </c>
      <c r="G475">
        <v>4.96</v>
      </c>
      <c r="H475">
        <v>24074</v>
      </c>
      <c r="I475">
        <v>1.87</v>
      </c>
      <c r="J475">
        <v>22.82</v>
      </c>
      <c r="K475" t="s">
        <v>689</v>
      </c>
    </row>
    <row r="476" spans="1:11">
      <c r="A476" t="str">
        <f>"001309"</f>
        <v>001309</v>
      </c>
      <c r="B476" t="s">
        <v>690</v>
      </c>
      <c r="C476">
        <v>384.46</v>
      </c>
      <c r="D476">
        <v>91.73</v>
      </c>
      <c r="E476">
        <v>24.5</v>
      </c>
      <c r="F476">
        <v>2.27</v>
      </c>
      <c r="G476">
        <v>1.61</v>
      </c>
      <c r="H476">
        <v>55270</v>
      </c>
      <c r="I476">
        <v>22.13</v>
      </c>
      <c r="J476" t="s">
        <v>14</v>
      </c>
      <c r="K476" t="s">
        <v>691</v>
      </c>
    </row>
    <row r="477" spans="1:11">
      <c r="A477" t="str">
        <f>"001311"</f>
        <v>001311</v>
      </c>
      <c r="B477" t="s">
        <v>692</v>
      </c>
      <c r="C477">
        <v>25.23</v>
      </c>
      <c r="D477">
        <v>64.13</v>
      </c>
      <c r="E477">
        <v>45.89</v>
      </c>
      <c r="F477">
        <v>3.11</v>
      </c>
      <c r="G477">
        <v>0.79</v>
      </c>
      <c r="H477">
        <v>17800</v>
      </c>
      <c r="I477">
        <v>2.17</v>
      </c>
      <c r="J477">
        <v>38.89</v>
      </c>
      <c r="K477" t="s">
        <v>517</v>
      </c>
    </row>
    <row r="478" spans="1:11">
      <c r="A478" t="str">
        <f>"001313"</f>
        <v>001313</v>
      </c>
      <c r="B478" t="s">
        <v>693</v>
      </c>
      <c r="C478">
        <v>51.53</v>
      </c>
      <c r="D478">
        <v>49.53</v>
      </c>
      <c r="E478">
        <v>25.5</v>
      </c>
      <c r="F478">
        <v>7</v>
      </c>
      <c r="G478">
        <v>6.99</v>
      </c>
      <c r="H478">
        <v>19979</v>
      </c>
      <c r="I478">
        <v>2.02</v>
      </c>
      <c r="J478">
        <v>147.69</v>
      </c>
      <c r="K478" t="s">
        <v>694</v>
      </c>
    </row>
    <row r="479" spans="1:11">
      <c r="A479" t="str">
        <f>"001314"</f>
        <v>001314</v>
      </c>
      <c r="B479" t="s">
        <v>695</v>
      </c>
      <c r="C479">
        <v>24.26</v>
      </c>
      <c r="D479">
        <v>38.96</v>
      </c>
      <c r="E479">
        <v>20.66</v>
      </c>
      <c r="F479">
        <v>1.43</v>
      </c>
      <c r="G479">
        <v>0.52</v>
      </c>
      <c r="H479">
        <v>23778</v>
      </c>
      <c r="I479">
        <v>3.24</v>
      </c>
      <c r="J479">
        <v>718.27</v>
      </c>
      <c r="K479" t="s">
        <v>41</v>
      </c>
    </row>
    <row r="480" spans="1:11">
      <c r="A480" t="str">
        <f>"001316"</f>
        <v>001316</v>
      </c>
      <c r="B480" t="s">
        <v>696</v>
      </c>
      <c r="C480">
        <v>44.42</v>
      </c>
      <c r="D480">
        <v>14.2</v>
      </c>
      <c r="E480">
        <v>12.5</v>
      </c>
      <c r="F480">
        <v>1.15</v>
      </c>
      <c r="G480">
        <v>1.11</v>
      </c>
      <c r="H480">
        <v>10572</v>
      </c>
      <c r="I480">
        <v>3.68</v>
      </c>
      <c r="J480">
        <v>29.22</v>
      </c>
      <c r="K480" t="s">
        <v>107</v>
      </c>
    </row>
    <row r="481" spans="1:11">
      <c r="A481" t="str">
        <f>"001317"</f>
        <v>001317</v>
      </c>
      <c r="B481" t="s">
        <v>697</v>
      </c>
      <c r="C481">
        <v>48.28</v>
      </c>
      <c r="D481">
        <v>18.4</v>
      </c>
      <c r="E481">
        <v>8.9</v>
      </c>
      <c r="F481">
        <v>0.86</v>
      </c>
      <c r="G481">
        <v>0.85</v>
      </c>
      <c r="H481">
        <v>19416</v>
      </c>
      <c r="I481">
        <v>5.39</v>
      </c>
      <c r="J481" t="s">
        <v>14</v>
      </c>
      <c r="K481" t="s">
        <v>235</v>
      </c>
    </row>
    <row r="482" spans="1:11">
      <c r="A482" t="str">
        <f>"001318"</f>
        <v>001318</v>
      </c>
      <c r="B482" t="s">
        <v>698</v>
      </c>
      <c r="C482">
        <v>43.81</v>
      </c>
      <c r="D482">
        <v>15.27</v>
      </c>
      <c r="E482">
        <v>14.42</v>
      </c>
      <c r="F482">
        <v>2.83</v>
      </c>
      <c r="G482">
        <v>2.83</v>
      </c>
      <c r="H482">
        <v>27416</v>
      </c>
      <c r="I482">
        <v>3.04</v>
      </c>
      <c r="J482">
        <v>37.6</v>
      </c>
      <c r="K482" t="s">
        <v>699</v>
      </c>
    </row>
    <row r="483" spans="1:11">
      <c r="A483" t="str">
        <f>"001319"</f>
        <v>001319</v>
      </c>
      <c r="B483" t="s">
        <v>700</v>
      </c>
      <c r="C483">
        <v>22.14</v>
      </c>
      <c r="D483">
        <v>17.72</v>
      </c>
      <c r="E483">
        <v>13.41</v>
      </c>
      <c r="F483">
        <v>1.41</v>
      </c>
      <c r="G483">
        <v>0.82</v>
      </c>
      <c r="H483">
        <v>18241</v>
      </c>
      <c r="I483">
        <v>2.85</v>
      </c>
      <c r="J483">
        <v>28.89</v>
      </c>
      <c r="K483" t="s">
        <v>356</v>
      </c>
    </row>
    <row r="484" spans="1:11">
      <c r="A484" t="str">
        <f>"001322"</f>
        <v>001322</v>
      </c>
      <c r="B484" t="s">
        <v>701</v>
      </c>
      <c r="C484">
        <v>66.07</v>
      </c>
      <c r="D484">
        <v>92.03</v>
      </c>
      <c r="E484">
        <v>47.24</v>
      </c>
      <c r="F484">
        <v>9.67</v>
      </c>
      <c r="G484">
        <v>7.86</v>
      </c>
      <c r="H484">
        <v>17734</v>
      </c>
      <c r="I484">
        <v>1.72</v>
      </c>
      <c r="J484">
        <v>187.43</v>
      </c>
      <c r="K484" t="s">
        <v>625</v>
      </c>
    </row>
    <row r="485" spans="1:11">
      <c r="A485" t="str">
        <f>"001323"</f>
        <v>001323</v>
      </c>
      <c r="B485" t="s">
        <v>702</v>
      </c>
      <c r="C485">
        <v>81.08</v>
      </c>
      <c r="D485">
        <v>77.09</v>
      </c>
      <c r="E485">
        <v>44.16</v>
      </c>
      <c r="F485">
        <v>4.35</v>
      </c>
      <c r="G485">
        <v>3.11</v>
      </c>
      <c r="H485">
        <v>10429</v>
      </c>
      <c r="I485">
        <v>2.57</v>
      </c>
      <c r="J485">
        <v>18.21</v>
      </c>
      <c r="K485" t="s">
        <v>540</v>
      </c>
    </row>
    <row r="486" spans="1:11">
      <c r="A486" t="str">
        <f>"001324"</f>
        <v>001324</v>
      </c>
      <c r="B486" t="s">
        <v>703</v>
      </c>
      <c r="C486">
        <v>15.46</v>
      </c>
      <c r="D486">
        <v>13.72</v>
      </c>
      <c r="E486">
        <v>11.34</v>
      </c>
      <c r="F486">
        <v>1.38</v>
      </c>
      <c r="G486">
        <v>0.82</v>
      </c>
      <c r="H486">
        <v>14220</v>
      </c>
      <c r="I486">
        <v>2.3</v>
      </c>
      <c r="J486">
        <v>53.42</v>
      </c>
      <c r="K486" t="s">
        <v>22</v>
      </c>
    </row>
    <row r="487" spans="1:11">
      <c r="A487" t="str">
        <f>"001325"</f>
        <v>001325</v>
      </c>
      <c r="B487" t="s">
        <v>704</v>
      </c>
      <c r="C487">
        <v>9.85</v>
      </c>
      <c r="D487">
        <v>20.47</v>
      </c>
      <c r="E487">
        <v>13.57</v>
      </c>
      <c r="F487">
        <v>0.78</v>
      </c>
      <c r="G487">
        <v>0.2</v>
      </c>
      <c r="H487">
        <v>39190</v>
      </c>
      <c r="I487">
        <v>2.25</v>
      </c>
      <c r="J487">
        <v>24.17</v>
      </c>
      <c r="K487" t="s">
        <v>705</v>
      </c>
    </row>
    <row r="488" spans="1:11">
      <c r="A488" t="str">
        <f>"001326"</f>
        <v>001326</v>
      </c>
      <c r="B488" t="s">
        <v>706</v>
      </c>
      <c r="C488">
        <v>12.67</v>
      </c>
      <c r="D488">
        <v>18.5</v>
      </c>
      <c r="E488">
        <v>12.13</v>
      </c>
      <c r="F488">
        <v>0.73</v>
      </c>
      <c r="G488">
        <v>0.24</v>
      </c>
      <c r="H488">
        <v>6765</v>
      </c>
      <c r="I488">
        <v>3.17</v>
      </c>
      <c r="J488">
        <v>147.72</v>
      </c>
      <c r="K488" t="s">
        <v>216</v>
      </c>
    </row>
    <row r="489" spans="1:11">
      <c r="A489" t="str">
        <f>"001328"</f>
        <v>001328</v>
      </c>
      <c r="B489" t="s">
        <v>707</v>
      </c>
      <c r="C489">
        <v>17.33</v>
      </c>
      <c r="D489">
        <v>19.86</v>
      </c>
      <c r="E489">
        <v>14.61</v>
      </c>
      <c r="F489">
        <v>1.72</v>
      </c>
      <c r="G489">
        <v>0.43</v>
      </c>
      <c r="H489">
        <v>10577</v>
      </c>
      <c r="I489">
        <v>4.74</v>
      </c>
      <c r="J489">
        <v>38.26</v>
      </c>
      <c r="K489" t="s">
        <v>708</v>
      </c>
    </row>
    <row r="490" spans="1:11">
      <c r="A490" t="str">
        <f>"001330"</f>
        <v>001330</v>
      </c>
      <c r="B490" t="s">
        <v>709</v>
      </c>
      <c r="C490">
        <v>132.23</v>
      </c>
      <c r="D490">
        <v>119.52</v>
      </c>
      <c r="E490">
        <v>41.89</v>
      </c>
      <c r="F490">
        <v>13.75</v>
      </c>
      <c r="G490">
        <v>13.75</v>
      </c>
      <c r="H490">
        <v>54215</v>
      </c>
      <c r="I490">
        <v>3.16</v>
      </c>
      <c r="J490" t="s">
        <v>14</v>
      </c>
      <c r="K490" t="s">
        <v>710</v>
      </c>
    </row>
    <row r="491" spans="1:11">
      <c r="A491" t="str">
        <f>"001331"</f>
        <v>001331</v>
      </c>
      <c r="B491" t="s">
        <v>711</v>
      </c>
      <c r="C491">
        <v>97.8</v>
      </c>
      <c r="D491">
        <v>17.06</v>
      </c>
      <c r="E491">
        <v>15.14</v>
      </c>
      <c r="F491">
        <v>2.82</v>
      </c>
      <c r="G491">
        <v>1.68</v>
      </c>
      <c r="H491">
        <v>31166</v>
      </c>
      <c r="I491">
        <v>10.86</v>
      </c>
      <c r="J491">
        <v>277.8</v>
      </c>
      <c r="K491" t="s">
        <v>136</v>
      </c>
    </row>
    <row r="492" spans="1:11">
      <c r="A492" t="str">
        <f>"001332"</f>
        <v>001332</v>
      </c>
      <c r="B492" t="s">
        <v>712</v>
      </c>
      <c r="C492">
        <v>28.41</v>
      </c>
      <c r="D492">
        <v>35.24</v>
      </c>
      <c r="E492">
        <v>25.56</v>
      </c>
      <c r="F492">
        <v>1.1</v>
      </c>
      <c r="G492">
        <v>0.48</v>
      </c>
      <c r="H492">
        <v>11192</v>
      </c>
      <c r="I492">
        <v>2.56</v>
      </c>
      <c r="J492">
        <v>24.57</v>
      </c>
      <c r="K492" t="s">
        <v>491</v>
      </c>
    </row>
    <row r="493" spans="1:11">
      <c r="A493" t="str">
        <f>"001333"</f>
        <v>001333</v>
      </c>
      <c r="B493" t="s">
        <v>713</v>
      </c>
      <c r="C493">
        <v>10.05</v>
      </c>
      <c r="D493">
        <v>28</v>
      </c>
      <c r="E493">
        <v>17.14</v>
      </c>
      <c r="F493">
        <v>1.28</v>
      </c>
      <c r="G493">
        <v>0.44</v>
      </c>
      <c r="H493">
        <v>11979</v>
      </c>
      <c r="I493">
        <v>1.71</v>
      </c>
      <c r="J493">
        <v>27.81</v>
      </c>
      <c r="K493" t="s">
        <v>511</v>
      </c>
    </row>
    <row r="494" spans="1:11">
      <c r="A494" t="str">
        <f>"001335"</f>
        <v>001335</v>
      </c>
      <c r="B494" t="s">
        <v>714</v>
      </c>
      <c r="C494">
        <v>11.7</v>
      </c>
      <c r="D494">
        <v>19.39</v>
      </c>
      <c r="E494">
        <v>9.61</v>
      </c>
      <c r="F494">
        <v>0.94</v>
      </c>
      <c r="G494">
        <v>0.23</v>
      </c>
      <c r="H494">
        <v>7378</v>
      </c>
      <c r="I494">
        <v>4.87</v>
      </c>
      <c r="J494">
        <v>54.76</v>
      </c>
      <c r="K494" t="s">
        <v>348</v>
      </c>
    </row>
    <row r="495" spans="1:11">
      <c r="A495" t="str">
        <f>"001336"</f>
        <v>001336</v>
      </c>
      <c r="B495" t="s">
        <v>715</v>
      </c>
      <c r="C495">
        <v>12.16</v>
      </c>
      <c r="D495">
        <v>13.15</v>
      </c>
      <c r="E495">
        <v>7.92</v>
      </c>
      <c r="F495">
        <v>0.8</v>
      </c>
      <c r="G495">
        <v>0.47</v>
      </c>
      <c r="H495">
        <v>12632</v>
      </c>
      <c r="I495">
        <v>2.65</v>
      </c>
      <c r="J495">
        <v>79.9</v>
      </c>
      <c r="K495" t="s">
        <v>228</v>
      </c>
    </row>
    <row r="496" spans="1:11">
      <c r="A496" t="str">
        <f>"001337"</f>
        <v>001337</v>
      </c>
      <c r="B496" t="s">
        <v>716</v>
      </c>
      <c r="C496">
        <v>90.83</v>
      </c>
      <c r="D496">
        <v>22.78</v>
      </c>
      <c r="E496">
        <v>17.32</v>
      </c>
      <c r="F496">
        <v>4.2</v>
      </c>
      <c r="G496">
        <v>2.88</v>
      </c>
      <c r="H496">
        <v>35873</v>
      </c>
      <c r="I496">
        <v>7.64</v>
      </c>
      <c r="J496">
        <v>26.87</v>
      </c>
      <c r="K496" t="s">
        <v>173</v>
      </c>
    </row>
    <row r="497" spans="1:11">
      <c r="A497" t="str">
        <f>"001338"</f>
        <v>001338</v>
      </c>
      <c r="B497" t="s">
        <v>717</v>
      </c>
      <c r="C497">
        <v>60.96</v>
      </c>
      <c r="D497">
        <v>42.97</v>
      </c>
      <c r="E497">
        <v>37.23</v>
      </c>
      <c r="F497">
        <v>5.02</v>
      </c>
      <c r="G497">
        <v>5.02</v>
      </c>
      <c r="H497">
        <v>36354</v>
      </c>
      <c r="I497">
        <v>1.64</v>
      </c>
      <c r="J497">
        <v>18.07</v>
      </c>
      <c r="K497" t="s">
        <v>395</v>
      </c>
    </row>
    <row r="498" spans="1:11">
      <c r="A498" t="str">
        <f>"001339"</f>
        <v>001339</v>
      </c>
      <c r="B498" t="s">
        <v>718</v>
      </c>
      <c r="C498">
        <v>65.71</v>
      </c>
      <c r="D498">
        <v>57.84</v>
      </c>
      <c r="E498">
        <v>22.52</v>
      </c>
      <c r="F498">
        <v>2.52</v>
      </c>
      <c r="G498">
        <v>1.19</v>
      </c>
      <c r="H498">
        <v>48839</v>
      </c>
      <c r="I498">
        <v>6.16</v>
      </c>
      <c r="J498">
        <v>79.52</v>
      </c>
      <c r="K498" t="s">
        <v>88</v>
      </c>
    </row>
    <row r="499" spans="1:11">
      <c r="A499" t="str">
        <f>"001356"</f>
        <v>001356</v>
      </c>
      <c r="B499" t="s">
        <v>719</v>
      </c>
      <c r="C499">
        <v>16.61</v>
      </c>
      <c r="D499">
        <v>25</v>
      </c>
      <c r="E499">
        <v>20.41</v>
      </c>
      <c r="F499">
        <v>5.89</v>
      </c>
      <c r="G499">
        <v>1.25</v>
      </c>
      <c r="H499">
        <v>35680</v>
      </c>
      <c r="I499">
        <v>3.83</v>
      </c>
      <c r="J499">
        <v>75.44</v>
      </c>
      <c r="K499" t="s">
        <v>549</v>
      </c>
    </row>
    <row r="500" spans="1:11">
      <c r="A500" t="str">
        <f>"001358"</f>
        <v>001358</v>
      </c>
      <c r="B500" t="s">
        <v>720</v>
      </c>
      <c r="C500">
        <v>13.34</v>
      </c>
      <c r="D500">
        <v>15.78</v>
      </c>
      <c r="E500">
        <v>14.31</v>
      </c>
      <c r="F500">
        <v>1.23</v>
      </c>
      <c r="G500">
        <v>0.51</v>
      </c>
      <c r="H500">
        <v>7575</v>
      </c>
      <c r="I500">
        <v>2.25</v>
      </c>
      <c r="J500">
        <v>54.1</v>
      </c>
      <c r="K500" t="s">
        <v>511</v>
      </c>
    </row>
    <row r="501" spans="1:11">
      <c r="A501" t="str">
        <f>"001359"</f>
        <v>001359</v>
      </c>
      <c r="B501" t="s">
        <v>721</v>
      </c>
      <c r="C501">
        <v>32.69</v>
      </c>
      <c r="D501">
        <v>23.66</v>
      </c>
      <c r="E501">
        <v>19.75</v>
      </c>
      <c r="F501">
        <v>1.86</v>
      </c>
      <c r="G501">
        <v>0.46</v>
      </c>
      <c r="H501">
        <v>12435</v>
      </c>
      <c r="I501">
        <v>6.62</v>
      </c>
      <c r="J501">
        <v>48.81</v>
      </c>
      <c r="K501" t="s">
        <v>682</v>
      </c>
    </row>
    <row r="502" spans="1:11">
      <c r="A502" t="str">
        <f>"001360"</f>
        <v>001360</v>
      </c>
      <c r="B502" t="s">
        <v>722</v>
      </c>
      <c r="C502">
        <v>20.65</v>
      </c>
      <c r="D502">
        <v>22.97</v>
      </c>
      <c r="E502">
        <v>14.18</v>
      </c>
      <c r="F502">
        <v>2.04</v>
      </c>
      <c r="G502">
        <v>0.82</v>
      </c>
      <c r="H502">
        <v>19142</v>
      </c>
      <c r="I502">
        <v>3.63</v>
      </c>
      <c r="J502">
        <v>68.65</v>
      </c>
      <c r="K502" t="s">
        <v>491</v>
      </c>
    </row>
    <row r="503" spans="1:11">
      <c r="A503" t="str">
        <f>"001366"</f>
        <v>001366</v>
      </c>
      <c r="B503" t="s">
        <v>723</v>
      </c>
      <c r="C503">
        <v>7.49</v>
      </c>
      <c r="D503">
        <v>11.46</v>
      </c>
      <c r="E503">
        <v>8.03</v>
      </c>
      <c r="F503">
        <v>1.61</v>
      </c>
      <c r="G503">
        <v>0.56</v>
      </c>
      <c r="H503">
        <v>10127</v>
      </c>
      <c r="I503">
        <v>2.69</v>
      </c>
      <c r="J503" t="s">
        <v>14</v>
      </c>
      <c r="K503" t="s">
        <v>359</v>
      </c>
    </row>
    <row r="504" spans="1:11">
      <c r="A504" t="str">
        <f>"001367"</f>
        <v>001367</v>
      </c>
      <c r="B504" t="s">
        <v>724</v>
      </c>
      <c r="C504">
        <v>9.48</v>
      </c>
      <c r="D504">
        <v>15.69</v>
      </c>
      <c r="E504">
        <v>14.32</v>
      </c>
      <c r="F504">
        <v>1.52</v>
      </c>
      <c r="G504">
        <v>0.4</v>
      </c>
      <c r="H504">
        <v>11000</v>
      </c>
      <c r="I504">
        <v>2.53</v>
      </c>
      <c r="J504">
        <v>30.93</v>
      </c>
      <c r="K504" t="s">
        <v>404</v>
      </c>
    </row>
    <row r="505" spans="1:11">
      <c r="A505" t="str">
        <f>"001368"</f>
        <v>001368</v>
      </c>
      <c r="B505" t="s">
        <v>725</v>
      </c>
      <c r="C505">
        <v>8.2</v>
      </c>
      <c r="D505">
        <v>17.42</v>
      </c>
      <c r="E505">
        <v>14.36</v>
      </c>
      <c r="F505">
        <v>1.14</v>
      </c>
      <c r="G505">
        <v>0.32</v>
      </c>
      <c r="H505">
        <v>11535</v>
      </c>
      <c r="I505">
        <v>2.03</v>
      </c>
      <c r="J505">
        <v>27.12</v>
      </c>
      <c r="K505" t="s">
        <v>637</v>
      </c>
    </row>
    <row r="506" spans="1:11">
      <c r="A506" t="str">
        <f>"001369"</f>
        <v>001369</v>
      </c>
      <c r="B506" t="s">
        <v>726</v>
      </c>
      <c r="C506">
        <v>30.28</v>
      </c>
      <c r="D506">
        <v>66.84</v>
      </c>
      <c r="E506">
        <v>50</v>
      </c>
      <c r="F506">
        <v>11.47</v>
      </c>
      <c r="G506">
        <v>2.01</v>
      </c>
      <c r="H506">
        <v>292932</v>
      </c>
      <c r="I506">
        <v>2.54</v>
      </c>
      <c r="J506">
        <v>32.06</v>
      </c>
      <c r="K506" t="s">
        <v>727</v>
      </c>
    </row>
    <row r="507" spans="1:11">
      <c r="A507" t="str">
        <f>"001373"</f>
        <v>001373</v>
      </c>
      <c r="B507" t="s">
        <v>728</v>
      </c>
      <c r="C507">
        <v>13.12</v>
      </c>
      <c r="D507">
        <v>9.96</v>
      </c>
      <c r="E507">
        <v>8.7</v>
      </c>
      <c r="F507">
        <v>0.69</v>
      </c>
      <c r="G507">
        <v>0.33</v>
      </c>
      <c r="H507">
        <v>7867</v>
      </c>
      <c r="I507">
        <v>3.13</v>
      </c>
      <c r="J507" t="s">
        <v>14</v>
      </c>
      <c r="K507" t="s">
        <v>66</v>
      </c>
    </row>
    <row r="508" spans="1:11">
      <c r="A508" t="str">
        <f>"001376"</f>
        <v>001376</v>
      </c>
      <c r="B508" t="s">
        <v>729</v>
      </c>
      <c r="C508">
        <v>34.39</v>
      </c>
      <c r="D508">
        <v>16.87</v>
      </c>
      <c r="E508">
        <v>11.7</v>
      </c>
      <c r="F508">
        <v>4.61</v>
      </c>
      <c r="G508">
        <v>2.14</v>
      </c>
      <c r="H508">
        <v>30569</v>
      </c>
      <c r="I508">
        <v>6.34</v>
      </c>
      <c r="J508">
        <v>42.02</v>
      </c>
      <c r="K508" t="s">
        <v>350</v>
      </c>
    </row>
    <row r="509" spans="1:11">
      <c r="A509" t="str">
        <f>"001378"</f>
        <v>001378</v>
      </c>
      <c r="B509" t="s">
        <v>730</v>
      </c>
      <c r="C509">
        <v>15.75</v>
      </c>
      <c r="D509">
        <v>23.39</v>
      </c>
      <c r="E509">
        <v>18.83</v>
      </c>
      <c r="F509">
        <v>1.33</v>
      </c>
      <c r="G509">
        <v>0.66</v>
      </c>
      <c r="H509">
        <v>13095</v>
      </c>
      <c r="I509">
        <v>1.7</v>
      </c>
      <c r="J509">
        <v>40.26</v>
      </c>
      <c r="K509" t="s">
        <v>496</v>
      </c>
    </row>
    <row r="510" spans="1:11">
      <c r="A510" t="str">
        <f>"001379"</f>
        <v>001379</v>
      </c>
      <c r="B510" t="s">
        <v>731</v>
      </c>
      <c r="C510">
        <v>16.1</v>
      </c>
      <c r="D510">
        <v>26.38</v>
      </c>
      <c r="E510">
        <v>15.06</v>
      </c>
      <c r="F510">
        <v>2</v>
      </c>
      <c r="G510">
        <v>0.67</v>
      </c>
      <c r="H510">
        <v>24901</v>
      </c>
      <c r="I510">
        <v>3.18</v>
      </c>
      <c r="J510">
        <v>56.77</v>
      </c>
      <c r="K510" t="s">
        <v>63</v>
      </c>
    </row>
    <row r="511" spans="1:11">
      <c r="A511" t="str">
        <f>"001380"</f>
        <v>001380</v>
      </c>
      <c r="B511" t="s">
        <v>732</v>
      </c>
      <c r="C511">
        <v>21.02</v>
      </c>
      <c r="D511">
        <v>28.07</v>
      </c>
      <c r="E511">
        <v>18.54</v>
      </c>
      <c r="F511">
        <v>2.71</v>
      </c>
      <c r="G511">
        <v>0.88</v>
      </c>
      <c r="H511">
        <v>19613</v>
      </c>
      <c r="I511">
        <v>3.49</v>
      </c>
      <c r="J511">
        <v>23.71</v>
      </c>
      <c r="K511" t="s">
        <v>51</v>
      </c>
    </row>
    <row r="512" spans="1:11">
      <c r="A512" t="str">
        <f>"001382"</f>
        <v>001382</v>
      </c>
      <c r="B512" t="s">
        <v>733</v>
      </c>
      <c r="C512">
        <v>12.96</v>
      </c>
      <c r="D512">
        <v>18.94</v>
      </c>
      <c r="E512">
        <v>15.91</v>
      </c>
      <c r="F512">
        <v>4.12</v>
      </c>
      <c r="G512">
        <v>0.62</v>
      </c>
      <c r="H512">
        <v>25753</v>
      </c>
      <c r="I512">
        <v>5.41</v>
      </c>
      <c r="J512">
        <v>83.71</v>
      </c>
      <c r="K512" t="s">
        <v>383</v>
      </c>
    </row>
    <row r="513" spans="1:11">
      <c r="A513" t="str">
        <f>"001386"</f>
        <v>001386</v>
      </c>
      <c r="B513" t="s">
        <v>734</v>
      </c>
      <c r="C513">
        <v>23.3</v>
      </c>
      <c r="D513">
        <v>149.57</v>
      </c>
      <c r="E513">
        <v>107.21</v>
      </c>
      <c r="F513">
        <v>11.95</v>
      </c>
      <c r="G513">
        <v>0.98</v>
      </c>
      <c r="H513">
        <v>156466</v>
      </c>
      <c r="I513">
        <v>2.32</v>
      </c>
      <c r="J513">
        <v>20.09</v>
      </c>
      <c r="K513" t="s">
        <v>625</v>
      </c>
    </row>
    <row r="514" spans="1:11">
      <c r="A514" t="str">
        <f>"001387"</f>
        <v>001387</v>
      </c>
      <c r="B514" t="s">
        <v>735</v>
      </c>
      <c r="C514">
        <v>16.82</v>
      </c>
      <c r="D514">
        <v>24.28</v>
      </c>
      <c r="E514">
        <v>12.51</v>
      </c>
      <c r="F514">
        <v>1.83</v>
      </c>
      <c r="G514">
        <v>1.14</v>
      </c>
      <c r="H514">
        <v>14210</v>
      </c>
      <c r="I514">
        <v>2.16</v>
      </c>
      <c r="J514">
        <v>43.7</v>
      </c>
      <c r="K514" t="s">
        <v>190</v>
      </c>
    </row>
    <row r="515" spans="1:11">
      <c r="A515" t="str">
        <f>"001388"</f>
        <v>001388</v>
      </c>
      <c r="B515" t="s">
        <v>736</v>
      </c>
      <c r="C515">
        <v>13.89</v>
      </c>
      <c r="D515">
        <v>20</v>
      </c>
      <c r="E515">
        <v>13.94</v>
      </c>
      <c r="F515">
        <v>1.56</v>
      </c>
      <c r="G515">
        <v>0.31</v>
      </c>
      <c r="H515">
        <v>24901</v>
      </c>
      <c r="I515">
        <v>4.98</v>
      </c>
      <c r="J515">
        <v>73.8</v>
      </c>
      <c r="K515" t="s">
        <v>127</v>
      </c>
    </row>
    <row r="516" spans="1:11">
      <c r="A516" t="str">
        <f>"001389"</f>
        <v>001389</v>
      </c>
      <c r="B516" t="s">
        <v>737</v>
      </c>
      <c r="C516">
        <v>119.38</v>
      </c>
      <c r="D516">
        <v>67.72</v>
      </c>
      <c r="E516">
        <v>36.34</v>
      </c>
      <c r="F516">
        <v>4.26</v>
      </c>
      <c r="G516">
        <v>1.51</v>
      </c>
      <c r="H516">
        <v>23999</v>
      </c>
      <c r="I516">
        <v>9.24</v>
      </c>
      <c r="J516">
        <v>34.84</v>
      </c>
      <c r="K516" t="s">
        <v>472</v>
      </c>
    </row>
    <row r="517" spans="1:11">
      <c r="A517" t="str">
        <f>"001390"</f>
        <v>001390</v>
      </c>
      <c r="B517" t="s">
        <v>738</v>
      </c>
      <c r="C517">
        <v>12.55</v>
      </c>
      <c r="D517">
        <v>21.48</v>
      </c>
      <c r="E517">
        <v>15.87</v>
      </c>
      <c r="F517">
        <v>2</v>
      </c>
      <c r="G517">
        <v>0.5</v>
      </c>
      <c r="H517">
        <v>23320</v>
      </c>
      <c r="I517">
        <v>3.16</v>
      </c>
      <c r="J517">
        <v>27.16</v>
      </c>
      <c r="K517" t="s">
        <v>577</v>
      </c>
    </row>
    <row r="518" spans="1:11">
      <c r="A518" t="str">
        <f>"001391"</f>
        <v>001391</v>
      </c>
      <c r="B518" t="s">
        <v>739</v>
      </c>
      <c r="C518">
        <v>91.01</v>
      </c>
      <c r="D518">
        <v>290.61</v>
      </c>
      <c r="E518">
        <v>260.95</v>
      </c>
      <c r="F518">
        <v>122.09</v>
      </c>
      <c r="G518">
        <v>15.19</v>
      </c>
      <c r="H518">
        <v>134973</v>
      </c>
      <c r="I518">
        <v>2.8</v>
      </c>
      <c r="J518">
        <v>29.87</v>
      </c>
      <c r="K518" t="s">
        <v>740</v>
      </c>
    </row>
    <row r="519" spans="1:11">
      <c r="A519" t="str">
        <f>"001395"</f>
        <v>001395</v>
      </c>
      <c r="B519" t="s">
        <v>741</v>
      </c>
      <c r="C519">
        <v>8.68</v>
      </c>
      <c r="D519">
        <v>21.4</v>
      </c>
      <c r="E519">
        <v>11.5</v>
      </c>
      <c r="F519">
        <v>0.87</v>
      </c>
      <c r="G519">
        <v>0.2</v>
      </c>
      <c r="H519">
        <v>8537</v>
      </c>
      <c r="I519">
        <v>3.34</v>
      </c>
      <c r="J519">
        <v>20.7</v>
      </c>
      <c r="K519" t="s">
        <v>493</v>
      </c>
    </row>
    <row r="520" spans="1:11">
      <c r="A520" t="str">
        <f>"001396"</f>
        <v>001396</v>
      </c>
      <c r="B520" t="s">
        <v>742</v>
      </c>
      <c r="C520">
        <v>9.04</v>
      </c>
      <c r="D520">
        <v>14.4</v>
      </c>
      <c r="E520">
        <v>8.65</v>
      </c>
      <c r="F520">
        <v>1.07</v>
      </c>
      <c r="G520">
        <v>0.22</v>
      </c>
      <c r="H520">
        <v>41316</v>
      </c>
      <c r="I520">
        <v>3.15</v>
      </c>
      <c r="J520">
        <v>42.56</v>
      </c>
      <c r="K520" t="s">
        <v>100</v>
      </c>
    </row>
    <row r="521" spans="1:11">
      <c r="A521" t="str">
        <f>"001400"</f>
        <v>001400</v>
      </c>
      <c r="B521" t="s">
        <v>743</v>
      </c>
      <c r="C521">
        <v>18.07</v>
      </c>
      <c r="D521">
        <v>18.81</v>
      </c>
      <c r="E521">
        <v>12.3</v>
      </c>
      <c r="F521">
        <v>0.6</v>
      </c>
      <c r="G521">
        <v>0.15</v>
      </c>
      <c r="H521">
        <v>6896</v>
      </c>
      <c r="I521">
        <v>5.88</v>
      </c>
      <c r="J521">
        <v>82.83</v>
      </c>
      <c r="K521" t="s">
        <v>744</v>
      </c>
    </row>
    <row r="522" spans="1:11">
      <c r="A522" t="str">
        <f>"001696"</f>
        <v>001696</v>
      </c>
      <c r="B522" t="s">
        <v>745</v>
      </c>
      <c r="C522">
        <v>204.75</v>
      </c>
      <c r="D522">
        <v>127.03</v>
      </c>
      <c r="E522">
        <v>54.83</v>
      </c>
      <c r="F522">
        <v>11.45</v>
      </c>
      <c r="G522">
        <v>8.91</v>
      </c>
      <c r="H522">
        <v>164538</v>
      </c>
      <c r="I522">
        <v>4.8</v>
      </c>
      <c r="J522">
        <v>26.03</v>
      </c>
      <c r="K522" t="s">
        <v>744</v>
      </c>
    </row>
    <row r="523" spans="1:11">
      <c r="A523" t="str">
        <f>"001872"</f>
        <v>001872</v>
      </c>
      <c r="B523" t="s">
        <v>746</v>
      </c>
      <c r="C523">
        <v>446.57</v>
      </c>
      <c r="D523">
        <v>2032.4</v>
      </c>
      <c r="E523">
        <v>636.38</v>
      </c>
      <c r="F523">
        <v>24.82</v>
      </c>
      <c r="G523">
        <v>23.02</v>
      </c>
      <c r="H523">
        <v>29439</v>
      </c>
      <c r="I523">
        <v>0.76</v>
      </c>
      <c r="J523">
        <v>9.49</v>
      </c>
      <c r="K523" t="s">
        <v>96</v>
      </c>
    </row>
    <row r="524" spans="1:11">
      <c r="A524" t="str">
        <f>"001896"</f>
        <v>001896</v>
      </c>
      <c r="B524" t="s">
        <v>747</v>
      </c>
      <c r="C524">
        <v>95.36</v>
      </c>
      <c r="D524">
        <v>318.02</v>
      </c>
      <c r="E524">
        <v>34.48</v>
      </c>
      <c r="F524">
        <v>15.26</v>
      </c>
      <c r="G524">
        <v>15.26</v>
      </c>
      <c r="H524">
        <v>66428</v>
      </c>
      <c r="I524">
        <v>2.77</v>
      </c>
      <c r="J524">
        <v>24.86</v>
      </c>
      <c r="K524" t="s">
        <v>46</v>
      </c>
    </row>
    <row r="525" spans="1:11">
      <c r="A525" t="str">
        <f>"001914"</f>
        <v>001914</v>
      </c>
      <c r="B525" t="s">
        <v>748</v>
      </c>
      <c r="C525">
        <v>115.7</v>
      </c>
      <c r="D525">
        <v>193.25</v>
      </c>
      <c r="E525">
        <v>108.45</v>
      </c>
      <c r="F525">
        <v>10.54</v>
      </c>
      <c r="G525">
        <v>10.54</v>
      </c>
      <c r="H525">
        <v>20396</v>
      </c>
      <c r="I525">
        <v>1.07</v>
      </c>
      <c r="J525">
        <v>12.64</v>
      </c>
      <c r="K525" t="s">
        <v>28</v>
      </c>
    </row>
    <row r="526" spans="1:11">
      <c r="A526" t="str">
        <f>"001965"</f>
        <v>001965</v>
      </c>
      <c r="B526" t="s">
        <v>749</v>
      </c>
      <c r="C526">
        <v>663.88</v>
      </c>
      <c r="D526">
        <v>1608.82</v>
      </c>
      <c r="E526">
        <v>721.38</v>
      </c>
      <c r="F526">
        <v>67.95</v>
      </c>
      <c r="G526">
        <v>67.95</v>
      </c>
      <c r="H526">
        <v>47973</v>
      </c>
      <c r="I526">
        <v>1</v>
      </c>
      <c r="J526">
        <v>12.41</v>
      </c>
      <c r="K526" t="s">
        <v>161</v>
      </c>
    </row>
    <row r="527" spans="1:11">
      <c r="A527" t="str">
        <f>"001979"</f>
        <v>001979</v>
      </c>
      <c r="B527" t="s">
        <v>750</v>
      </c>
      <c r="C527">
        <v>759.79</v>
      </c>
      <c r="D527">
        <v>8614.76</v>
      </c>
      <c r="E527">
        <v>1050.33</v>
      </c>
      <c r="F527">
        <v>90.16</v>
      </c>
      <c r="G527">
        <v>84.14</v>
      </c>
      <c r="H527">
        <v>102616</v>
      </c>
      <c r="I527">
        <v>0.82</v>
      </c>
      <c r="J527">
        <v>24.45</v>
      </c>
      <c r="K527" t="s">
        <v>15</v>
      </c>
    </row>
    <row r="528" spans="1:11">
      <c r="A528" t="str">
        <f>"002001"</f>
        <v>002001</v>
      </c>
      <c r="B528" t="s">
        <v>751</v>
      </c>
      <c r="C528">
        <v>768.33</v>
      </c>
      <c r="D528">
        <v>450.94</v>
      </c>
      <c r="E528">
        <v>322.03</v>
      </c>
      <c r="F528">
        <v>30.73</v>
      </c>
      <c r="G528">
        <v>30.37</v>
      </c>
      <c r="H528">
        <v>82471</v>
      </c>
      <c r="I528">
        <v>2.41</v>
      </c>
      <c r="J528">
        <v>10.96</v>
      </c>
      <c r="K528" t="s">
        <v>752</v>
      </c>
    </row>
    <row r="529" spans="1:11">
      <c r="A529" t="str">
        <f>"002003"</f>
        <v>002003</v>
      </c>
      <c r="B529" t="s">
        <v>753</v>
      </c>
      <c r="C529">
        <v>107.22</v>
      </c>
      <c r="D529">
        <v>69.37</v>
      </c>
      <c r="E529">
        <v>46.08</v>
      </c>
      <c r="F529">
        <v>11.89</v>
      </c>
      <c r="G529">
        <v>10.22</v>
      </c>
      <c r="H529">
        <v>28172</v>
      </c>
      <c r="I529">
        <v>2.66</v>
      </c>
      <c r="J529">
        <v>16.03</v>
      </c>
      <c r="K529" t="s">
        <v>754</v>
      </c>
    </row>
    <row r="530" spans="1:11">
      <c r="A530" t="str">
        <f>"002004"</f>
        <v>002004</v>
      </c>
      <c r="B530" t="s">
        <v>755</v>
      </c>
      <c r="C530">
        <v>102.55</v>
      </c>
      <c r="D530">
        <v>292.44</v>
      </c>
      <c r="E530">
        <v>96.99</v>
      </c>
      <c r="F530">
        <v>19.8</v>
      </c>
      <c r="G530">
        <v>18.82</v>
      </c>
      <c r="H530">
        <v>72377</v>
      </c>
      <c r="I530">
        <v>1.11</v>
      </c>
      <c r="J530">
        <v>13.23</v>
      </c>
      <c r="K530" t="s">
        <v>196</v>
      </c>
    </row>
    <row r="531" spans="1:11">
      <c r="A531" t="str">
        <f>"002005"</f>
        <v>002005</v>
      </c>
      <c r="B531" t="s">
        <v>756</v>
      </c>
      <c r="C531">
        <v>50.63</v>
      </c>
      <c r="D531">
        <v>12.13</v>
      </c>
      <c r="E531">
        <v>3.69</v>
      </c>
      <c r="F531">
        <v>17.52</v>
      </c>
      <c r="G531">
        <v>17.52</v>
      </c>
      <c r="H531">
        <v>31521</v>
      </c>
      <c r="I531">
        <v>13.7</v>
      </c>
      <c r="J531">
        <v>42.13</v>
      </c>
      <c r="K531" t="s">
        <v>660</v>
      </c>
    </row>
    <row r="532" spans="1:11">
      <c r="A532" t="str">
        <f>"002006"</f>
        <v>002006</v>
      </c>
      <c r="B532" t="s">
        <v>757</v>
      </c>
      <c r="C532">
        <v>114.77</v>
      </c>
      <c r="D532">
        <v>41.78</v>
      </c>
      <c r="E532">
        <v>24.03</v>
      </c>
      <c r="F532">
        <v>5.2</v>
      </c>
      <c r="G532">
        <v>5.2</v>
      </c>
      <c r="H532">
        <v>44071</v>
      </c>
      <c r="I532">
        <v>4.78</v>
      </c>
      <c r="J532">
        <v>59.47</v>
      </c>
      <c r="K532" t="s">
        <v>758</v>
      </c>
    </row>
    <row r="533" spans="1:11">
      <c r="A533" t="str">
        <f>"002007"</f>
        <v>002007</v>
      </c>
      <c r="B533" t="s">
        <v>759</v>
      </c>
      <c r="C533">
        <v>245.81</v>
      </c>
      <c r="D533">
        <v>162.67</v>
      </c>
      <c r="E533">
        <v>113.72</v>
      </c>
      <c r="F533">
        <v>18.27</v>
      </c>
      <c r="G533">
        <v>15.74</v>
      </c>
      <c r="H533">
        <v>148000</v>
      </c>
      <c r="I533">
        <v>2.51</v>
      </c>
      <c r="J533">
        <v>27.29</v>
      </c>
      <c r="K533" t="s">
        <v>132</v>
      </c>
    </row>
    <row r="534" spans="1:11">
      <c r="A534" t="str">
        <f>"002008"</f>
        <v>002008</v>
      </c>
      <c r="B534" t="s">
        <v>760</v>
      </c>
      <c r="C534">
        <v>410.82</v>
      </c>
      <c r="D534">
        <v>375.04</v>
      </c>
      <c r="E534">
        <v>169.7</v>
      </c>
      <c r="F534">
        <v>10.3</v>
      </c>
      <c r="G534">
        <v>9.57</v>
      </c>
      <c r="H534">
        <v>123037</v>
      </c>
      <c r="I534">
        <v>2.61</v>
      </c>
      <c r="J534">
        <v>38.41</v>
      </c>
      <c r="K534" t="s">
        <v>604</v>
      </c>
    </row>
    <row r="535" spans="1:11">
      <c r="A535" t="str">
        <f>"002009"</f>
        <v>002009</v>
      </c>
      <c r="B535" t="s">
        <v>761</v>
      </c>
      <c r="C535">
        <v>77.34</v>
      </c>
      <c r="D535">
        <v>55.1</v>
      </c>
      <c r="E535">
        <v>20.02</v>
      </c>
      <c r="F535">
        <v>4.02</v>
      </c>
      <c r="G535">
        <v>3.54</v>
      </c>
      <c r="H535">
        <v>56261</v>
      </c>
      <c r="I535">
        <v>4.39</v>
      </c>
      <c r="J535">
        <v>98.04</v>
      </c>
      <c r="K535" t="s">
        <v>493</v>
      </c>
    </row>
    <row r="536" spans="1:11">
      <c r="A536" t="str">
        <f>"002010"</f>
        <v>002010</v>
      </c>
      <c r="B536" t="s">
        <v>762</v>
      </c>
      <c r="C536">
        <v>178.93</v>
      </c>
      <c r="D536">
        <v>386.42</v>
      </c>
      <c r="E536">
        <v>180.86</v>
      </c>
      <c r="F536">
        <v>27.64</v>
      </c>
      <c r="G536">
        <v>27.57</v>
      </c>
      <c r="H536">
        <v>48751</v>
      </c>
      <c r="I536">
        <v>1</v>
      </c>
      <c r="J536">
        <v>21.12</v>
      </c>
      <c r="K536" t="s">
        <v>536</v>
      </c>
    </row>
    <row r="537" spans="1:11">
      <c r="A537" t="str">
        <f>"002011"</f>
        <v>002011</v>
      </c>
      <c r="B537" t="s">
        <v>763</v>
      </c>
      <c r="C537">
        <v>137.74</v>
      </c>
      <c r="D537">
        <v>117.88</v>
      </c>
      <c r="E537">
        <v>63.48</v>
      </c>
      <c r="F537">
        <v>10.75</v>
      </c>
      <c r="G537">
        <v>10.6</v>
      </c>
      <c r="H537">
        <v>46801</v>
      </c>
      <c r="I537">
        <v>2.18</v>
      </c>
      <c r="J537">
        <v>13.63</v>
      </c>
      <c r="K537" t="s">
        <v>134</v>
      </c>
    </row>
    <row r="538" spans="1:11">
      <c r="A538" t="str">
        <f>"002012"</f>
        <v>002012</v>
      </c>
      <c r="B538" t="s">
        <v>764</v>
      </c>
      <c r="C538">
        <v>28.8</v>
      </c>
      <c r="D538">
        <v>19.35</v>
      </c>
      <c r="E538">
        <v>15.42</v>
      </c>
      <c r="F538">
        <v>4.68</v>
      </c>
      <c r="G538">
        <v>4.67</v>
      </c>
      <c r="H538">
        <v>26473</v>
      </c>
      <c r="I538">
        <v>1.87</v>
      </c>
      <c r="J538">
        <v>124.21</v>
      </c>
      <c r="K538" t="s">
        <v>765</v>
      </c>
    </row>
    <row r="539" spans="1:11">
      <c r="A539" t="str">
        <f>"002014"</f>
        <v>002014</v>
      </c>
      <c r="B539" t="s">
        <v>766</v>
      </c>
      <c r="C539">
        <v>70.06</v>
      </c>
      <c r="D539">
        <v>41.71</v>
      </c>
      <c r="E539">
        <v>23.47</v>
      </c>
      <c r="F539">
        <v>6.12</v>
      </c>
      <c r="G539">
        <v>6.05</v>
      </c>
      <c r="H539">
        <v>19896</v>
      </c>
      <c r="I539">
        <v>3.02</v>
      </c>
      <c r="J539">
        <v>17.22</v>
      </c>
      <c r="K539" t="s">
        <v>324</v>
      </c>
    </row>
    <row r="540" spans="1:11">
      <c r="A540" t="str">
        <f>"002015"</f>
        <v>002015</v>
      </c>
      <c r="B540" t="s">
        <v>767</v>
      </c>
      <c r="C540">
        <v>176.46</v>
      </c>
      <c r="D540">
        <v>409.62</v>
      </c>
      <c r="E540">
        <v>123.38</v>
      </c>
      <c r="F540">
        <v>16.23</v>
      </c>
      <c r="G540">
        <v>16.23</v>
      </c>
      <c r="H540">
        <v>78034</v>
      </c>
      <c r="I540">
        <v>1.43</v>
      </c>
      <c r="J540">
        <v>17.36</v>
      </c>
      <c r="K540" t="s">
        <v>505</v>
      </c>
    </row>
    <row r="541" spans="1:11">
      <c r="A541" t="str">
        <f>"002016"</f>
        <v>002016</v>
      </c>
      <c r="B541" t="s">
        <v>768</v>
      </c>
      <c r="C541">
        <v>47.17</v>
      </c>
      <c r="D541">
        <v>77.36</v>
      </c>
      <c r="E541">
        <v>49</v>
      </c>
      <c r="F541">
        <v>8.09</v>
      </c>
      <c r="G541">
        <v>8.09</v>
      </c>
      <c r="H541">
        <v>18193</v>
      </c>
      <c r="I541">
        <v>0.96</v>
      </c>
      <c r="J541">
        <v>28.51</v>
      </c>
      <c r="K541" t="s">
        <v>15</v>
      </c>
    </row>
    <row r="542" spans="1:11">
      <c r="A542" t="str">
        <f>"002017"</f>
        <v>002017</v>
      </c>
      <c r="B542" t="s">
        <v>769</v>
      </c>
      <c r="C542">
        <v>165.44</v>
      </c>
      <c r="D542">
        <v>29.68</v>
      </c>
      <c r="E542">
        <v>17.69</v>
      </c>
      <c r="F542">
        <v>5.8</v>
      </c>
      <c r="G542">
        <v>5.8</v>
      </c>
      <c r="H542">
        <v>94544</v>
      </c>
      <c r="I542">
        <v>9.36</v>
      </c>
      <c r="J542">
        <v>110.43</v>
      </c>
      <c r="K542" t="s">
        <v>770</v>
      </c>
    </row>
    <row r="543" spans="1:11">
      <c r="A543" t="str">
        <f>"002019"</f>
        <v>002019</v>
      </c>
      <c r="B543" t="s">
        <v>771</v>
      </c>
      <c r="C543">
        <v>106.95</v>
      </c>
      <c r="D543">
        <v>131.06</v>
      </c>
      <c r="E543">
        <v>88.31</v>
      </c>
      <c r="F543">
        <v>12.16</v>
      </c>
      <c r="G543">
        <v>8.41</v>
      </c>
      <c r="H543">
        <v>49535</v>
      </c>
      <c r="I543">
        <v>1.75</v>
      </c>
      <c r="J543">
        <v>29.9</v>
      </c>
      <c r="K543" t="s">
        <v>109</v>
      </c>
    </row>
    <row r="544" spans="1:11">
      <c r="A544" t="str">
        <f>"002020"</f>
        <v>002020</v>
      </c>
      <c r="B544" t="s">
        <v>772</v>
      </c>
      <c r="C544">
        <v>132.99</v>
      </c>
      <c r="D544">
        <v>79.79</v>
      </c>
      <c r="E544">
        <v>56.51</v>
      </c>
      <c r="F544">
        <v>8.61</v>
      </c>
      <c r="G544">
        <v>7.24</v>
      </c>
      <c r="H544">
        <v>22318</v>
      </c>
      <c r="I544">
        <v>2.8</v>
      </c>
      <c r="J544">
        <v>20.61</v>
      </c>
      <c r="K544" t="s">
        <v>109</v>
      </c>
    </row>
    <row r="545" spans="1:11">
      <c r="A545" t="str">
        <f>"002021"</f>
        <v>002021</v>
      </c>
      <c r="B545" t="s">
        <v>773</v>
      </c>
      <c r="C545">
        <v>33.35</v>
      </c>
      <c r="D545">
        <v>8.63</v>
      </c>
      <c r="E545">
        <v>6.22</v>
      </c>
      <c r="F545">
        <v>11.95</v>
      </c>
      <c r="G545">
        <v>11.95</v>
      </c>
      <c r="H545">
        <v>51275</v>
      </c>
      <c r="I545">
        <v>5.37</v>
      </c>
      <c r="J545">
        <v>2051.28</v>
      </c>
      <c r="K545" t="s">
        <v>758</v>
      </c>
    </row>
    <row r="546" spans="1:11">
      <c r="A546" t="str">
        <f>"002022"</f>
        <v>002022</v>
      </c>
      <c r="B546" t="s">
        <v>774</v>
      </c>
      <c r="C546">
        <v>32.4</v>
      </c>
      <c r="D546">
        <v>51.7</v>
      </c>
      <c r="E546">
        <v>31.44</v>
      </c>
      <c r="F546">
        <v>5.14</v>
      </c>
      <c r="G546">
        <v>5.14</v>
      </c>
      <c r="H546">
        <v>48108</v>
      </c>
      <c r="I546">
        <v>1.05</v>
      </c>
      <c r="J546" t="s">
        <v>14</v>
      </c>
      <c r="K546" t="s">
        <v>775</v>
      </c>
    </row>
    <row r="547" spans="1:11">
      <c r="A547" t="str">
        <f>"002023"</f>
        <v>002023</v>
      </c>
      <c r="B547" t="s">
        <v>776</v>
      </c>
      <c r="C547">
        <v>105.5</v>
      </c>
      <c r="D547">
        <v>67.98</v>
      </c>
      <c r="E547">
        <v>43.7</v>
      </c>
      <c r="F547">
        <v>7.41</v>
      </c>
      <c r="G547">
        <v>7.41</v>
      </c>
      <c r="H547">
        <v>86515</v>
      </c>
      <c r="I547">
        <v>2.41</v>
      </c>
      <c r="J547">
        <v>66.49</v>
      </c>
      <c r="K547" t="s">
        <v>353</v>
      </c>
    </row>
    <row r="548" spans="1:11">
      <c r="A548" t="str">
        <f>"002024"</f>
        <v>002024</v>
      </c>
      <c r="B548" t="s">
        <v>777</v>
      </c>
      <c r="C548">
        <v>151.7</v>
      </c>
      <c r="D548">
        <v>1147.47</v>
      </c>
      <c r="E548">
        <v>125.87</v>
      </c>
      <c r="F548">
        <v>92.65</v>
      </c>
      <c r="G548">
        <v>91.94</v>
      </c>
      <c r="H548">
        <v>180847</v>
      </c>
      <c r="I548">
        <v>1.21</v>
      </c>
      <c r="J548">
        <v>156.35</v>
      </c>
      <c r="K548" t="s">
        <v>778</v>
      </c>
    </row>
    <row r="549" spans="1:11">
      <c r="A549" t="str">
        <f>"002025"</f>
        <v>002025</v>
      </c>
      <c r="B549" t="s">
        <v>779</v>
      </c>
      <c r="C549">
        <v>269.46</v>
      </c>
      <c r="D549">
        <v>121.03</v>
      </c>
      <c r="E549">
        <v>65.1</v>
      </c>
      <c r="F549">
        <v>4.55</v>
      </c>
      <c r="G549">
        <v>4.54</v>
      </c>
      <c r="H549">
        <v>23632</v>
      </c>
      <c r="I549">
        <v>4.15</v>
      </c>
      <c r="J549">
        <v>138.86</v>
      </c>
      <c r="K549" t="s">
        <v>223</v>
      </c>
    </row>
    <row r="550" spans="1:11">
      <c r="A550" t="str">
        <f>"002026"</f>
        <v>002026</v>
      </c>
      <c r="B550" t="s">
        <v>780</v>
      </c>
      <c r="C550">
        <v>64.08</v>
      </c>
      <c r="D550">
        <v>47.2</v>
      </c>
      <c r="E550">
        <v>37.78</v>
      </c>
      <c r="F550">
        <v>4.41</v>
      </c>
      <c r="G550">
        <v>4.23</v>
      </c>
      <c r="H550">
        <v>35670</v>
      </c>
      <c r="I550">
        <v>1.77</v>
      </c>
      <c r="J550">
        <v>21.78</v>
      </c>
      <c r="K550" t="s">
        <v>424</v>
      </c>
    </row>
    <row r="551" spans="1:11">
      <c r="A551" t="str">
        <f>"002027"</f>
        <v>002027</v>
      </c>
      <c r="B551" t="s">
        <v>781</v>
      </c>
      <c r="C551">
        <v>1126.49</v>
      </c>
      <c r="D551">
        <v>237.89</v>
      </c>
      <c r="E551">
        <v>164.67</v>
      </c>
      <c r="F551">
        <v>144.42</v>
      </c>
      <c r="G551">
        <v>144.42</v>
      </c>
      <c r="H551">
        <v>168643</v>
      </c>
      <c r="I551">
        <v>6.84</v>
      </c>
      <c r="J551">
        <v>19.92</v>
      </c>
      <c r="K551" t="s">
        <v>283</v>
      </c>
    </row>
    <row r="552" spans="1:11">
      <c r="A552" t="str">
        <f>"002028"</f>
        <v>002028</v>
      </c>
      <c r="B552" t="s">
        <v>782</v>
      </c>
      <c r="C552">
        <v>986.43</v>
      </c>
      <c r="D552">
        <v>272.57</v>
      </c>
      <c r="E552">
        <v>144.55</v>
      </c>
      <c r="F552">
        <v>7.81</v>
      </c>
      <c r="G552">
        <v>6.09</v>
      </c>
      <c r="H552">
        <v>20973</v>
      </c>
      <c r="I552">
        <v>8.75</v>
      </c>
      <c r="J552">
        <v>43.27</v>
      </c>
      <c r="K552" t="s">
        <v>208</v>
      </c>
    </row>
    <row r="553" spans="1:11">
      <c r="A553" t="str">
        <f>"002029"</f>
        <v>002029</v>
      </c>
      <c r="B553" t="s">
        <v>783</v>
      </c>
      <c r="C553">
        <v>91.43</v>
      </c>
      <c r="D553">
        <v>101.91</v>
      </c>
      <c r="E553">
        <v>68.22</v>
      </c>
      <c r="F553">
        <v>7.05</v>
      </c>
      <c r="G553">
        <v>6.65</v>
      </c>
      <c r="H553">
        <v>43188</v>
      </c>
      <c r="I553">
        <v>1.42</v>
      </c>
      <c r="J553">
        <v>18.04</v>
      </c>
      <c r="K553" t="s">
        <v>622</v>
      </c>
    </row>
    <row r="554" spans="1:11">
      <c r="A554" t="str">
        <f>"002030"</f>
        <v>002030</v>
      </c>
      <c r="B554" t="s">
        <v>784</v>
      </c>
      <c r="C554">
        <v>91.79</v>
      </c>
      <c r="D554">
        <v>90.94</v>
      </c>
      <c r="E554">
        <v>77.41</v>
      </c>
      <c r="F554">
        <v>14.03</v>
      </c>
      <c r="G554">
        <v>14.03</v>
      </c>
      <c r="H554">
        <v>132000</v>
      </c>
      <c r="I554">
        <v>1.19</v>
      </c>
      <c r="J554" t="s">
        <v>14</v>
      </c>
      <c r="K554" t="s">
        <v>775</v>
      </c>
    </row>
    <row r="555" spans="1:11">
      <c r="A555" t="str">
        <f>"002031"</f>
        <v>002031</v>
      </c>
      <c r="B555" t="s">
        <v>785</v>
      </c>
      <c r="C555">
        <v>159.95</v>
      </c>
      <c r="D555">
        <v>39.91</v>
      </c>
      <c r="E555">
        <v>21.25</v>
      </c>
      <c r="F555">
        <v>21.99</v>
      </c>
      <c r="G555">
        <v>19.39</v>
      </c>
      <c r="H555">
        <v>371211</v>
      </c>
      <c r="I555">
        <v>8.54</v>
      </c>
      <c r="J555" t="s">
        <v>14</v>
      </c>
      <c r="K555" t="s">
        <v>493</v>
      </c>
    </row>
    <row r="556" spans="1:11">
      <c r="A556" t="str">
        <f>"002032"</f>
        <v>002032</v>
      </c>
      <c r="B556" t="s">
        <v>786</v>
      </c>
      <c r="C556">
        <v>358.78</v>
      </c>
      <c r="D556">
        <v>126.36</v>
      </c>
      <c r="E556">
        <v>55.4</v>
      </c>
      <c r="F556">
        <v>8.01</v>
      </c>
      <c r="G556">
        <v>8.01</v>
      </c>
      <c r="H556">
        <v>20543</v>
      </c>
      <c r="I556">
        <v>6.48</v>
      </c>
      <c r="J556">
        <v>19.71</v>
      </c>
      <c r="K556" t="s">
        <v>660</v>
      </c>
    </row>
    <row r="557" spans="1:11">
      <c r="A557" t="str">
        <f>"002033"</f>
        <v>002033</v>
      </c>
      <c r="B557" t="s">
        <v>787</v>
      </c>
      <c r="C557">
        <v>51.49</v>
      </c>
      <c r="D557">
        <v>31.22</v>
      </c>
      <c r="E557">
        <v>25.37</v>
      </c>
      <c r="F557">
        <v>5.49</v>
      </c>
      <c r="G557">
        <v>5.49</v>
      </c>
      <c r="H557">
        <v>42150</v>
      </c>
      <c r="I557">
        <v>2.03</v>
      </c>
      <c r="J557">
        <v>20.12</v>
      </c>
      <c r="K557" t="s">
        <v>163</v>
      </c>
    </row>
    <row r="558" spans="1:11">
      <c r="A558" t="str">
        <f>"002034"</f>
        <v>002034</v>
      </c>
      <c r="B558" t="s">
        <v>788</v>
      </c>
      <c r="C558">
        <v>70.22</v>
      </c>
      <c r="D558">
        <v>142.57</v>
      </c>
      <c r="E558">
        <v>70.85</v>
      </c>
      <c r="F558">
        <v>4.34</v>
      </c>
      <c r="G558">
        <v>4.32</v>
      </c>
      <c r="H558">
        <v>16482</v>
      </c>
      <c r="I558">
        <v>1.02</v>
      </c>
      <c r="J558">
        <v>9.6</v>
      </c>
      <c r="K558" t="s">
        <v>59</v>
      </c>
    </row>
    <row r="559" spans="1:11">
      <c r="A559" t="str">
        <f>"002035"</f>
        <v>002035</v>
      </c>
      <c r="B559" t="s">
        <v>789</v>
      </c>
      <c r="C559">
        <v>48.83</v>
      </c>
      <c r="D559">
        <v>69.93</v>
      </c>
      <c r="E559">
        <v>38.86</v>
      </c>
      <c r="F559">
        <v>8.48</v>
      </c>
      <c r="G559">
        <v>7.8</v>
      </c>
      <c r="H559">
        <v>36101</v>
      </c>
      <c r="I559">
        <v>1.37</v>
      </c>
      <c r="J559">
        <v>11.19</v>
      </c>
      <c r="K559" t="s">
        <v>790</v>
      </c>
    </row>
    <row r="560" spans="1:11">
      <c r="A560" t="str">
        <f>"002036"</f>
        <v>002036</v>
      </c>
      <c r="B560" t="s">
        <v>791</v>
      </c>
      <c r="C560">
        <v>126.09</v>
      </c>
      <c r="D560">
        <v>169.35</v>
      </c>
      <c r="E560">
        <v>21.92</v>
      </c>
      <c r="F560">
        <v>10.55</v>
      </c>
      <c r="G560">
        <v>10.53</v>
      </c>
      <c r="H560">
        <v>128697</v>
      </c>
      <c r="I560">
        <v>5.89</v>
      </c>
      <c r="J560">
        <v>186.07</v>
      </c>
      <c r="K560" t="s">
        <v>66</v>
      </c>
    </row>
    <row r="561" spans="1:11">
      <c r="A561" t="str">
        <f>"002037"</f>
        <v>002037</v>
      </c>
      <c r="B561" t="s">
        <v>792</v>
      </c>
      <c r="C561">
        <v>47.08</v>
      </c>
      <c r="D561">
        <v>168.55</v>
      </c>
      <c r="E561">
        <v>18.77</v>
      </c>
      <c r="F561">
        <v>4.84</v>
      </c>
      <c r="G561">
        <v>4.84</v>
      </c>
      <c r="H561">
        <v>40773</v>
      </c>
      <c r="I561">
        <v>2.51</v>
      </c>
      <c r="J561" t="s">
        <v>14</v>
      </c>
      <c r="K561" t="s">
        <v>793</v>
      </c>
    </row>
    <row r="562" spans="1:11">
      <c r="A562" t="str">
        <f>"002038"</f>
        <v>002038</v>
      </c>
      <c r="B562" t="s">
        <v>794</v>
      </c>
      <c r="C562">
        <v>66.62</v>
      </c>
      <c r="D562">
        <v>60.29</v>
      </c>
      <c r="E562">
        <v>56.93</v>
      </c>
      <c r="F562">
        <v>10.27</v>
      </c>
      <c r="G562">
        <v>8.52</v>
      </c>
      <c r="H562">
        <v>54779</v>
      </c>
      <c r="I562">
        <v>1.41</v>
      </c>
      <c r="J562">
        <v>42.7</v>
      </c>
      <c r="K562" t="s">
        <v>184</v>
      </c>
    </row>
    <row r="563" spans="1:11">
      <c r="A563" t="str">
        <f>"002039"</f>
        <v>002039</v>
      </c>
      <c r="B563" t="s">
        <v>795</v>
      </c>
      <c r="C563">
        <v>78.8</v>
      </c>
      <c r="D563">
        <v>155.99</v>
      </c>
      <c r="E563">
        <v>43.44</v>
      </c>
      <c r="F563">
        <v>4.28</v>
      </c>
      <c r="G563">
        <v>4.28</v>
      </c>
      <c r="H563">
        <v>15810</v>
      </c>
      <c r="I563">
        <v>1.81</v>
      </c>
      <c r="J563">
        <v>11.99</v>
      </c>
      <c r="K563" t="s">
        <v>278</v>
      </c>
    </row>
    <row r="564" spans="1:11">
      <c r="A564" t="str">
        <f>"002040"</f>
        <v>002040</v>
      </c>
      <c r="B564" t="s">
        <v>796</v>
      </c>
      <c r="C564">
        <v>49.58</v>
      </c>
      <c r="D564">
        <v>53.82</v>
      </c>
      <c r="E564">
        <v>33.78</v>
      </c>
      <c r="F564">
        <v>4.88</v>
      </c>
      <c r="G564">
        <v>4.86</v>
      </c>
      <c r="H564">
        <v>49780</v>
      </c>
      <c r="I564">
        <v>1.47</v>
      </c>
      <c r="J564">
        <v>26.52</v>
      </c>
      <c r="K564" t="s">
        <v>96</v>
      </c>
    </row>
    <row r="565" spans="1:11">
      <c r="A565" t="str">
        <f>"002041"</f>
        <v>002041</v>
      </c>
      <c r="B565" t="s">
        <v>797</v>
      </c>
      <c r="C565">
        <v>84.83</v>
      </c>
      <c r="D565">
        <v>50.9</v>
      </c>
      <c r="E565">
        <v>36.23</v>
      </c>
      <c r="F565">
        <v>8.8</v>
      </c>
      <c r="G565">
        <v>8.8</v>
      </c>
      <c r="H565">
        <v>63104</v>
      </c>
      <c r="I565">
        <v>2.34</v>
      </c>
      <c r="J565">
        <v>117.84</v>
      </c>
      <c r="K565" t="s">
        <v>373</v>
      </c>
    </row>
    <row r="566" spans="1:11">
      <c r="A566" t="str">
        <f>"002042"</f>
        <v>002042</v>
      </c>
      <c r="B566" t="s">
        <v>798</v>
      </c>
      <c r="C566">
        <v>73.98</v>
      </c>
      <c r="D566">
        <v>165.11</v>
      </c>
      <c r="E566">
        <v>57.6</v>
      </c>
      <c r="F566">
        <v>17.01</v>
      </c>
      <c r="G566">
        <v>17.01</v>
      </c>
      <c r="H566">
        <v>39360</v>
      </c>
      <c r="I566">
        <v>1.28</v>
      </c>
      <c r="J566">
        <v>106.05</v>
      </c>
      <c r="K566" t="s">
        <v>391</v>
      </c>
    </row>
    <row r="567" spans="1:11">
      <c r="A567" t="str">
        <f>"002043"</f>
        <v>002043</v>
      </c>
      <c r="B567" t="s">
        <v>799</v>
      </c>
      <c r="C567">
        <v>97.32</v>
      </c>
      <c r="D567">
        <v>59.28</v>
      </c>
      <c r="E567">
        <v>32.14</v>
      </c>
      <c r="F567">
        <v>8.3</v>
      </c>
      <c r="G567">
        <v>7.36</v>
      </c>
      <c r="H567">
        <v>34311</v>
      </c>
      <c r="I567">
        <v>3.41</v>
      </c>
      <c r="J567">
        <v>13.07</v>
      </c>
      <c r="K567" t="s">
        <v>73</v>
      </c>
    </row>
    <row r="568" spans="1:11">
      <c r="A568" t="str">
        <f>"002044"</f>
        <v>002044</v>
      </c>
      <c r="B568" t="s">
        <v>800</v>
      </c>
      <c r="C568">
        <v>315.75</v>
      </c>
      <c r="D568">
        <v>195.68</v>
      </c>
      <c r="E568">
        <v>79.08</v>
      </c>
      <c r="F568">
        <v>39.14</v>
      </c>
      <c r="G568">
        <v>38.74</v>
      </c>
      <c r="H568">
        <v>151986</v>
      </c>
      <c r="I568">
        <v>4.03</v>
      </c>
      <c r="J568">
        <v>461.36</v>
      </c>
      <c r="K568" t="s">
        <v>181</v>
      </c>
    </row>
    <row r="569" spans="1:11">
      <c r="A569" t="str">
        <f>"002045"</f>
        <v>002045</v>
      </c>
      <c r="B569" t="s">
        <v>801</v>
      </c>
      <c r="C569">
        <v>87.25</v>
      </c>
      <c r="D569">
        <v>108.65</v>
      </c>
      <c r="E569">
        <v>44.26</v>
      </c>
      <c r="F569">
        <v>5.62</v>
      </c>
      <c r="G569">
        <v>5.62</v>
      </c>
      <c r="H569">
        <v>78828</v>
      </c>
      <c r="I569">
        <v>1.97</v>
      </c>
      <c r="J569">
        <v>342.63</v>
      </c>
      <c r="K569" t="s">
        <v>41</v>
      </c>
    </row>
    <row r="570" spans="1:11">
      <c r="A570" t="str">
        <f>"002046"</f>
        <v>002046</v>
      </c>
      <c r="B570" t="s">
        <v>802</v>
      </c>
      <c r="C570">
        <v>263.12</v>
      </c>
      <c r="D570">
        <v>77.77</v>
      </c>
      <c r="E570">
        <v>43.28</v>
      </c>
      <c r="F570">
        <v>5.36</v>
      </c>
      <c r="G570">
        <v>5.29</v>
      </c>
      <c r="H570">
        <v>58298</v>
      </c>
      <c r="I570">
        <v>6.17</v>
      </c>
      <c r="J570">
        <v>97.09</v>
      </c>
      <c r="K570" t="s">
        <v>424</v>
      </c>
    </row>
    <row r="571" spans="1:11">
      <c r="A571" t="str">
        <f>"002047"</f>
        <v>002047</v>
      </c>
      <c r="B571" t="s">
        <v>803</v>
      </c>
      <c r="C571">
        <v>59.43</v>
      </c>
      <c r="D571">
        <v>12.22</v>
      </c>
      <c r="E571">
        <v>-0.32</v>
      </c>
      <c r="F571">
        <v>15.16</v>
      </c>
      <c r="G571">
        <v>15.16</v>
      </c>
      <c r="H571">
        <v>31384</v>
      </c>
      <c r="I571">
        <v>-186.67</v>
      </c>
      <c r="J571" t="s">
        <v>14</v>
      </c>
      <c r="K571" t="s">
        <v>804</v>
      </c>
    </row>
    <row r="572" spans="1:11">
      <c r="A572" t="str">
        <f>"002048"</f>
        <v>002048</v>
      </c>
      <c r="B572" t="s">
        <v>805</v>
      </c>
      <c r="C572">
        <v>212.3</v>
      </c>
      <c r="D572">
        <v>260.75</v>
      </c>
      <c r="E572">
        <v>112.45</v>
      </c>
      <c r="F572">
        <v>8.14</v>
      </c>
      <c r="G572">
        <v>7.1</v>
      </c>
      <c r="H572">
        <v>58197</v>
      </c>
      <c r="I572">
        <v>2.16</v>
      </c>
      <c r="J572">
        <v>205.76</v>
      </c>
      <c r="K572" t="s">
        <v>356</v>
      </c>
    </row>
    <row r="573" spans="1:11">
      <c r="A573" t="str">
        <f>"002049"</f>
        <v>002049</v>
      </c>
      <c r="B573" t="s">
        <v>806</v>
      </c>
      <c r="C573">
        <v>669.47</v>
      </c>
      <c r="D573">
        <v>182.5</v>
      </c>
      <c r="E573">
        <v>133</v>
      </c>
      <c r="F573">
        <v>8.5</v>
      </c>
      <c r="G573">
        <v>8.49</v>
      </c>
      <c r="H573">
        <v>192529</v>
      </c>
      <c r="I573">
        <v>5.1</v>
      </c>
      <c r="J573">
        <v>39.77</v>
      </c>
      <c r="K573" t="s">
        <v>691</v>
      </c>
    </row>
    <row r="574" spans="1:11">
      <c r="A574" t="str">
        <f>"002050"</f>
        <v>002050</v>
      </c>
      <c r="B574" t="s">
        <v>807</v>
      </c>
      <c r="C574">
        <v>2021.15</v>
      </c>
      <c r="D574">
        <v>485.14</v>
      </c>
      <c r="E574">
        <v>316.35</v>
      </c>
      <c r="F574">
        <v>42.08</v>
      </c>
      <c r="G574">
        <v>36.84</v>
      </c>
      <c r="H574">
        <v>445452</v>
      </c>
      <c r="I574">
        <v>7.3</v>
      </c>
      <c r="J574">
        <v>53.4</v>
      </c>
      <c r="K574" t="s">
        <v>134</v>
      </c>
    </row>
    <row r="575" spans="1:11">
      <c r="A575" t="str">
        <f>"002051"</f>
        <v>002051</v>
      </c>
      <c r="B575" t="s">
        <v>808</v>
      </c>
      <c r="C575">
        <v>106.16</v>
      </c>
      <c r="D575">
        <v>253.33</v>
      </c>
      <c r="E575">
        <v>115.73</v>
      </c>
      <c r="F575">
        <v>12.37</v>
      </c>
      <c r="G575">
        <v>12.37</v>
      </c>
      <c r="H575">
        <v>49362</v>
      </c>
      <c r="I575">
        <v>0.92</v>
      </c>
      <c r="J575">
        <v>32.26</v>
      </c>
      <c r="K575" t="s">
        <v>86</v>
      </c>
    </row>
    <row r="576" spans="1:11">
      <c r="A576" t="str">
        <f>"002052"</f>
        <v>002052</v>
      </c>
      <c r="B576" t="s">
        <v>809</v>
      </c>
      <c r="C576">
        <v>88.31</v>
      </c>
      <c r="D576">
        <v>6.68</v>
      </c>
      <c r="E576">
        <v>3.33</v>
      </c>
      <c r="F576">
        <v>7.52</v>
      </c>
      <c r="G576">
        <v>6.89</v>
      </c>
      <c r="H576">
        <v>53583</v>
      </c>
      <c r="I576">
        <v>28.98</v>
      </c>
      <c r="J576">
        <v>31.17</v>
      </c>
      <c r="K576" t="s">
        <v>450</v>
      </c>
    </row>
    <row r="577" spans="1:11">
      <c r="A577" t="str">
        <f>"002053"</f>
        <v>002053</v>
      </c>
      <c r="B577" t="s">
        <v>810</v>
      </c>
      <c r="C577">
        <v>110.21</v>
      </c>
      <c r="D577">
        <v>153.37</v>
      </c>
      <c r="E577">
        <v>74.07</v>
      </c>
      <c r="F577">
        <v>9.21</v>
      </c>
      <c r="G577">
        <v>9.21</v>
      </c>
      <c r="H577">
        <v>26904</v>
      </c>
      <c r="I577">
        <v>1.49</v>
      </c>
      <c r="J577">
        <v>36.43</v>
      </c>
      <c r="K577" t="s">
        <v>111</v>
      </c>
    </row>
    <row r="578" spans="1:11">
      <c r="A578" t="str">
        <f>"002054"</f>
        <v>002054</v>
      </c>
      <c r="B578" t="s">
        <v>811</v>
      </c>
      <c r="C578">
        <v>33.86</v>
      </c>
      <c r="D578">
        <v>65.48</v>
      </c>
      <c r="E578">
        <v>25.35</v>
      </c>
      <c r="F578">
        <v>4.82</v>
      </c>
      <c r="G578">
        <v>3.84</v>
      </c>
      <c r="H578">
        <v>22098</v>
      </c>
      <c r="I578">
        <v>1.68</v>
      </c>
      <c r="J578">
        <v>39.23</v>
      </c>
      <c r="K578" t="s">
        <v>812</v>
      </c>
    </row>
    <row r="579" spans="1:11">
      <c r="A579" t="str">
        <f>"002055"</f>
        <v>002055</v>
      </c>
      <c r="B579" t="s">
        <v>813</v>
      </c>
      <c r="C579">
        <v>35.46</v>
      </c>
      <c r="D579">
        <v>51.54</v>
      </c>
      <c r="E579">
        <v>14.29</v>
      </c>
      <c r="F579">
        <v>6.04</v>
      </c>
      <c r="G579">
        <v>5.94</v>
      </c>
      <c r="H579">
        <v>75253</v>
      </c>
      <c r="I579">
        <v>2.53</v>
      </c>
      <c r="J579">
        <v>37.32</v>
      </c>
      <c r="K579" t="s">
        <v>41</v>
      </c>
    </row>
    <row r="580" spans="1:11">
      <c r="A580" t="str">
        <f>"002056"</f>
        <v>002056</v>
      </c>
      <c r="B580" t="s">
        <v>814</v>
      </c>
      <c r="C580">
        <v>324.68</v>
      </c>
      <c r="D580">
        <v>256.35</v>
      </c>
      <c r="E580">
        <v>102.5</v>
      </c>
      <c r="F580">
        <v>16.27</v>
      </c>
      <c r="G580">
        <v>16.25</v>
      </c>
      <c r="H580">
        <v>80015</v>
      </c>
      <c r="I580">
        <v>3.17</v>
      </c>
      <c r="J580">
        <v>16.78</v>
      </c>
      <c r="K580" t="s">
        <v>815</v>
      </c>
    </row>
    <row r="581" spans="1:11">
      <c r="A581" t="str">
        <f>"002057"</f>
        <v>002057</v>
      </c>
      <c r="B581" t="s">
        <v>816</v>
      </c>
      <c r="C581">
        <v>79.11</v>
      </c>
      <c r="D581">
        <v>53.16</v>
      </c>
      <c r="E581">
        <v>32.38</v>
      </c>
      <c r="F581">
        <v>7.54</v>
      </c>
      <c r="G581">
        <v>7.53</v>
      </c>
      <c r="H581">
        <v>56625</v>
      </c>
      <c r="I581">
        <v>2.44</v>
      </c>
      <c r="J581">
        <v>26.77</v>
      </c>
      <c r="K581" t="s">
        <v>442</v>
      </c>
    </row>
    <row r="582" spans="1:11">
      <c r="A582" t="str">
        <f>"002058"</f>
        <v>002058</v>
      </c>
      <c r="B582" t="s">
        <v>817</v>
      </c>
      <c r="C582">
        <v>33.49</v>
      </c>
      <c r="D582">
        <v>12.5</v>
      </c>
      <c r="E582">
        <v>0.4</v>
      </c>
      <c r="F582">
        <v>1.43</v>
      </c>
      <c r="G582">
        <v>1.43</v>
      </c>
      <c r="H582">
        <v>7708</v>
      </c>
      <c r="I582">
        <v>83.87</v>
      </c>
      <c r="J582">
        <v>12.89</v>
      </c>
      <c r="K582" t="s">
        <v>70</v>
      </c>
    </row>
    <row r="583" spans="1:11">
      <c r="A583" t="str">
        <f>"002059"</f>
        <v>002059</v>
      </c>
      <c r="B583" t="s">
        <v>818</v>
      </c>
      <c r="C583">
        <v>55.54</v>
      </c>
      <c r="D583">
        <v>31.89</v>
      </c>
      <c r="E583">
        <v>12.85</v>
      </c>
      <c r="F583">
        <v>10.12</v>
      </c>
      <c r="G583">
        <v>9.83</v>
      </c>
      <c r="H583">
        <v>65238</v>
      </c>
      <c r="I583">
        <v>4.45</v>
      </c>
      <c r="J583" t="s">
        <v>14</v>
      </c>
      <c r="K583" t="s">
        <v>819</v>
      </c>
    </row>
    <row r="584" spans="1:11">
      <c r="A584" t="str">
        <f>"002060"</f>
        <v>002060</v>
      </c>
      <c r="B584" t="s">
        <v>820</v>
      </c>
      <c r="C584">
        <v>57.82</v>
      </c>
      <c r="D584">
        <v>1406.33</v>
      </c>
      <c r="E584">
        <v>137.85</v>
      </c>
      <c r="F584">
        <v>37.54</v>
      </c>
      <c r="G584">
        <v>15.63</v>
      </c>
      <c r="H584">
        <v>74023</v>
      </c>
      <c r="I584">
        <v>1.01</v>
      </c>
      <c r="J584">
        <v>18.66</v>
      </c>
      <c r="K584" t="s">
        <v>100</v>
      </c>
    </row>
    <row r="585" spans="1:11">
      <c r="A585" t="str">
        <f>"002061"</f>
        <v>002061</v>
      </c>
      <c r="B585" t="s">
        <v>821</v>
      </c>
      <c r="C585">
        <v>105.01</v>
      </c>
      <c r="D585">
        <v>797.53</v>
      </c>
      <c r="E585">
        <v>157.63</v>
      </c>
      <c r="F585">
        <v>26.74</v>
      </c>
      <c r="G585">
        <v>25.99</v>
      </c>
      <c r="H585">
        <v>44925</v>
      </c>
      <c r="I585">
        <v>0.68</v>
      </c>
      <c r="J585">
        <v>11.34</v>
      </c>
      <c r="K585" t="s">
        <v>100</v>
      </c>
    </row>
    <row r="586" spans="1:11">
      <c r="A586" t="str">
        <f>"002062"</f>
        <v>002062</v>
      </c>
      <c r="B586" t="s">
        <v>822</v>
      </c>
      <c r="C586">
        <v>101.9</v>
      </c>
      <c r="D586">
        <v>143.79</v>
      </c>
      <c r="E586">
        <v>50.73</v>
      </c>
      <c r="F586">
        <v>12.37</v>
      </c>
      <c r="G586">
        <v>11.25</v>
      </c>
      <c r="H586">
        <v>35177</v>
      </c>
      <c r="I586">
        <v>2.21</v>
      </c>
      <c r="J586">
        <v>34.51</v>
      </c>
      <c r="K586" t="s">
        <v>100</v>
      </c>
    </row>
    <row r="587" spans="1:11">
      <c r="A587" t="str">
        <f>"002063"</f>
        <v>002063</v>
      </c>
      <c r="B587" t="s">
        <v>823</v>
      </c>
      <c r="C587">
        <v>119.23</v>
      </c>
      <c r="D587">
        <v>45.76</v>
      </c>
      <c r="E587">
        <v>37.68</v>
      </c>
      <c r="F587">
        <v>19.1</v>
      </c>
      <c r="G587">
        <v>17.64</v>
      </c>
      <c r="H587">
        <v>88739</v>
      </c>
      <c r="I587">
        <v>3.43</v>
      </c>
      <c r="J587">
        <v>78.42</v>
      </c>
      <c r="K587" t="s">
        <v>117</v>
      </c>
    </row>
    <row r="588" spans="1:11">
      <c r="A588" t="str">
        <f>"002064"</f>
        <v>002064</v>
      </c>
      <c r="B588" t="s">
        <v>824</v>
      </c>
      <c r="C588">
        <v>582.94</v>
      </c>
      <c r="D588">
        <v>369.52</v>
      </c>
      <c r="E588">
        <v>269.51</v>
      </c>
      <c r="F588">
        <v>49.63</v>
      </c>
      <c r="G588">
        <v>49.49</v>
      </c>
      <c r="H588">
        <v>48393</v>
      </c>
      <c r="I588">
        <v>2.17</v>
      </c>
      <c r="J588">
        <v>30</v>
      </c>
      <c r="K588" t="s">
        <v>571</v>
      </c>
    </row>
    <row r="589" spans="1:11">
      <c r="A589" t="str">
        <f>"002065"</f>
        <v>002065</v>
      </c>
      <c r="B589" t="s">
        <v>825</v>
      </c>
      <c r="C589">
        <v>316.67</v>
      </c>
      <c r="D589">
        <v>258.14</v>
      </c>
      <c r="E589">
        <v>122</v>
      </c>
      <c r="F589">
        <v>32.05</v>
      </c>
      <c r="G589">
        <v>29.08</v>
      </c>
      <c r="H589">
        <v>315176</v>
      </c>
      <c r="I589">
        <v>2.86</v>
      </c>
      <c r="J589">
        <v>74.7</v>
      </c>
      <c r="K589" t="s">
        <v>117</v>
      </c>
    </row>
    <row r="590" spans="1:11">
      <c r="A590" t="str">
        <f>"002066"</f>
        <v>002066</v>
      </c>
      <c r="B590" t="s">
        <v>826</v>
      </c>
      <c r="C590">
        <v>45.51</v>
      </c>
      <c r="D590">
        <v>49.17</v>
      </c>
      <c r="E590">
        <v>7.07</v>
      </c>
      <c r="F590">
        <v>2.35</v>
      </c>
      <c r="G590">
        <v>2.31</v>
      </c>
      <c r="H590">
        <v>19034</v>
      </c>
      <c r="I590">
        <v>6.55</v>
      </c>
      <c r="J590">
        <v>1655.42</v>
      </c>
      <c r="K590" t="s">
        <v>827</v>
      </c>
    </row>
    <row r="591" spans="1:11">
      <c r="A591" t="str">
        <f>"002067"</f>
        <v>002067</v>
      </c>
      <c r="B591" t="s">
        <v>828</v>
      </c>
      <c r="C591">
        <v>74.5</v>
      </c>
      <c r="D591">
        <v>90.04</v>
      </c>
      <c r="E591">
        <v>64.58</v>
      </c>
      <c r="F591">
        <v>14.75</v>
      </c>
      <c r="G591">
        <v>13.38</v>
      </c>
      <c r="H591">
        <v>181327</v>
      </c>
      <c r="I591">
        <v>1.23</v>
      </c>
      <c r="J591">
        <v>150.78</v>
      </c>
      <c r="K591" t="s">
        <v>165</v>
      </c>
    </row>
    <row r="592" spans="1:11">
      <c r="A592" t="str">
        <f>"002068"</f>
        <v>002068</v>
      </c>
      <c r="B592" t="s">
        <v>829</v>
      </c>
      <c r="C592">
        <v>65.93</v>
      </c>
      <c r="D592">
        <v>83.89</v>
      </c>
      <c r="E592">
        <v>26.83</v>
      </c>
      <c r="F592">
        <v>7.35</v>
      </c>
      <c r="G592">
        <v>7.35</v>
      </c>
      <c r="H592">
        <v>38783</v>
      </c>
      <c r="I592">
        <v>2.46</v>
      </c>
      <c r="J592" t="s">
        <v>14</v>
      </c>
      <c r="K592" t="s">
        <v>619</v>
      </c>
    </row>
    <row r="593" spans="1:11">
      <c r="A593" t="str">
        <f>"002069"</f>
        <v>002069</v>
      </c>
      <c r="B593" t="s">
        <v>830</v>
      </c>
      <c r="C593">
        <v>26.78</v>
      </c>
      <c r="D593">
        <v>21.94</v>
      </c>
      <c r="E593">
        <v>0.18</v>
      </c>
      <c r="F593">
        <v>7.11</v>
      </c>
      <c r="G593">
        <v>7.1</v>
      </c>
      <c r="H593">
        <v>30309</v>
      </c>
      <c r="I593">
        <v>150.8</v>
      </c>
      <c r="J593" t="s">
        <v>14</v>
      </c>
      <c r="K593" t="s">
        <v>831</v>
      </c>
    </row>
    <row r="594" spans="1:11">
      <c r="A594" t="str">
        <f>"002072"</f>
        <v>002072</v>
      </c>
      <c r="B594" t="s">
        <v>832</v>
      </c>
      <c r="C594">
        <v>27.05</v>
      </c>
      <c r="D594">
        <v>0.99</v>
      </c>
      <c r="E594">
        <v>0.3</v>
      </c>
      <c r="F594">
        <v>3.68</v>
      </c>
      <c r="G594">
        <v>3.68</v>
      </c>
      <c r="H594">
        <v>11274</v>
      </c>
      <c r="I594">
        <v>89.76</v>
      </c>
      <c r="J594" t="s">
        <v>14</v>
      </c>
      <c r="K594" t="s">
        <v>107</v>
      </c>
    </row>
    <row r="595" spans="1:11">
      <c r="A595" t="str">
        <f>"002073"</f>
        <v>002073</v>
      </c>
      <c r="B595" t="s">
        <v>833</v>
      </c>
      <c r="C595">
        <v>83.99</v>
      </c>
      <c r="D595">
        <v>203.66</v>
      </c>
      <c r="E595">
        <v>61.28</v>
      </c>
      <c r="F595">
        <v>10.2</v>
      </c>
      <c r="G595">
        <v>10.1</v>
      </c>
      <c r="H595">
        <v>65503</v>
      </c>
      <c r="I595">
        <v>1.38</v>
      </c>
      <c r="J595">
        <v>21</v>
      </c>
      <c r="K595" t="s">
        <v>493</v>
      </c>
    </row>
    <row r="596" spans="1:11">
      <c r="A596" t="str">
        <f>"002074"</f>
        <v>002074</v>
      </c>
      <c r="B596" t="s">
        <v>834</v>
      </c>
      <c r="C596">
        <v>694.49</v>
      </c>
      <c r="D596">
        <v>1211.49</v>
      </c>
      <c r="E596">
        <v>284.47</v>
      </c>
      <c r="F596">
        <v>18.14</v>
      </c>
      <c r="G596">
        <v>17.36</v>
      </c>
      <c r="H596">
        <v>266642</v>
      </c>
      <c r="I596">
        <v>2.55</v>
      </c>
      <c r="J596">
        <v>21.48</v>
      </c>
      <c r="K596" t="s">
        <v>70</v>
      </c>
    </row>
    <row r="597" spans="1:11">
      <c r="A597" t="str">
        <f>"002075"</f>
        <v>002075</v>
      </c>
      <c r="B597" t="s">
        <v>835</v>
      </c>
      <c r="C597">
        <v>127.46</v>
      </c>
      <c r="D597">
        <v>242.77</v>
      </c>
      <c r="E597">
        <v>65.8</v>
      </c>
      <c r="F597">
        <v>21.94</v>
      </c>
      <c r="G597">
        <v>21.94</v>
      </c>
      <c r="H597">
        <v>71366</v>
      </c>
      <c r="I597">
        <v>1.94</v>
      </c>
      <c r="J597">
        <v>41.37</v>
      </c>
      <c r="K597" t="s">
        <v>364</v>
      </c>
    </row>
    <row r="598" spans="1:11">
      <c r="A598" t="str">
        <f>"002076"</f>
        <v>002076</v>
      </c>
      <c r="B598" t="s">
        <v>836</v>
      </c>
      <c r="C598">
        <v>22.1</v>
      </c>
      <c r="D598">
        <v>6.46</v>
      </c>
      <c r="E598">
        <v>3.15</v>
      </c>
      <c r="F598">
        <v>11.09</v>
      </c>
      <c r="G598">
        <v>10.42</v>
      </c>
      <c r="H598">
        <v>42000</v>
      </c>
      <c r="I598">
        <v>7.46</v>
      </c>
      <c r="J598">
        <v>550.67</v>
      </c>
      <c r="K598" t="s">
        <v>216</v>
      </c>
    </row>
    <row r="599" spans="1:11">
      <c r="A599" t="str">
        <f>"002077"</f>
        <v>002077</v>
      </c>
      <c r="B599" t="s">
        <v>837</v>
      </c>
      <c r="C599">
        <v>90.24</v>
      </c>
      <c r="D599">
        <v>41.9</v>
      </c>
      <c r="E599">
        <v>33.53</v>
      </c>
      <c r="F599">
        <v>5.8</v>
      </c>
      <c r="G599">
        <v>5.8</v>
      </c>
      <c r="H599">
        <v>89600</v>
      </c>
      <c r="I599">
        <v>2.69</v>
      </c>
      <c r="J599">
        <v>111.91</v>
      </c>
      <c r="K599" t="s">
        <v>838</v>
      </c>
    </row>
    <row r="600" spans="1:11">
      <c r="A600" t="str">
        <f>"002078"</f>
        <v>002078</v>
      </c>
      <c r="B600" t="s">
        <v>839</v>
      </c>
      <c r="C600">
        <v>427.44</v>
      </c>
      <c r="D600">
        <v>578.45</v>
      </c>
      <c r="E600">
        <v>301.54</v>
      </c>
      <c r="F600">
        <v>27.95</v>
      </c>
      <c r="G600">
        <v>27.77</v>
      </c>
      <c r="H600">
        <v>35525</v>
      </c>
      <c r="I600">
        <v>1.43</v>
      </c>
      <c r="J600">
        <v>12.9</v>
      </c>
      <c r="K600" t="s">
        <v>165</v>
      </c>
    </row>
    <row r="601" spans="1:11">
      <c r="A601" t="str">
        <f>"002079"</f>
        <v>002079</v>
      </c>
      <c r="B601" t="s">
        <v>840</v>
      </c>
      <c r="C601">
        <v>79.85</v>
      </c>
      <c r="D601">
        <v>38.63</v>
      </c>
      <c r="E601">
        <v>30.83</v>
      </c>
      <c r="F601">
        <v>8.11</v>
      </c>
      <c r="G601">
        <v>8.1</v>
      </c>
      <c r="H601">
        <v>106018</v>
      </c>
      <c r="I601">
        <v>2.59</v>
      </c>
      <c r="J601">
        <v>95.89</v>
      </c>
      <c r="K601" t="s">
        <v>667</v>
      </c>
    </row>
    <row r="602" spans="1:11">
      <c r="A602" t="str">
        <f>"002080"</f>
        <v>002080</v>
      </c>
      <c r="B602" t="s">
        <v>841</v>
      </c>
      <c r="C602">
        <v>610.67</v>
      </c>
      <c r="D602">
        <v>647.27</v>
      </c>
      <c r="E602">
        <v>196.16</v>
      </c>
      <c r="F602">
        <v>16.78</v>
      </c>
      <c r="G602">
        <v>16.78</v>
      </c>
      <c r="H602">
        <v>63037</v>
      </c>
      <c r="I602">
        <v>3.11</v>
      </c>
      <c r="J602">
        <v>30.95</v>
      </c>
      <c r="K602" t="s">
        <v>842</v>
      </c>
    </row>
    <row r="603" spans="1:11">
      <c r="A603" t="str">
        <f>"002081"</f>
        <v>002081</v>
      </c>
      <c r="B603" t="s">
        <v>843</v>
      </c>
      <c r="C603">
        <v>100.49</v>
      </c>
      <c r="D603">
        <v>338.5</v>
      </c>
      <c r="E603">
        <v>137.29</v>
      </c>
      <c r="F603">
        <v>26.55</v>
      </c>
      <c r="G603">
        <v>26.45</v>
      </c>
      <c r="H603">
        <v>64515</v>
      </c>
      <c r="I603">
        <v>0.74</v>
      </c>
      <c r="J603">
        <v>19.83</v>
      </c>
      <c r="K603" t="s">
        <v>804</v>
      </c>
    </row>
    <row r="604" spans="1:11">
      <c r="A604" t="str">
        <f>"002082"</f>
        <v>002082</v>
      </c>
      <c r="B604" t="s">
        <v>844</v>
      </c>
      <c r="C604">
        <v>92.73</v>
      </c>
      <c r="D604">
        <v>45.42</v>
      </c>
      <c r="E604">
        <v>26.75</v>
      </c>
      <c r="F604">
        <v>6.12</v>
      </c>
      <c r="G604">
        <v>5.53</v>
      </c>
      <c r="H604">
        <v>26415</v>
      </c>
      <c r="I604">
        <v>3.83</v>
      </c>
      <c r="J604">
        <v>1721.04</v>
      </c>
      <c r="K604" t="s">
        <v>155</v>
      </c>
    </row>
    <row r="605" spans="1:11">
      <c r="A605" t="str">
        <f>"002083"</f>
        <v>002083</v>
      </c>
      <c r="B605" t="s">
        <v>845</v>
      </c>
      <c r="C605">
        <v>119.8</v>
      </c>
      <c r="D605">
        <v>72.19</v>
      </c>
      <c r="E605">
        <v>45.7</v>
      </c>
      <c r="F605">
        <v>9.47</v>
      </c>
      <c r="G605">
        <v>9.46</v>
      </c>
      <c r="H605">
        <v>42745</v>
      </c>
      <c r="I605">
        <v>2.62</v>
      </c>
      <c r="J605">
        <v>30.37</v>
      </c>
      <c r="K605" t="s">
        <v>846</v>
      </c>
    </row>
    <row r="606" spans="1:11">
      <c r="A606" t="str">
        <f>"002084"</f>
        <v>002084</v>
      </c>
      <c r="B606" t="s">
        <v>847</v>
      </c>
      <c r="C606">
        <v>25.66</v>
      </c>
      <c r="D606">
        <v>32.78</v>
      </c>
      <c r="E606">
        <v>13.92</v>
      </c>
      <c r="F606">
        <v>6.46</v>
      </c>
      <c r="G606">
        <v>6.45</v>
      </c>
      <c r="H606">
        <v>31018</v>
      </c>
      <c r="I606">
        <v>1.85</v>
      </c>
      <c r="J606" t="s">
        <v>14</v>
      </c>
      <c r="K606" t="s">
        <v>625</v>
      </c>
    </row>
    <row r="607" spans="1:11">
      <c r="A607" t="str">
        <f>"002085"</f>
        <v>002085</v>
      </c>
      <c r="B607" t="s">
        <v>848</v>
      </c>
      <c r="C607">
        <v>367.76</v>
      </c>
      <c r="D607">
        <v>186.68</v>
      </c>
      <c r="E607">
        <v>75.97</v>
      </c>
      <c r="F607">
        <v>21.23</v>
      </c>
      <c r="G607">
        <v>21.23</v>
      </c>
      <c r="H607">
        <v>223281</v>
      </c>
      <c r="I607">
        <v>4.84</v>
      </c>
      <c r="J607">
        <v>37.83</v>
      </c>
      <c r="K607" t="s">
        <v>263</v>
      </c>
    </row>
    <row r="608" spans="1:11">
      <c r="A608" t="str">
        <f>"002086"</f>
        <v>002086</v>
      </c>
      <c r="B608" t="s">
        <v>849</v>
      </c>
      <c r="C608">
        <v>37.79</v>
      </c>
      <c r="D608">
        <v>16.59</v>
      </c>
      <c r="E608">
        <v>13.26</v>
      </c>
      <c r="F608">
        <v>19.59</v>
      </c>
      <c r="G608">
        <v>15.81</v>
      </c>
      <c r="H608">
        <v>72503</v>
      </c>
      <c r="I608">
        <v>3.53</v>
      </c>
      <c r="J608" t="s">
        <v>14</v>
      </c>
      <c r="K608" t="s">
        <v>831</v>
      </c>
    </row>
    <row r="609" spans="1:11">
      <c r="A609" t="str">
        <f>"002088"</f>
        <v>002088</v>
      </c>
      <c r="B609" t="s">
        <v>850</v>
      </c>
      <c r="C609">
        <v>63.02</v>
      </c>
      <c r="D609">
        <v>32.31</v>
      </c>
      <c r="E609">
        <v>25.98</v>
      </c>
      <c r="F609">
        <v>5.13</v>
      </c>
      <c r="G609">
        <v>5.06</v>
      </c>
      <c r="H609">
        <v>13678</v>
      </c>
      <c r="I609">
        <v>2.46</v>
      </c>
      <c r="J609">
        <v>46.36</v>
      </c>
      <c r="K609" t="s">
        <v>827</v>
      </c>
    </row>
    <row r="610" spans="1:11">
      <c r="A610" t="str">
        <f>"002090"</f>
        <v>002090</v>
      </c>
      <c r="B610" t="s">
        <v>851</v>
      </c>
      <c r="C610">
        <v>50.65</v>
      </c>
      <c r="D610">
        <v>31.71</v>
      </c>
      <c r="E610">
        <v>15.25</v>
      </c>
      <c r="F610">
        <v>4.01</v>
      </c>
      <c r="G610">
        <v>3.96</v>
      </c>
      <c r="H610">
        <v>41447</v>
      </c>
      <c r="I610">
        <v>3.36</v>
      </c>
      <c r="J610">
        <v>82.7</v>
      </c>
      <c r="K610" t="s">
        <v>127</v>
      </c>
    </row>
    <row r="611" spans="1:11">
      <c r="A611" t="str">
        <f>"002091"</f>
        <v>002091</v>
      </c>
      <c r="B611" t="s">
        <v>852</v>
      </c>
      <c r="C611">
        <v>142.6</v>
      </c>
      <c r="D611">
        <v>449.9</v>
      </c>
      <c r="E611">
        <v>161.4</v>
      </c>
      <c r="F611">
        <v>16.28</v>
      </c>
      <c r="G611">
        <v>15.97</v>
      </c>
      <c r="H611">
        <v>57643</v>
      </c>
      <c r="I611">
        <v>0.92</v>
      </c>
      <c r="J611">
        <v>11.65</v>
      </c>
      <c r="K611" t="s">
        <v>107</v>
      </c>
    </row>
    <row r="612" spans="1:11">
      <c r="A612" t="str">
        <f>"002092"</f>
        <v>002092</v>
      </c>
      <c r="B612" t="s">
        <v>853</v>
      </c>
      <c r="C612">
        <v>143.2</v>
      </c>
      <c r="D612">
        <v>783.1</v>
      </c>
      <c r="E612">
        <v>215.85</v>
      </c>
      <c r="F612">
        <v>25.9</v>
      </c>
      <c r="G612">
        <v>25.76</v>
      </c>
      <c r="H612">
        <v>90008</v>
      </c>
      <c r="I612">
        <v>0.67</v>
      </c>
      <c r="J612" t="s">
        <v>14</v>
      </c>
      <c r="K612" t="s">
        <v>177</v>
      </c>
    </row>
    <row r="613" spans="1:11">
      <c r="A613" t="str">
        <f>"002093"</f>
        <v>002093</v>
      </c>
      <c r="B613" t="s">
        <v>854</v>
      </c>
      <c r="C613">
        <v>126.64</v>
      </c>
      <c r="D613">
        <v>46.29</v>
      </c>
      <c r="E613">
        <v>38.38</v>
      </c>
      <c r="F613">
        <v>10.07</v>
      </c>
      <c r="G613">
        <v>10.07</v>
      </c>
      <c r="H613">
        <v>96528</v>
      </c>
      <c r="I613">
        <v>3.3</v>
      </c>
      <c r="J613">
        <v>48.47</v>
      </c>
      <c r="K613" t="s">
        <v>198</v>
      </c>
    </row>
    <row r="614" spans="1:11">
      <c r="A614" t="str">
        <f>"002094"</f>
        <v>002094</v>
      </c>
      <c r="B614" t="s">
        <v>855</v>
      </c>
      <c r="C614">
        <v>56.96</v>
      </c>
      <c r="D614">
        <v>31.94</v>
      </c>
      <c r="E614">
        <v>15.46</v>
      </c>
      <c r="F614">
        <v>6.91</v>
      </c>
      <c r="G614">
        <v>6.9</v>
      </c>
      <c r="H614">
        <v>120604</v>
      </c>
      <c r="I614">
        <v>3.69</v>
      </c>
      <c r="J614">
        <v>63.21</v>
      </c>
      <c r="K614" t="s">
        <v>856</v>
      </c>
    </row>
    <row r="615" spans="1:11">
      <c r="A615" t="str">
        <f>"002095"</f>
        <v>002095</v>
      </c>
      <c r="B615" t="s">
        <v>857</v>
      </c>
      <c r="C615">
        <v>52.71</v>
      </c>
      <c r="D615">
        <v>15.77</v>
      </c>
      <c r="E615">
        <v>8.86</v>
      </c>
      <c r="F615">
        <v>2.53</v>
      </c>
      <c r="G615">
        <v>2.52</v>
      </c>
      <c r="H615">
        <v>39875</v>
      </c>
      <c r="I615">
        <v>5.98</v>
      </c>
      <c r="J615" t="s">
        <v>14</v>
      </c>
      <c r="K615" t="s">
        <v>858</v>
      </c>
    </row>
    <row r="616" spans="1:11">
      <c r="A616" t="str">
        <f>"002096"</f>
        <v>002096</v>
      </c>
      <c r="B616" t="s">
        <v>859</v>
      </c>
      <c r="C616">
        <v>92.24</v>
      </c>
      <c r="D616">
        <v>129.69</v>
      </c>
      <c r="E616">
        <v>78.35</v>
      </c>
      <c r="F616">
        <v>12.4</v>
      </c>
      <c r="G616">
        <v>7.01</v>
      </c>
      <c r="H616">
        <v>33585</v>
      </c>
      <c r="I616">
        <v>2.08</v>
      </c>
      <c r="J616">
        <v>19.01</v>
      </c>
      <c r="K616" t="s">
        <v>793</v>
      </c>
    </row>
    <row r="617" spans="1:11">
      <c r="A617" t="str">
        <f>"002097"</f>
        <v>002097</v>
      </c>
      <c r="B617" t="s">
        <v>860</v>
      </c>
      <c r="C617">
        <v>135.59</v>
      </c>
      <c r="D617">
        <v>220.76</v>
      </c>
      <c r="E617">
        <v>46.94</v>
      </c>
      <c r="F617">
        <v>10.75</v>
      </c>
      <c r="G617">
        <v>10.73</v>
      </c>
      <c r="H617">
        <v>166617</v>
      </c>
      <c r="I617">
        <v>2.89</v>
      </c>
      <c r="J617">
        <v>105.41</v>
      </c>
      <c r="K617" t="s">
        <v>115</v>
      </c>
    </row>
    <row r="618" spans="1:11">
      <c r="A618" t="str">
        <f>"002098"</f>
        <v>002098</v>
      </c>
      <c r="B618" t="s">
        <v>861</v>
      </c>
      <c r="C618">
        <v>38.91</v>
      </c>
      <c r="D618">
        <v>22.23</v>
      </c>
      <c r="E618">
        <v>14.55</v>
      </c>
      <c r="F618">
        <v>3.58</v>
      </c>
      <c r="G618">
        <v>3.58</v>
      </c>
      <c r="H618">
        <v>24019</v>
      </c>
      <c r="I618">
        <v>2.68</v>
      </c>
      <c r="J618">
        <v>17.49</v>
      </c>
      <c r="K618" t="s">
        <v>754</v>
      </c>
    </row>
    <row r="619" spans="1:11">
      <c r="A619" t="str">
        <f>"002099"</f>
        <v>002099</v>
      </c>
      <c r="B619" t="s">
        <v>862</v>
      </c>
      <c r="C619">
        <v>112.45</v>
      </c>
      <c r="D619">
        <v>72.78</v>
      </c>
      <c r="E619">
        <v>51.2</v>
      </c>
      <c r="F619">
        <v>16.19</v>
      </c>
      <c r="G619">
        <v>16.16</v>
      </c>
      <c r="H619">
        <v>27172</v>
      </c>
      <c r="I619">
        <v>2.2</v>
      </c>
      <c r="J619">
        <v>1159.05</v>
      </c>
      <c r="K619" t="s">
        <v>404</v>
      </c>
    </row>
    <row r="620" spans="1:11">
      <c r="A620" t="str">
        <f>"002100"</f>
        <v>002100</v>
      </c>
      <c r="B620" t="s">
        <v>863</v>
      </c>
      <c r="C620">
        <v>97.75</v>
      </c>
      <c r="D620">
        <v>168.17</v>
      </c>
      <c r="E620">
        <v>71.7</v>
      </c>
      <c r="F620">
        <v>13.65</v>
      </c>
      <c r="G620">
        <v>13.65</v>
      </c>
      <c r="H620">
        <v>63670</v>
      </c>
      <c r="I620">
        <v>1.36</v>
      </c>
      <c r="J620">
        <v>17.81</v>
      </c>
      <c r="K620" t="s">
        <v>359</v>
      </c>
    </row>
    <row r="621" spans="1:11">
      <c r="A621" t="str">
        <f>"002101"</f>
        <v>002101</v>
      </c>
      <c r="B621" t="s">
        <v>864</v>
      </c>
      <c r="C621">
        <v>81.85</v>
      </c>
      <c r="D621">
        <v>143.97</v>
      </c>
      <c r="E621">
        <v>78.17</v>
      </c>
      <c r="F621">
        <v>6.64</v>
      </c>
      <c r="G621">
        <v>6.62</v>
      </c>
      <c r="H621">
        <v>51711</v>
      </c>
      <c r="I621">
        <v>1.05</v>
      </c>
      <c r="J621">
        <v>29.33</v>
      </c>
      <c r="K621" t="s">
        <v>356</v>
      </c>
    </row>
    <row r="622" spans="1:11">
      <c r="A622" t="str">
        <f>"002102"</f>
        <v>002102</v>
      </c>
      <c r="B622" t="s">
        <v>865</v>
      </c>
      <c r="C622">
        <v>74.1</v>
      </c>
      <c r="D622">
        <v>67.86</v>
      </c>
      <c r="E622">
        <v>33.14</v>
      </c>
      <c r="F622">
        <v>24.76</v>
      </c>
      <c r="G622">
        <v>21.73</v>
      </c>
      <c r="H622">
        <v>47848</v>
      </c>
      <c r="I622">
        <v>2.55</v>
      </c>
      <c r="J622">
        <v>13.98</v>
      </c>
      <c r="K622" t="s">
        <v>404</v>
      </c>
    </row>
    <row r="623" spans="1:11">
      <c r="A623" t="str">
        <f>"002103"</f>
        <v>002103</v>
      </c>
      <c r="B623" t="s">
        <v>866</v>
      </c>
      <c r="C623">
        <v>39.24</v>
      </c>
      <c r="D623">
        <v>21.96</v>
      </c>
      <c r="E623">
        <v>12</v>
      </c>
      <c r="F623">
        <v>5.34</v>
      </c>
      <c r="G623">
        <v>3.8</v>
      </c>
      <c r="H623">
        <v>55411</v>
      </c>
      <c r="I623">
        <v>4.59</v>
      </c>
      <c r="J623">
        <v>33.02</v>
      </c>
      <c r="K623" t="s">
        <v>867</v>
      </c>
    </row>
    <row r="624" spans="1:11">
      <c r="A624" t="str">
        <f>"002104"</f>
        <v>002104</v>
      </c>
      <c r="B624" t="s">
        <v>868</v>
      </c>
      <c r="C624">
        <v>119.94</v>
      </c>
      <c r="D624">
        <v>23.89</v>
      </c>
      <c r="E624">
        <v>21.42</v>
      </c>
      <c r="F624">
        <v>7.08</v>
      </c>
      <c r="G624">
        <v>6</v>
      </c>
      <c r="H624">
        <v>230467</v>
      </c>
      <c r="I624">
        <v>6.61</v>
      </c>
      <c r="J624">
        <v>284.87</v>
      </c>
      <c r="K624" t="s">
        <v>770</v>
      </c>
    </row>
    <row r="625" spans="1:11">
      <c r="A625" t="str">
        <f>"002105"</f>
        <v>002105</v>
      </c>
      <c r="B625" t="s">
        <v>869</v>
      </c>
      <c r="C625">
        <v>27.59</v>
      </c>
      <c r="D625">
        <v>16.08</v>
      </c>
      <c r="E625">
        <v>8.42</v>
      </c>
      <c r="F625">
        <v>3.66</v>
      </c>
      <c r="G625">
        <v>3.64</v>
      </c>
      <c r="H625">
        <v>34592</v>
      </c>
      <c r="I625">
        <v>3.31</v>
      </c>
      <c r="J625" t="s">
        <v>14</v>
      </c>
      <c r="K625" t="s">
        <v>870</v>
      </c>
    </row>
    <row r="626" spans="1:11">
      <c r="A626" t="str">
        <f>"002106"</f>
        <v>002106</v>
      </c>
      <c r="B626" t="s">
        <v>871</v>
      </c>
      <c r="C626">
        <v>78.51</v>
      </c>
      <c r="D626">
        <v>104.42</v>
      </c>
      <c r="E626">
        <v>55.74</v>
      </c>
      <c r="F626">
        <v>7.06</v>
      </c>
      <c r="G626">
        <v>7.04</v>
      </c>
      <c r="H626">
        <v>54389</v>
      </c>
      <c r="I626">
        <v>1.41</v>
      </c>
      <c r="J626">
        <v>25.42</v>
      </c>
      <c r="K626" t="s">
        <v>66</v>
      </c>
    </row>
    <row r="627" spans="1:11">
      <c r="A627" t="str">
        <f>"002107"</f>
        <v>002107</v>
      </c>
      <c r="B627" t="s">
        <v>872</v>
      </c>
      <c r="C627">
        <v>41.13</v>
      </c>
      <c r="D627">
        <v>9.74</v>
      </c>
      <c r="E627">
        <v>6.92</v>
      </c>
      <c r="F627">
        <v>5.77</v>
      </c>
      <c r="G627">
        <v>5.7</v>
      </c>
      <c r="H627">
        <v>41003</v>
      </c>
      <c r="I627">
        <v>6.02</v>
      </c>
      <c r="J627">
        <v>48.84</v>
      </c>
      <c r="K627" t="s">
        <v>155</v>
      </c>
    </row>
    <row r="628" spans="1:11">
      <c r="A628" t="str">
        <f>"002108"</f>
        <v>002108</v>
      </c>
      <c r="B628" t="s">
        <v>873</v>
      </c>
      <c r="C628">
        <v>84.19</v>
      </c>
      <c r="D628">
        <v>83.15</v>
      </c>
      <c r="E628">
        <v>50.2</v>
      </c>
      <c r="F628">
        <v>16.49</v>
      </c>
      <c r="G628">
        <v>16.47</v>
      </c>
      <c r="H628">
        <v>83755</v>
      </c>
      <c r="I628">
        <v>1.7</v>
      </c>
      <c r="J628">
        <v>45.21</v>
      </c>
      <c r="K628" t="s">
        <v>874</v>
      </c>
    </row>
    <row r="629" spans="1:11">
      <c r="A629" t="str">
        <f>"002109"</f>
        <v>002109</v>
      </c>
      <c r="B629" t="s">
        <v>875</v>
      </c>
      <c r="C629">
        <v>49.01</v>
      </c>
      <c r="D629">
        <v>106.72</v>
      </c>
      <c r="E629">
        <v>40.76</v>
      </c>
      <c r="F629">
        <v>12.76</v>
      </c>
      <c r="G629">
        <v>12.76</v>
      </c>
      <c r="H629">
        <v>30732</v>
      </c>
      <c r="I629">
        <v>1.2</v>
      </c>
      <c r="J629" t="s">
        <v>14</v>
      </c>
      <c r="K629" t="s">
        <v>479</v>
      </c>
    </row>
    <row r="630" spans="1:11">
      <c r="A630" t="str">
        <f>"002110"</f>
        <v>002110</v>
      </c>
      <c r="B630" t="s">
        <v>876</v>
      </c>
      <c r="C630">
        <v>104.45</v>
      </c>
      <c r="D630">
        <v>516.58</v>
      </c>
      <c r="E630">
        <v>196.64</v>
      </c>
      <c r="F630">
        <v>24.29</v>
      </c>
      <c r="G630">
        <v>24.29</v>
      </c>
      <c r="H630">
        <v>44315</v>
      </c>
      <c r="I630">
        <v>0.53</v>
      </c>
      <c r="J630">
        <v>42.6</v>
      </c>
      <c r="K630" t="s">
        <v>378</v>
      </c>
    </row>
    <row r="631" spans="1:11">
      <c r="A631" t="str">
        <f>"002111"</f>
        <v>002111</v>
      </c>
      <c r="B631" t="s">
        <v>877</v>
      </c>
      <c r="C631">
        <v>50.68</v>
      </c>
      <c r="D631">
        <v>65.43</v>
      </c>
      <c r="E631">
        <v>30.9</v>
      </c>
      <c r="F631">
        <v>5.32</v>
      </c>
      <c r="G631">
        <v>4.81</v>
      </c>
      <c r="H631">
        <v>36612</v>
      </c>
      <c r="I631">
        <v>1.87</v>
      </c>
      <c r="J631">
        <v>33.16</v>
      </c>
      <c r="K631" t="s">
        <v>353</v>
      </c>
    </row>
    <row r="632" spans="1:11">
      <c r="A632" t="str">
        <f>"002112"</f>
        <v>002112</v>
      </c>
      <c r="B632" t="s">
        <v>878</v>
      </c>
      <c r="C632">
        <v>50.4</v>
      </c>
      <c r="D632">
        <v>22.96</v>
      </c>
      <c r="E632">
        <v>8.71</v>
      </c>
      <c r="F632">
        <v>2.94</v>
      </c>
      <c r="G632">
        <v>2.62</v>
      </c>
      <c r="H632">
        <v>60000</v>
      </c>
      <c r="I632">
        <v>6.49</v>
      </c>
      <c r="J632">
        <v>105.64</v>
      </c>
      <c r="K632" t="s">
        <v>208</v>
      </c>
    </row>
    <row r="633" spans="1:11">
      <c r="A633" t="str">
        <f>"002114"</f>
        <v>002114</v>
      </c>
      <c r="B633" t="s">
        <v>879</v>
      </c>
      <c r="C633">
        <v>29.85</v>
      </c>
      <c r="D633">
        <v>22.48</v>
      </c>
      <c r="E633">
        <v>8.45</v>
      </c>
      <c r="F633">
        <v>3.23</v>
      </c>
      <c r="G633">
        <v>3.23</v>
      </c>
      <c r="H633">
        <v>37697</v>
      </c>
      <c r="I633">
        <v>3.53</v>
      </c>
      <c r="J633" t="s">
        <v>14</v>
      </c>
      <c r="K633" t="s">
        <v>79</v>
      </c>
    </row>
    <row r="634" spans="1:11">
      <c r="A634" t="str">
        <f>"002115"</f>
        <v>002115</v>
      </c>
      <c r="B634" t="s">
        <v>880</v>
      </c>
      <c r="C634">
        <v>147.36</v>
      </c>
      <c r="D634">
        <v>38.78</v>
      </c>
      <c r="E634">
        <v>20.74</v>
      </c>
      <c r="F634">
        <v>8.11</v>
      </c>
      <c r="G634">
        <v>7.52</v>
      </c>
      <c r="H634">
        <v>179178</v>
      </c>
      <c r="I634">
        <v>7.66</v>
      </c>
      <c r="J634">
        <v>4147.98</v>
      </c>
      <c r="K634" t="s">
        <v>333</v>
      </c>
    </row>
    <row r="635" spans="1:11">
      <c r="A635" t="str">
        <f>"002116"</f>
        <v>002116</v>
      </c>
      <c r="B635" t="s">
        <v>881</v>
      </c>
      <c r="C635">
        <v>48.05</v>
      </c>
      <c r="D635">
        <v>65.55</v>
      </c>
      <c r="E635">
        <v>26.44</v>
      </c>
      <c r="F635">
        <v>4.66</v>
      </c>
      <c r="G635">
        <v>4.61</v>
      </c>
      <c r="H635">
        <v>24238</v>
      </c>
      <c r="I635">
        <v>1.84</v>
      </c>
      <c r="J635">
        <v>15.51</v>
      </c>
      <c r="K635" t="s">
        <v>55</v>
      </c>
    </row>
    <row r="636" spans="1:11">
      <c r="A636" t="str">
        <f>"002117"</f>
        <v>002117</v>
      </c>
      <c r="B636" t="s">
        <v>882</v>
      </c>
      <c r="C636">
        <v>64.34</v>
      </c>
      <c r="D636">
        <v>19.21</v>
      </c>
      <c r="E636">
        <v>14.11</v>
      </c>
      <c r="F636">
        <v>5.24</v>
      </c>
      <c r="G636">
        <v>5.24</v>
      </c>
      <c r="H636">
        <v>36472</v>
      </c>
      <c r="I636">
        <v>4.56</v>
      </c>
      <c r="J636">
        <v>39.21</v>
      </c>
      <c r="K636" t="s">
        <v>672</v>
      </c>
    </row>
    <row r="637" spans="1:11">
      <c r="A637" t="str">
        <f>"002119"</f>
        <v>002119</v>
      </c>
      <c r="B637" t="s">
        <v>883</v>
      </c>
      <c r="C637">
        <v>67.74</v>
      </c>
      <c r="D637">
        <v>25.44</v>
      </c>
      <c r="E637">
        <v>14.52</v>
      </c>
      <c r="F637">
        <v>3.75</v>
      </c>
      <c r="G637">
        <v>3.75</v>
      </c>
      <c r="H637">
        <v>68098</v>
      </c>
      <c r="I637">
        <v>4.66</v>
      </c>
      <c r="J637">
        <v>52.69</v>
      </c>
      <c r="K637" t="s">
        <v>884</v>
      </c>
    </row>
    <row r="638" spans="1:11">
      <c r="A638" t="str">
        <f>"002120"</f>
        <v>002120</v>
      </c>
      <c r="B638" t="s">
        <v>885</v>
      </c>
      <c r="C638">
        <v>195.65</v>
      </c>
      <c r="D638">
        <v>364.6</v>
      </c>
      <c r="E638">
        <v>206.83</v>
      </c>
      <c r="F638">
        <v>28.99</v>
      </c>
      <c r="G638">
        <v>28.15</v>
      </c>
      <c r="H638">
        <v>86216</v>
      </c>
      <c r="I638">
        <v>0.99</v>
      </c>
      <c r="J638">
        <v>20.7</v>
      </c>
      <c r="K638" t="s">
        <v>886</v>
      </c>
    </row>
    <row r="639" spans="1:11">
      <c r="A639" t="str">
        <f>"002121"</f>
        <v>002121</v>
      </c>
      <c r="B639" t="s">
        <v>887</v>
      </c>
      <c r="C639">
        <v>119.27</v>
      </c>
      <c r="D639">
        <v>83.04</v>
      </c>
      <c r="E639">
        <v>7.4</v>
      </c>
      <c r="F639">
        <v>16.61</v>
      </c>
      <c r="G639">
        <v>14</v>
      </c>
      <c r="H639">
        <v>75003</v>
      </c>
      <c r="I639">
        <v>19.1</v>
      </c>
      <c r="J639">
        <v>45.77</v>
      </c>
      <c r="K639" t="s">
        <v>888</v>
      </c>
    </row>
    <row r="640" spans="1:11">
      <c r="A640" t="str">
        <f>"002122"</f>
        <v>002122</v>
      </c>
      <c r="B640" t="s">
        <v>889</v>
      </c>
      <c r="C640">
        <v>61.04</v>
      </c>
      <c r="D640">
        <v>37.62</v>
      </c>
      <c r="E640">
        <v>21.83</v>
      </c>
      <c r="F640">
        <v>20.02</v>
      </c>
      <c r="G640">
        <v>19.88</v>
      </c>
      <c r="H640">
        <v>151448</v>
      </c>
      <c r="I640">
        <v>2.81</v>
      </c>
      <c r="J640">
        <v>81.95</v>
      </c>
      <c r="K640" t="s">
        <v>141</v>
      </c>
    </row>
    <row r="641" spans="1:11">
      <c r="A641" t="str">
        <f>"002123"</f>
        <v>002123</v>
      </c>
      <c r="B641" t="s">
        <v>890</v>
      </c>
      <c r="C641">
        <v>99.08</v>
      </c>
      <c r="D641">
        <v>32.88</v>
      </c>
      <c r="E641">
        <v>17.26</v>
      </c>
      <c r="F641">
        <v>8.05</v>
      </c>
      <c r="G641">
        <v>7.2</v>
      </c>
      <c r="H641">
        <v>166930</v>
      </c>
      <c r="I641">
        <v>6.42</v>
      </c>
      <c r="J641" t="s">
        <v>14</v>
      </c>
      <c r="K641" t="s">
        <v>486</v>
      </c>
    </row>
    <row r="642" spans="1:11">
      <c r="A642" t="str">
        <f>"002124"</f>
        <v>002124</v>
      </c>
      <c r="B642" t="s">
        <v>891</v>
      </c>
      <c r="C642">
        <v>53.85</v>
      </c>
      <c r="D642">
        <v>134.88</v>
      </c>
      <c r="E642">
        <v>39.35</v>
      </c>
      <c r="F642">
        <v>22.22</v>
      </c>
      <c r="G642">
        <v>19.72</v>
      </c>
      <c r="H642">
        <v>83996</v>
      </c>
      <c r="I642">
        <v>1.54</v>
      </c>
      <c r="J642">
        <v>17.53</v>
      </c>
      <c r="K642" t="s">
        <v>68</v>
      </c>
    </row>
    <row r="643" spans="1:11">
      <c r="A643" t="str">
        <f>"002125"</f>
        <v>002125</v>
      </c>
      <c r="B643" t="s">
        <v>892</v>
      </c>
      <c r="C643">
        <v>92.28</v>
      </c>
      <c r="D643">
        <v>52.01</v>
      </c>
      <c r="E643">
        <v>30.87</v>
      </c>
      <c r="F643">
        <v>6.29</v>
      </c>
      <c r="G643">
        <v>6.29</v>
      </c>
      <c r="H643">
        <v>56540</v>
      </c>
      <c r="I643">
        <v>3.02</v>
      </c>
      <c r="J643">
        <v>43.99</v>
      </c>
      <c r="K643" t="s">
        <v>348</v>
      </c>
    </row>
    <row r="644" spans="1:11">
      <c r="A644" t="str">
        <f>"002126"</f>
        <v>002126</v>
      </c>
      <c r="B644" t="s">
        <v>893</v>
      </c>
      <c r="C644">
        <v>313.58</v>
      </c>
      <c r="D644">
        <v>206.34</v>
      </c>
      <c r="E644">
        <v>68.17</v>
      </c>
      <c r="F644">
        <v>8.46</v>
      </c>
      <c r="G644">
        <v>7.93</v>
      </c>
      <c r="H644">
        <v>43867</v>
      </c>
      <c r="I644">
        <v>4.95</v>
      </c>
      <c r="J644">
        <v>37.33</v>
      </c>
      <c r="K644" t="s">
        <v>51</v>
      </c>
    </row>
    <row r="645" spans="1:11">
      <c r="A645" t="str">
        <f>"002127"</f>
        <v>002127</v>
      </c>
      <c r="B645" t="s">
        <v>894</v>
      </c>
      <c r="C645">
        <v>72.81</v>
      </c>
      <c r="D645">
        <v>48.35</v>
      </c>
      <c r="E645">
        <v>41.72</v>
      </c>
      <c r="F645">
        <v>24.55</v>
      </c>
      <c r="G645">
        <v>19.95</v>
      </c>
      <c r="H645">
        <v>97947</v>
      </c>
      <c r="I645">
        <v>2.15</v>
      </c>
      <c r="J645">
        <v>157.04</v>
      </c>
      <c r="K645" t="s">
        <v>778</v>
      </c>
    </row>
    <row r="646" spans="1:11">
      <c r="A646" t="str">
        <f>"002128"</f>
        <v>002128</v>
      </c>
      <c r="B646" t="s">
        <v>895</v>
      </c>
      <c r="C646">
        <v>677.18</v>
      </c>
      <c r="D646">
        <v>564.34</v>
      </c>
      <c r="E646">
        <v>372.36</v>
      </c>
      <c r="F646">
        <v>22.42</v>
      </c>
      <c r="G646">
        <v>22.42</v>
      </c>
      <c r="H646">
        <v>27062</v>
      </c>
      <c r="I646">
        <v>1.82</v>
      </c>
      <c r="J646">
        <v>12.33</v>
      </c>
      <c r="K646" t="s">
        <v>288</v>
      </c>
    </row>
    <row r="647" spans="1:11">
      <c r="A647" t="str">
        <f>"002129"</f>
        <v>002129</v>
      </c>
      <c r="B647" t="s">
        <v>896</v>
      </c>
      <c r="C647">
        <v>352.7</v>
      </c>
      <c r="D647">
        <v>1231.23</v>
      </c>
      <c r="E647">
        <v>251.32</v>
      </c>
      <c r="F647">
        <v>40.43</v>
      </c>
      <c r="G647">
        <v>40.4</v>
      </c>
      <c r="H647">
        <v>254000</v>
      </c>
      <c r="I647">
        <v>1.4</v>
      </c>
      <c r="J647" t="s">
        <v>14</v>
      </c>
      <c r="K647" t="s">
        <v>897</v>
      </c>
    </row>
    <row r="648" spans="1:11">
      <c r="A648" t="str">
        <f>"002130"</f>
        <v>002130</v>
      </c>
      <c r="B648" t="s">
        <v>898</v>
      </c>
      <c r="C648">
        <v>309.82</v>
      </c>
      <c r="D648">
        <v>116.99</v>
      </c>
      <c r="E648">
        <v>61.74</v>
      </c>
      <c r="F648">
        <v>12.6</v>
      </c>
      <c r="G648">
        <v>11.45</v>
      </c>
      <c r="H648">
        <v>203344</v>
      </c>
      <c r="I648">
        <v>5.52</v>
      </c>
      <c r="J648">
        <v>31.12</v>
      </c>
      <c r="K648" t="s">
        <v>82</v>
      </c>
    </row>
    <row r="649" spans="1:11">
      <c r="A649" t="str">
        <f>"002131"</f>
        <v>002131</v>
      </c>
      <c r="B649" t="s">
        <v>899</v>
      </c>
      <c r="C649">
        <v>580.88</v>
      </c>
      <c r="D649">
        <v>218.87</v>
      </c>
      <c r="E649">
        <v>132.36</v>
      </c>
      <c r="F649">
        <v>67.72</v>
      </c>
      <c r="G649">
        <v>58.5</v>
      </c>
      <c r="H649">
        <v>681761</v>
      </c>
      <c r="I649">
        <v>5.08</v>
      </c>
      <c r="J649">
        <v>85.64</v>
      </c>
      <c r="K649" t="s">
        <v>333</v>
      </c>
    </row>
    <row r="650" spans="1:11">
      <c r="A650" t="str">
        <f>"002132"</f>
        <v>002132</v>
      </c>
      <c r="B650" t="s">
        <v>900</v>
      </c>
      <c r="C650">
        <v>50.94</v>
      </c>
      <c r="D650">
        <v>82.75</v>
      </c>
      <c r="E650">
        <v>34.71</v>
      </c>
      <c r="F650">
        <v>14.02</v>
      </c>
      <c r="G650">
        <v>13.99</v>
      </c>
      <c r="H650">
        <v>59300</v>
      </c>
      <c r="I650">
        <v>1.47</v>
      </c>
      <c r="J650">
        <v>189.97</v>
      </c>
      <c r="K650" t="s">
        <v>63</v>
      </c>
    </row>
    <row r="651" spans="1:11">
      <c r="A651" t="str">
        <f>"002133"</f>
        <v>002133</v>
      </c>
      <c r="B651" t="s">
        <v>901</v>
      </c>
      <c r="C651">
        <v>26.64</v>
      </c>
      <c r="D651">
        <v>75.58</v>
      </c>
      <c r="E651">
        <v>29.39</v>
      </c>
      <c r="F651">
        <v>7.74</v>
      </c>
      <c r="G651">
        <v>7.7</v>
      </c>
      <c r="H651">
        <v>29287</v>
      </c>
      <c r="I651">
        <v>0.91</v>
      </c>
      <c r="J651">
        <v>21.22</v>
      </c>
      <c r="K651" t="s">
        <v>15</v>
      </c>
    </row>
    <row r="652" spans="1:11">
      <c r="A652" t="str">
        <f>"002134"</f>
        <v>002134</v>
      </c>
      <c r="B652" t="s">
        <v>902</v>
      </c>
      <c r="C652">
        <v>63.44</v>
      </c>
      <c r="D652">
        <v>21.09</v>
      </c>
      <c r="E652">
        <v>5.08</v>
      </c>
      <c r="F652">
        <v>2.46</v>
      </c>
      <c r="G652">
        <v>2.46</v>
      </c>
      <c r="H652">
        <v>22692</v>
      </c>
      <c r="I652">
        <v>12.5</v>
      </c>
      <c r="J652">
        <v>314.93</v>
      </c>
      <c r="K652" t="s">
        <v>472</v>
      </c>
    </row>
    <row r="653" spans="1:11">
      <c r="A653" t="str">
        <f>"002135"</f>
        <v>002135</v>
      </c>
      <c r="B653" t="s">
        <v>903</v>
      </c>
      <c r="C653">
        <v>56.47</v>
      </c>
      <c r="D653">
        <v>215.46</v>
      </c>
      <c r="E653">
        <v>64.73</v>
      </c>
      <c r="F653">
        <v>11.16</v>
      </c>
      <c r="G653">
        <v>10.44</v>
      </c>
      <c r="H653">
        <v>44000</v>
      </c>
      <c r="I653">
        <v>0.96</v>
      </c>
      <c r="J653">
        <v>88.9</v>
      </c>
      <c r="K653" t="s">
        <v>904</v>
      </c>
    </row>
    <row r="654" spans="1:11">
      <c r="A654" t="str">
        <f>"002136"</f>
        <v>002136</v>
      </c>
      <c r="B654" t="s">
        <v>905</v>
      </c>
      <c r="C654">
        <v>27.28</v>
      </c>
      <c r="D654">
        <v>20.49</v>
      </c>
      <c r="E654">
        <v>11.29</v>
      </c>
      <c r="F654">
        <v>2.15</v>
      </c>
      <c r="G654">
        <v>2.14</v>
      </c>
      <c r="H654">
        <v>24514</v>
      </c>
      <c r="I654">
        <v>2.42</v>
      </c>
      <c r="J654" t="s">
        <v>14</v>
      </c>
      <c r="K654" t="s">
        <v>220</v>
      </c>
    </row>
    <row r="655" spans="1:11">
      <c r="A655" t="str">
        <f>"002137"</f>
        <v>002137</v>
      </c>
      <c r="B655" t="s">
        <v>906</v>
      </c>
      <c r="C655">
        <v>35.84</v>
      </c>
      <c r="D655">
        <v>19.2</v>
      </c>
      <c r="E655">
        <v>15.12</v>
      </c>
      <c r="F655">
        <v>5.78</v>
      </c>
      <c r="G655">
        <v>3.96</v>
      </c>
      <c r="H655">
        <v>56220</v>
      </c>
      <c r="I655">
        <v>3.45</v>
      </c>
      <c r="J655">
        <v>129.19</v>
      </c>
      <c r="K655" t="s">
        <v>216</v>
      </c>
    </row>
    <row r="656" spans="1:11">
      <c r="A656" t="str">
        <f>"002138"</f>
        <v>002138</v>
      </c>
      <c r="B656" t="s">
        <v>907</v>
      </c>
      <c r="C656">
        <v>281.72</v>
      </c>
      <c r="D656">
        <v>132.12</v>
      </c>
      <c r="E656">
        <v>65.11</v>
      </c>
      <c r="F656">
        <v>8.06</v>
      </c>
      <c r="G656">
        <v>7.57</v>
      </c>
      <c r="H656">
        <v>45970</v>
      </c>
      <c r="I656">
        <v>4.61</v>
      </c>
      <c r="J656">
        <v>29.28</v>
      </c>
      <c r="K656" t="s">
        <v>310</v>
      </c>
    </row>
    <row r="657" spans="1:11">
      <c r="A657" t="str">
        <f>"002139"</f>
        <v>002139</v>
      </c>
      <c r="B657" t="s">
        <v>908</v>
      </c>
      <c r="C657">
        <v>150.16</v>
      </c>
      <c r="D657">
        <v>136.81</v>
      </c>
      <c r="E657">
        <v>70.7</v>
      </c>
      <c r="F657">
        <v>12.47</v>
      </c>
      <c r="G657">
        <v>10.71</v>
      </c>
      <c r="H657">
        <v>109845</v>
      </c>
      <c r="I657">
        <v>2.47</v>
      </c>
      <c r="J657">
        <v>31.18</v>
      </c>
      <c r="K657" t="s">
        <v>82</v>
      </c>
    </row>
    <row r="658" spans="1:11">
      <c r="A658" t="str">
        <f>"002140"</f>
        <v>002140</v>
      </c>
      <c r="B658" t="s">
        <v>909</v>
      </c>
      <c r="C658">
        <v>82.43</v>
      </c>
      <c r="D658">
        <v>162.49</v>
      </c>
      <c r="E658">
        <v>46.23</v>
      </c>
      <c r="F658">
        <v>7.08</v>
      </c>
      <c r="G658">
        <v>7.07</v>
      </c>
      <c r="H658">
        <v>32280</v>
      </c>
      <c r="I658">
        <v>1.79</v>
      </c>
      <c r="J658">
        <v>16.96</v>
      </c>
      <c r="K658" t="s">
        <v>910</v>
      </c>
    </row>
    <row r="659" spans="1:11">
      <c r="A659" t="str">
        <f>"002141"</f>
        <v>002141</v>
      </c>
      <c r="B659" t="s">
        <v>911</v>
      </c>
      <c r="C659">
        <v>38.11</v>
      </c>
      <c r="D659">
        <v>12.44</v>
      </c>
      <c r="E659">
        <v>8.32</v>
      </c>
      <c r="F659">
        <v>10.33</v>
      </c>
      <c r="G659">
        <v>10.19</v>
      </c>
      <c r="H659">
        <v>40293</v>
      </c>
      <c r="I659">
        <v>4.65</v>
      </c>
      <c r="J659">
        <v>68.52</v>
      </c>
      <c r="K659" t="s">
        <v>912</v>
      </c>
    </row>
    <row r="660" spans="1:11">
      <c r="A660" t="str">
        <f>"002142"</f>
        <v>002142</v>
      </c>
      <c r="B660" t="s">
        <v>913</v>
      </c>
      <c r="C660">
        <v>1907.37</v>
      </c>
      <c r="D660">
        <v>35783.96</v>
      </c>
      <c r="E660">
        <v>2526.89</v>
      </c>
      <c r="F660">
        <v>66.04</v>
      </c>
      <c r="G660">
        <v>66</v>
      </c>
      <c r="H660">
        <v>118415</v>
      </c>
      <c r="I660">
        <v>0.88</v>
      </c>
      <c r="J660">
        <v>6.38</v>
      </c>
      <c r="K660" t="s">
        <v>643</v>
      </c>
    </row>
    <row r="661" spans="1:11">
      <c r="A661" t="str">
        <f>"002144"</f>
        <v>002144</v>
      </c>
      <c r="B661" t="s">
        <v>914</v>
      </c>
      <c r="C661">
        <v>17.71</v>
      </c>
      <c r="D661">
        <v>22.94</v>
      </c>
      <c r="E661">
        <v>21.25</v>
      </c>
      <c r="F661">
        <v>1.77</v>
      </c>
      <c r="G661">
        <v>1.38</v>
      </c>
      <c r="H661">
        <v>16673</v>
      </c>
      <c r="I661">
        <v>1.07</v>
      </c>
      <c r="J661">
        <v>28.73</v>
      </c>
      <c r="K661" t="s">
        <v>577</v>
      </c>
    </row>
    <row r="662" spans="1:11">
      <c r="A662" t="str">
        <f>"002145"</f>
        <v>002145</v>
      </c>
      <c r="B662" t="s">
        <v>915</v>
      </c>
      <c r="C662">
        <v>183.46</v>
      </c>
      <c r="D662">
        <v>196.18</v>
      </c>
      <c r="E662">
        <v>120.69</v>
      </c>
      <c r="F662">
        <v>38.07</v>
      </c>
      <c r="G662">
        <v>37.29</v>
      </c>
      <c r="H662">
        <v>115658</v>
      </c>
      <c r="I662">
        <v>1.55</v>
      </c>
      <c r="J662">
        <v>44.44</v>
      </c>
      <c r="K662" t="s">
        <v>220</v>
      </c>
    </row>
    <row r="663" spans="1:11">
      <c r="A663" t="str">
        <f>"002146"</f>
        <v>002146</v>
      </c>
      <c r="B663" t="s">
        <v>916</v>
      </c>
      <c r="C663">
        <v>66.1</v>
      </c>
      <c r="D663">
        <v>1432.53</v>
      </c>
      <c r="E663">
        <v>118.82</v>
      </c>
      <c r="F663">
        <v>43.48</v>
      </c>
      <c r="G663">
        <v>39.12</v>
      </c>
      <c r="H663">
        <v>144623</v>
      </c>
      <c r="I663">
        <v>0.62</v>
      </c>
      <c r="J663" t="s">
        <v>14</v>
      </c>
      <c r="K663" t="s">
        <v>15</v>
      </c>
    </row>
    <row r="664" spans="1:11">
      <c r="A664" t="str">
        <f>"002148"</f>
        <v>002148</v>
      </c>
      <c r="B664" t="s">
        <v>917</v>
      </c>
      <c r="C664">
        <v>42.1</v>
      </c>
      <c r="D664">
        <v>14.13</v>
      </c>
      <c r="E664">
        <v>12.22</v>
      </c>
      <c r="F664">
        <v>5.59</v>
      </c>
      <c r="G664">
        <v>4.49</v>
      </c>
      <c r="H664">
        <v>88700</v>
      </c>
      <c r="I664">
        <v>4.29</v>
      </c>
      <c r="J664" t="s">
        <v>14</v>
      </c>
      <c r="K664" t="s">
        <v>486</v>
      </c>
    </row>
    <row r="665" spans="1:11">
      <c r="A665" t="str">
        <f>"002149"</f>
        <v>002149</v>
      </c>
      <c r="B665" t="s">
        <v>918</v>
      </c>
      <c r="C665">
        <v>215.9</v>
      </c>
      <c r="D665">
        <v>72.6</v>
      </c>
      <c r="E665">
        <v>29.15</v>
      </c>
      <c r="F665">
        <v>4.88</v>
      </c>
      <c r="G665">
        <v>4.88</v>
      </c>
      <c r="H665">
        <v>60155</v>
      </c>
      <c r="I665">
        <v>7.41</v>
      </c>
      <c r="J665">
        <v>233.85</v>
      </c>
      <c r="K665" t="s">
        <v>919</v>
      </c>
    </row>
    <row r="666" spans="1:11">
      <c r="A666" t="str">
        <f>"002150"</f>
        <v>002150</v>
      </c>
      <c r="B666" t="s">
        <v>920</v>
      </c>
      <c r="C666">
        <v>76.76</v>
      </c>
      <c r="D666">
        <v>51.84</v>
      </c>
      <c r="E666">
        <v>20.25</v>
      </c>
      <c r="F666">
        <v>3.61</v>
      </c>
      <c r="G666">
        <v>3.59</v>
      </c>
      <c r="H666">
        <v>35772</v>
      </c>
      <c r="I666">
        <v>3.84</v>
      </c>
      <c r="J666">
        <v>42.38</v>
      </c>
      <c r="K666" t="s">
        <v>63</v>
      </c>
    </row>
    <row r="667" spans="1:11">
      <c r="A667" t="str">
        <f>"002151"</f>
        <v>002151</v>
      </c>
      <c r="B667" t="s">
        <v>921</v>
      </c>
      <c r="C667">
        <v>240.14</v>
      </c>
      <c r="D667">
        <v>65.63</v>
      </c>
      <c r="E667">
        <v>51.59</v>
      </c>
      <c r="F667">
        <v>5.43</v>
      </c>
      <c r="G667">
        <v>4.43</v>
      </c>
      <c r="H667">
        <v>110996</v>
      </c>
      <c r="I667">
        <v>5.71</v>
      </c>
      <c r="J667">
        <v>1219.54</v>
      </c>
      <c r="K667" t="s">
        <v>223</v>
      </c>
    </row>
    <row r="668" spans="1:11">
      <c r="A668" t="str">
        <f>"002152"</f>
        <v>002152</v>
      </c>
      <c r="B668" t="s">
        <v>922</v>
      </c>
      <c r="C668">
        <v>351.97</v>
      </c>
      <c r="D668">
        <v>291.03</v>
      </c>
      <c r="E668">
        <v>127.2</v>
      </c>
      <c r="F668">
        <v>24.83</v>
      </c>
      <c r="G668">
        <v>24.82</v>
      </c>
      <c r="H668">
        <v>106243</v>
      </c>
      <c r="I668">
        <v>2.77</v>
      </c>
      <c r="J668">
        <v>43.86</v>
      </c>
      <c r="K668" t="s">
        <v>88</v>
      </c>
    </row>
    <row r="669" spans="1:11">
      <c r="A669" t="str">
        <f>"002153"</f>
        <v>002153</v>
      </c>
      <c r="B669" t="s">
        <v>923</v>
      </c>
      <c r="C669">
        <v>234.69</v>
      </c>
      <c r="D669">
        <v>93.61</v>
      </c>
      <c r="E669">
        <v>69.6</v>
      </c>
      <c r="F669">
        <v>27.29</v>
      </c>
      <c r="G669">
        <v>16</v>
      </c>
      <c r="H669">
        <v>53619</v>
      </c>
      <c r="I669">
        <v>5.75</v>
      </c>
      <c r="J669">
        <v>1419.12</v>
      </c>
      <c r="K669" t="s">
        <v>924</v>
      </c>
    </row>
    <row r="670" spans="1:11">
      <c r="A670" t="str">
        <f>"002154"</f>
        <v>002154</v>
      </c>
      <c r="B670" t="s">
        <v>925</v>
      </c>
      <c r="C670">
        <v>46.6</v>
      </c>
      <c r="D670">
        <v>69.21</v>
      </c>
      <c r="E670">
        <v>45.33</v>
      </c>
      <c r="F670">
        <v>14.59</v>
      </c>
      <c r="G670">
        <v>11.8</v>
      </c>
      <c r="H670">
        <v>75366</v>
      </c>
      <c r="I670">
        <v>1.27</v>
      </c>
      <c r="J670">
        <v>18.32</v>
      </c>
      <c r="K670" t="s">
        <v>622</v>
      </c>
    </row>
    <row r="671" spans="1:11">
      <c r="A671" t="str">
        <f>"002155"</f>
        <v>002155</v>
      </c>
      <c r="B671" t="s">
        <v>926</v>
      </c>
      <c r="C671">
        <v>358.91</v>
      </c>
      <c r="D671">
        <v>90.72</v>
      </c>
      <c r="E671">
        <v>76.31</v>
      </c>
      <c r="F671">
        <v>15.63</v>
      </c>
      <c r="G671">
        <v>15.63</v>
      </c>
      <c r="H671">
        <v>118266</v>
      </c>
      <c r="I671">
        <v>4.7</v>
      </c>
      <c r="J671">
        <v>26.17</v>
      </c>
      <c r="K671" t="s">
        <v>173</v>
      </c>
    </row>
    <row r="672" spans="1:11">
      <c r="A672" t="str">
        <f>"002156"</f>
        <v>002156</v>
      </c>
      <c r="B672" t="s">
        <v>927</v>
      </c>
      <c r="C672">
        <v>620.94</v>
      </c>
      <c r="D672">
        <v>454.74</v>
      </c>
      <c r="E672">
        <v>151.8</v>
      </c>
      <c r="F672">
        <v>15.18</v>
      </c>
      <c r="G672">
        <v>15.17</v>
      </c>
      <c r="H672">
        <v>350681</v>
      </c>
      <c r="I672">
        <v>4.09</v>
      </c>
      <c r="J672">
        <v>54.13</v>
      </c>
      <c r="K672" t="s">
        <v>838</v>
      </c>
    </row>
    <row r="673" spans="1:11">
      <c r="A673" t="str">
        <f>"002157"</f>
        <v>002157</v>
      </c>
      <c r="B673" t="s">
        <v>928</v>
      </c>
      <c r="C673">
        <v>234.39</v>
      </c>
      <c r="D673">
        <v>198.1</v>
      </c>
      <c r="E673">
        <v>117.4</v>
      </c>
      <c r="F673">
        <v>92.5</v>
      </c>
      <c r="G673">
        <v>72.34</v>
      </c>
      <c r="H673">
        <v>162900</v>
      </c>
      <c r="I673">
        <v>2.55</v>
      </c>
      <c r="J673">
        <v>2719.48</v>
      </c>
      <c r="K673" t="s">
        <v>68</v>
      </c>
    </row>
    <row r="674" spans="1:11">
      <c r="A674" t="str">
        <f>"002158"</f>
        <v>002158</v>
      </c>
      <c r="B674" t="s">
        <v>929</v>
      </c>
      <c r="C674">
        <v>140.07</v>
      </c>
      <c r="D674">
        <v>62.62</v>
      </c>
      <c r="E674">
        <v>43.59</v>
      </c>
      <c r="F674">
        <v>5.35</v>
      </c>
      <c r="G674">
        <v>5.34</v>
      </c>
      <c r="H674">
        <v>33826</v>
      </c>
      <c r="I674">
        <v>3.22</v>
      </c>
      <c r="J674">
        <v>26.87</v>
      </c>
      <c r="K674" t="s">
        <v>203</v>
      </c>
    </row>
    <row r="675" spans="1:11">
      <c r="A675" t="str">
        <f>"002159"</f>
        <v>002159</v>
      </c>
      <c r="B675" t="s">
        <v>930</v>
      </c>
      <c r="C675">
        <v>21.46</v>
      </c>
      <c r="D675">
        <v>18.77</v>
      </c>
      <c r="E675">
        <v>14.62</v>
      </c>
      <c r="F675">
        <v>1.77</v>
      </c>
      <c r="G675">
        <v>1.38</v>
      </c>
      <c r="H675">
        <v>13898</v>
      </c>
      <c r="I675">
        <v>1.88</v>
      </c>
      <c r="J675">
        <v>14.91</v>
      </c>
      <c r="K675" t="s">
        <v>194</v>
      </c>
    </row>
    <row r="676" spans="1:11">
      <c r="A676" t="str">
        <f>"002160"</f>
        <v>002160</v>
      </c>
      <c r="B676" t="s">
        <v>931</v>
      </c>
      <c r="C676">
        <v>45.79</v>
      </c>
      <c r="D676">
        <v>87.38</v>
      </c>
      <c r="E676">
        <v>37.23</v>
      </c>
      <c r="F676">
        <v>10.33</v>
      </c>
      <c r="G676">
        <v>7.94</v>
      </c>
      <c r="H676">
        <v>45849</v>
      </c>
      <c r="I676">
        <v>1.6</v>
      </c>
      <c r="J676">
        <v>121.78</v>
      </c>
      <c r="K676" t="s">
        <v>288</v>
      </c>
    </row>
    <row r="677" spans="1:11">
      <c r="A677" t="str">
        <f>"002161"</f>
        <v>002161</v>
      </c>
      <c r="B677" t="s">
        <v>932</v>
      </c>
      <c r="C677">
        <v>57.01</v>
      </c>
      <c r="D677">
        <v>28.21</v>
      </c>
      <c r="E677">
        <v>16.8</v>
      </c>
      <c r="F677">
        <v>7.4</v>
      </c>
      <c r="G677">
        <v>7.05</v>
      </c>
      <c r="H677">
        <v>66360</v>
      </c>
      <c r="I677">
        <v>3.56</v>
      </c>
      <c r="J677">
        <v>31.02</v>
      </c>
      <c r="K677" t="s">
        <v>933</v>
      </c>
    </row>
    <row r="678" spans="1:11">
      <c r="A678" t="str">
        <f>"002162"</f>
        <v>002162</v>
      </c>
      <c r="B678" t="s">
        <v>934</v>
      </c>
      <c r="C678">
        <v>49.51</v>
      </c>
      <c r="D678">
        <v>20.06</v>
      </c>
      <c r="E678">
        <v>8.21</v>
      </c>
      <c r="F678">
        <v>9.2</v>
      </c>
      <c r="G678">
        <v>9.18</v>
      </c>
      <c r="H678">
        <v>46664</v>
      </c>
      <c r="I678">
        <v>6.04</v>
      </c>
      <c r="J678">
        <v>1205.46</v>
      </c>
      <c r="K678" t="s">
        <v>935</v>
      </c>
    </row>
    <row r="679" spans="1:11">
      <c r="A679" t="str">
        <f>"002163"</f>
        <v>002163</v>
      </c>
      <c r="B679" t="s">
        <v>936</v>
      </c>
      <c r="C679">
        <v>148.01</v>
      </c>
      <c r="D679">
        <v>65.86</v>
      </c>
      <c r="E679">
        <v>7.04</v>
      </c>
      <c r="F679">
        <v>8.45</v>
      </c>
      <c r="G679">
        <v>8.04</v>
      </c>
      <c r="H679">
        <v>193653</v>
      </c>
      <c r="I679">
        <v>22.09</v>
      </c>
      <c r="J679" t="s">
        <v>14</v>
      </c>
      <c r="K679" t="s">
        <v>804</v>
      </c>
    </row>
    <row r="680" spans="1:11">
      <c r="A680" t="str">
        <f>"002164"</f>
        <v>002164</v>
      </c>
      <c r="B680" t="s">
        <v>937</v>
      </c>
      <c r="C680">
        <v>67.84</v>
      </c>
      <c r="D680">
        <v>25.36</v>
      </c>
      <c r="E680">
        <v>14.32</v>
      </c>
      <c r="F680">
        <v>5.32</v>
      </c>
      <c r="G680">
        <v>4.8</v>
      </c>
      <c r="H680">
        <v>39980</v>
      </c>
      <c r="I680">
        <v>5.25</v>
      </c>
      <c r="J680">
        <v>96.55</v>
      </c>
      <c r="K680" t="s">
        <v>424</v>
      </c>
    </row>
    <row r="681" spans="1:11">
      <c r="A681" t="str">
        <f>"002165"</f>
        <v>002165</v>
      </c>
      <c r="B681" t="s">
        <v>938</v>
      </c>
      <c r="C681">
        <v>57.56</v>
      </c>
      <c r="D681">
        <v>54.03</v>
      </c>
      <c r="E681">
        <v>20.44</v>
      </c>
      <c r="F681">
        <v>7.35</v>
      </c>
      <c r="G681">
        <v>7.28</v>
      </c>
      <c r="H681">
        <v>133697</v>
      </c>
      <c r="I681">
        <v>2.85</v>
      </c>
      <c r="J681">
        <v>116.44</v>
      </c>
      <c r="K681" t="s">
        <v>939</v>
      </c>
    </row>
    <row r="682" spans="1:11">
      <c r="A682" t="str">
        <f>"002166"</f>
        <v>002166</v>
      </c>
      <c r="B682" t="s">
        <v>940</v>
      </c>
      <c r="C682">
        <v>67.18</v>
      </c>
      <c r="D682">
        <v>49.85</v>
      </c>
      <c r="E682">
        <v>30.77</v>
      </c>
      <c r="F682">
        <v>7.42</v>
      </c>
      <c r="G682">
        <v>7.4</v>
      </c>
      <c r="H682">
        <v>45997</v>
      </c>
      <c r="I682">
        <v>2.19</v>
      </c>
      <c r="J682">
        <v>71.74</v>
      </c>
      <c r="K682" t="s">
        <v>155</v>
      </c>
    </row>
    <row r="683" spans="1:11">
      <c r="A683" t="str">
        <f>"002167"</f>
        <v>002167</v>
      </c>
      <c r="B683" t="s">
        <v>941</v>
      </c>
      <c r="C683">
        <v>100.89</v>
      </c>
      <c r="D683">
        <v>22.38</v>
      </c>
      <c r="E683">
        <v>17.51</v>
      </c>
      <c r="F683">
        <v>7.75</v>
      </c>
      <c r="G683">
        <v>7.57</v>
      </c>
      <c r="H683">
        <v>128226</v>
      </c>
      <c r="I683">
        <v>5.89</v>
      </c>
      <c r="J683">
        <v>200.07</v>
      </c>
      <c r="K683" t="s">
        <v>301</v>
      </c>
    </row>
    <row r="684" spans="1:11">
      <c r="A684" t="str">
        <f>"002168"</f>
        <v>002168</v>
      </c>
      <c r="B684" t="s">
        <v>942</v>
      </c>
      <c r="C684">
        <v>31.76</v>
      </c>
      <c r="D684">
        <v>9.27</v>
      </c>
      <c r="E684">
        <v>0.23</v>
      </c>
      <c r="F684">
        <v>7.84</v>
      </c>
      <c r="G684">
        <v>7.84</v>
      </c>
      <c r="H684">
        <v>30499</v>
      </c>
      <c r="I684">
        <v>139.66</v>
      </c>
      <c r="J684" t="s">
        <v>14</v>
      </c>
      <c r="K684" t="s">
        <v>943</v>
      </c>
    </row>
    <row r="685" spans="1:11">
      <c r="A685" t="str">
        <f>"002169"</f>
        <v>002169</v>
      </c>
      <c r="B685" t="s">
        <v>944</v>
      </c>
      <c r="C685">
        <v>85.43</v>
      </c>
      <c r="D685">
        <v>98.68</v>
      </c>
      <c r="E685">
        <v>26.38</v>
      </c>
      <c r="F685">
        <v>7.83</v>
      </c>
      <c r="G685">
        <v>7.59</v>
      </c>
      <c r="H685">
        <v>52291</v>
      </c>
      <c r="I685">
        <v>3.34</v>
      </c>
      <c r="J685" t="s">
        <v>14</v>
      </c>
      <c r="K685" t="s">
        <v>127</v>
      </c>
    </row>
    <row r="686" spans="1:11">
      <c r="A686" t="str">
        <f>"002170"</f>
        <v>002170</v>
      </c>
      <c r="B686" t="s">
        <v>945</v>
      </c>
      <c r="C686">
        <v>95.64</v>
      </c>
      <c r="D686">
        <v>57.28</v>
      </c>
      <c r="E686">
        <v>36.67</v>
      </c>
      <c r="F686">
        <v>9.68</v>
      </c>
      <c r="G686">
        <v>7.85</v>
      </c>
      <c r="H686">
        <v>46319</v>
      </c>
      <c r="I686">
        <v>3.21</v>
      </c>
      <c r="J686">
        <v>12.88</v>
      </c>
      <c r="K686" t="s">
        <v>532</v>
      </c>
    </row>
    <row r="687" spans="1:11">
      <c r="A687" t="str">
        <f>"002171"</f>
        <v>002171</v>
      </c>
      <c r="B687" t="s">
        <v>946</v>
      </c>
      <c r="C687">
        <v>231.41</v>
      </c>
      <c r="D687">
        <v>220.35</v>
      </c>
      <c r="E687">
        <v>86.74</v>
      </c>
      <c r="F687">
        <v>16.23</v>
      </c>
      <c r="G687">
        <v>16.14</v>
      </c>
      <c r="H687">
        <v>72277</v>
      </c>
      <c r="I687">
        <v>2.68</v>
      </c>
      <c r="J687">
        <v>49.14</v>
      </c>
      <c r="K687" t="s">
        <v>303</v>
      </c>
    </row>
    <row r="688" spans="1:11">
      <c r="A688" t="str">
        <f>"002172"</f>
        <v>002172</v>
      </c>
      <c r="B688" t="s">
        <v>947</v>
      </c>
      <c r="C688">
        <v>34.9</v>
      </c>
      <c r="D688">
        <v>19.29</v>
      </c>
      <c r="E688">
        <v>1.75</v>
      </c>
      <c r="F688">
        <v>7.66</v>
      </c>
      <c r="G688">
        <v>7.65</v>
      </c>
      <c r="H688">
        <v>51189</v>
      </c>
      <c r="I688">
        <v>20</v>
      </c>
      <c r="J688">
        <v>65.28</v>
      </c>
      <c r="K688" t="s">
        <v>181</v>
      </c>
    </row>
    <row r="689" spans="1:11">
      <c r="A689" t="str">
        <f>"002173"</f>
        <v>002173</v>
      </c>
      <c r="B689" t="s">
        <v>948</v>
      </c>
      <c r="C689">
        <v>139.05</v>
      </c>
      <c r="D689">
        <v>21.78</v>
      </c>
      <c r="E689">
        <v>17.81</v>
      </c>
      <c r="F689">
        <v>4.41</v>
      </c>
      <c r="G689">
        <v>4.16</v>
      </c>
      <c r="H689">
        <v>130247</v>
      </c>
      <c r="I689">
        <v>8.28</v>
      </c>
      <c r="J689">
        <v>2339.85</v>
      </c>
      <c r="K689" t="s">
        <v>181</v>
      </c>
    </row>
    <row r="690" spans="1:11">
      <c r="A690" t="str">
        <f>"002174"</f>
        <v>002174</v>
      </c>
      <c r="B690" t="s">
        <v>949</v>
      </c>
      <c r="C690">
        <v>132.78</v>
      </c>
      <c r="D690">
        <v>57.77</v>
      </c>
      <c r="E690">
        <v>49.58</v>
      </c>
      <c r="F690">
        <v>9.83</v>
      </c>
      <c r="G690">
        <v>9.83</v>
      </c>
      <c r="H690">
        <v>76378</v>
      </c>
      <c r="I690">
        <v>2.68</v>
      </c>
      <c r="J690">
        <v>130.49</v>
      </c>
      <c r="K690" t="s">
        <v>950</v>
      </c>
    </row>
    <row r="691" spans="1:11">
      <c r="A691" t="str">
        <f>"002175"</f>
        <v>002175</v>
      </c>
      <c r="B691" t="s">
        <v>951</v>
      </c>
      <c r="C691">
        <v>58.86</v>
      </c>
      <c r="D691">
        <v>9.83</v>
      </c>
      <c r="E691">
        <v>8.09</v>
      </c>
      <c r="F691">
        <v>12.77</v>
      </c>
      <c r="G691">
        <v>12.77</v>
      </c>
      <c r="H691">
        <v>136858</v>
      </c>
      <c r="I691">
        <v>7.27</v>
      </c>
      <c r="J691">
        <v>3324.15</v>
      </c>
      <c r="K691" t="s">
        <v>952</v>
      </c>
    </row>
    <row r="692" spans="1:11">
      <c r="A692" t="str">
        <f>"002176"</f>
        <v>002176</v>
      </c>
      <c r="B692" t="s">
        <v>953</v>
      </c>
      <c r="C692">
        <v>173.33</v>
      </c>
      <c r="D692">
        <v>60.08</v>
      </c>
      <c r="E692">
        <v>33.95</v>
      </c>
      <c r="F692">
        <v>17.06</v>
      </c>
      <c r="G692">
        <v>17.06</v>
      </c>
      <c r="H692">
        <v>222522</v>
      </c>
      <c r="I692">
        <v>5.11</v>
      </c>
      <c r="J692" t="s">
        <v>14</v>
      </c>
      <c r="K692" t="s">
        <v>418</v>
      </c>
    </row>
    <row r="693" spans="1:11">
      <c r="A693" t="str">
        <f>"002177"</f>
        <v>002177</v>
      </c>
      <c r="B693" t="s">
        <v>954</v>
      </c>
      <c r="C693">
        <v>61.42</v>
      </c>
      <c r="D693">
        <v>17.33</v>
      </c>
      <c r="E693">
        <v>17.07</v>
      </c>
      <c r="F693">
        <v>7.61</v>
      </c>
      <c r="G693">
        <v>6.75</v>
      </c>
      <c r="H693">
        <v>138937</v>
      </c>
      <c r="I693">
        <v>4.06</v>
      </c>
      <c r="J693">
        <v>444.37</v>
      </c>
      <c r="K693" t="s">
        <v>20</v>
      </c>
    </row>
    <row r="694" spans="1:11">
      <c r="A694" t="str">
        <f>"002178"</f>
        <v>002178</v>
      </c>
      <c r="B694" t="s">
        <v>955</v>
      </c>
      <c r="C694">
        <v>49.75</v>
      </c>
      <c r="D694">
        <v>13.7</v>
      </c>
      <c r="E694">
        <v>4.36</v>
      </c>
      <c r="F694">
        <v>7.12</v>
      </c>
      <c r="G694">
        <v>7.12</v>
      </c>
      <c r="H694">
        <v>104328</v>
      </c>
      <c r="I694">
        <v>11.42</v>
      </c>
      <c r="J694">
        <v>518.93</v>
      </c>
      <c r="K694" t="s">
        <v>117</v>
      </c>
    </row>
    <row r="695" spans="1:11">
      <c r="A695" t="str">
        <f>"002179"</f>
        <v>002179</v>
      </c>
      <c r="B695" t="s">
        <v>956</v>
      </c>
      <c r="C695">
        <v>798.77</v>
      </c>
      <c r="D695">
        <v>417.69</v>
      </c>
      <c r="E695">
        <v>237.55</v>
      </c>
      <c r="F695">
        <v>21.18</v>
      </c>
      <c r="G695">
        <v>20.98</v>
      </c>
      <c r="H695">
        <v>170568</v>
      </c>
      <c r="I695">
        <v>3.4</v>
      </c>
      <c r="J695">
        <v>34.83</v>
      </c>
      <c r="K695" t="s">
        <v>223</v>
      </c>
    </row>
    <row r="696" spans="1:11">
      <c r="A696" t="str">
        <f>"002180"</f>
        <v>002180</v>
      </c>
      <c r="B696" t="s">
        <v>957</v>
      </c>
      <c r="C696">
        <v>293.5</v>
      </c>
      <c r="D696">
        <v>175.52</v>
      </c>
      <c r="E696">
        <v>95.96</v>
      </c>
      <c r="F696">
        <v>14.22</v>
      </c>
      <c r="G696">
        <v>13.65</v>
      </c>
      <c r="H696">
        <v>62222</v>
      </c>
      <c r="I696">
        <v>3.19</v>
      </c>
      <c r="J696" t="s">
        <v>14</v>
      </c>
      <c r="K696" t="s">
        <v>88</v>
      </c>
    </row>
    <row r="697" spans="1:11">
      <c r="A697" t="str">
        <f>"002181"</f>
        <v>002181</v>
      </c>
      <c r="B697" t="s">
        <v>958</v>
      </c>
      <c r="C697">
        <v>131.04</v>
      </c>
      <c r="D697">
        <v>51.28</v>
      </c>
      <c r="E697">
        <v>42.59</v>
      </c>
      <c r="F697">
        <v>11.61</v>
      </c>
      <c r="G697">
        <v>11.35</v>
      </c>
      <c r="H697">
        <v>74404</v>
      </c>
      <c r="I697">
        <v>3.15</v>
      </c>
      <c r="J697">
        <v>86.49</v>
      </c>
      <c r="K697" t="s">
        <v>381</v>
      </c>
    </row>
    <row r="698" spans="1:11">
      <c r="A698" t="str">
        <f>"002182"</f>
        <v>002182</v>
      </c>
      <c r="B698" t="s">
        <v>959</v>
      </c>
      <c r="C698">
        <v>150.17</v>
      </c>
      <c r="D698">
        <v>144.1</v>
      </c>
      <c r="E698">
        <v>53.77</v>
      </c>
      <c r="F698">
        <v>9.92</v>
      </c>
      <c r="G698">
        <v>8.66</v>
      </c>
      <c r="H698">
        <v>50857</v>
      </c>
      <c r="I698">
        <v>3.2</v>
      </c>
      <c r="J698">
        <v>147.6</v>
      </c>
      <c r="K698" t="s">
        <v>301</v>
      </c>
    </row>
    <row r="699" spans="1:11">
      <c r="A699" t="str">
        <f>"002183"</f>
        <v>002183</v>
      </c>
      <c r="B699" t="s">
        <v>960</v>
      </c>
      <c r="C699">
        <v>133.75</v>
      </c>
      <c r="D699">
        <v>540.36</v>
      </c>
      <c r="E699">
        <v>92.57</v>
      </c>
      <c r="F699">
        <v>25.97</v>
      </c>
      <c r="G699">
        <v>25.97</v>
      </c>
      <c r="H699">
        <v>150196</v>
      </c>
      <c r="I699">
        <v>1.45</v>
      </c>
      <c r="J699">
        <v>285.01</v>
      </c>
      <c r="K699" t="s">
        <v>536</v>
      </c>
    </row>
    <row r="700" spans="1:11">
      <c r="A700" t="str">
        <f>"002184"</f>
        <v>002184</v>
      </c>
      <c r="B700" t="s">
        <v>961</v>
      </c>
      <c r="C700">
        <v>33.75</v>
      </c>
      <c r="D700">
        <v>31.94</v>
      </c>
      <c r="E700">
        <v>11.69</v>
      </c>
      <c r="F700">
        <v>3.52</v>
      </c>
      <c r="G700">
        <v>2.4</v>
      </c>
      <c r="H700">
        <v>45457</v>
      </c>
      <c r="I700">
        <v>4.23</v>
      </c>
      <c r="J700">
        <v>689.85</v>
      </c>
      <c r="K700" t="s">
        <v>663</v>
      </c>
    </row>
    <row r="701" spans="1:11">
      <c r="A701" t="str">
        <f>"002185"</f>
        <v>002185</v>
      </c>
      <c r="B701" t="s">
        <v>962</v>
      </c>
      <c r="C701">
        <v>380.88</v>
      </c>
      <c r="D701">
        <v>429.6</v>
      </c>
      <c r="E701">
        <v>175.19</v>
      </c>
      <c r="F701">
        <v>32.59</v>
      </c>
      <c r="G701">
        <v>32.58</v>
      </c>
      <c r="H701">
        <v>412333</v>
      </c>
      <c r="I701">
        <v>2.17</v>
      </c>
      <c r="J701">
        <v>52.65</v>
      </c>
      <c r="K701" t="s">
        <v>838</v>
      </c>
    </row>
    <row r="702" spans="1:11">
      <c r="A702" t="str">
        <f>"002186"</f>
        <v>002186</v>
      </c>
      <c r="B702" t="s">
        <v>963</v>
      </c>
      <c r="C702">
        <v>37.21</v>
      </c>
      <c r="D702">
        <v>15.38</v>
      </c>
      <c r="E702">
        <v>8.65</v>
      </c>
      <c r="F702">
        <v>3.07</v>
      </c>
      <c r="G702">
        <v>3.07</v>
      </c>
      <c r="H702">
        <v>37011</v>
      </c>
      <c r="I702">
        <v>4.31</v>
      </c>
      <c r="J702">
        <v>106.77</v>
      </c>
      <c r="K702" t="s">
        <v>385</v>
      </c>
    </row>
    <row r="703" spans="1:11">
      <c r="A703" t="str">
        <f>"002187"</f>
        <v>002187</v>
      </c>
      <c r="B703" t="s">
        <v>964</v>
      </c>
      <c r="C703">
        <v>60.35</v>
      </c>
      <c r="D703">
        <v>71.06</v>
      </c>
      <c r="E703">
        <v>40.34</v>
      </c>
      <c r="F703">
        <v>7.01</v>
      </c>
      <c r="G703">
        <v>7.01</v>
      </c>
      <c r="H703">
        <v>34293</v>
      </c>
      <c r="I703">
        <v>1.5</v>
      </c>
      <c r="J703" t="s">
        <v>14</v>
      </c>
      <c r="K703" t="s">
        <v>146</v>
      </c>
    </row>
    <row r="704" spans="1:11">
      <c r="A704" t="str">
        <f>"002188"</f>
        <v>002188</v>
      </c>
      <c r="B704" t="s">
        <v>965</v>
      </c>
      <c r="C704">
        <v>16.6</v>
      </c>
      <c r="D704">
        <v>5.21</v>
      </c>
      <c r="E704">
        <v>3.24</v>
      </c>
      <c r="F704">
        <v>3.27</v>
      </c>
      <c r="G704">
        <v>2.57</v>
      </c>
      <c r="H704">
        <v>18200</v>
      </c>
      <c r="I704">
        <v>6.5</v>
      </c>
      <c r="J704">
        <v>70.45</v>
      </c>
      <c r="K704" t="s">
        <v>28</v>
      </c>
    </row>
    <row r="705" spans="1:11">
      <c r="A705" t="str">
        <f>"002189"</f>
        <v>002189</v>
      </c>
      <c r="B705" t="s">
        <v>966</v>
      </c>
      <c r="C705">
        <v>64.45</v>
      </c>
      <c r="D705">
        <v>27.84</v>
      </c>
      <c r="E705">
        <v>5.26</v>
      </c>
      <c r="F705">
        <v>2.61</v>
      </c>
      <c r="G705">
        <v>2.61</v>
      </c>
      <c r="H705">
        <v>44326</v>
      </c>
      <c r="I705">
        <v>12.25</v>
      </c>
      <c r="J705" t="s">
        <v>14</v>
      </c>
      <c r="K705" t="s">
        <v>66</v>
      </c>
    </row>
    <row r="706" spans="1:11">
      <c r="A706" t="str">
        <f>"002190"</f>
        <v>002190</v>
      </c>
      <c r="B706" t="s">
        <v>967</v>
      </c>
      <c r="C706">
        <v>138.04</v>
      </c>
      <c r="D706">
        <v>81.13</v>
      </c>
      <c r="E706">
        <v>52.41</v>
      </c>
      <c r="F706">
        <v>3.59</v>
      </c>
      <c r="G706">
        <v>3.59</v>
      </c>
      <c r="H706">
        <v>111220</v>
      </c>
      <c r="I706">
        <v>2.63</v>
      </c>
      <c r="J706" t="s">
        <v>14</v>
      </c>
      <c r="K706" t="s">
        <v>517</v>
      </c>
    </row>
    <row r="707" spans="1:11">
      <c r="A707" t="str">
        <f>"002191"</f>
        <v>002191</v>
      </c>
      <c r="B707" t="s">
        <v>968</v>
      </c>
      <c r="C707">
        <v>65.69</v>
      </c>
      <c r="D707">
        <v>84.34</v>
      </c>
      <c r="E707">
        <v>66.83</v>
      </c>
      <c r="F707">
        <v>14.52</v>
      </c>
      <c r="G707">
        <v>14.41</v>
      </c>
      <c r="H707">
        <v>59968</v>
      </c>
      <c r="I707">
        <v>0.99</v>
      </c>
      <c r="J707">
        <v>34.42</v>
      </c>
      <c r="K707" t="s">
        <v>460</v>
      </c>
    </row>
    <row r="708" spans="1:11">
      <c r="A708" t="str">
        <f>"002192"</f>
        <v>002192</v>
      </c>
      <c r="B708" t="s">
        <v>969</v>
      </c>
      <c r="C708">
        <v>145.63</v>
      </c>
      <c r="D708">
        <v>45</v>
      </c>
      <c r="E708">
        <v>34.59</v>
      </c>
      <c r="F708">
        <v>2.6</v>
      </c>
      <c r="G708">
        <v>2.59</v>
      </c>
      <c r="H708">
        <v>60500</v>
      </c>
      <c r="I708">
        <v>4.22</v>
      </c>
      <c r="J708">
        <v>76.01</v>
      </c>
      <c r="K708" t="s">
        <v>418</v>
      </c>
    </row>
    <row r="709" spans="1:11">
      <c r="A709" t="str">
        <f>"002193"</f>
        <v>002193</v>
      </c>
      <c r="B709" t="s">
        <v>970</v>
      </c>
      <c r="C709">
        <v>14.45</v>
      </c>
      <c r="D709">
        <v>26.67</v>
      </c>
      <c r="E709">
        <v>5.48</v>
      </c>
      <c r="F709">
        <v>2.62</v>
      </c>
      <c r="G709">
        <v>2.62</v>
      </c>
      <c r="H709">
        <v>22980</v>
      </c>
      <c r="I709">
        <v>2.64</v>
      </c>
      <c r="J709" t="s">
        <v>14</v>
      </c>
      <c r="K709" t="s">
        <v>577</v>
      </c>
    </row>
    <row r="710" spans="1:11">
      <c r="A710" t="str">
        <f>"002194"</f>
        <v>002194</v>
      </c>
      <c r="B710" t="s">
        <v>971</v>
      </c>
      <c r="C710">
        <v>77.45</v>
      </c>
      <c r="D710">
        <v>28.97</v>
      </c>
      <c r="E710">
        <v>24.85</v>
      </c>
      <c r="F710">
        <v>6.83</v>
      </c>
      <c r="G710">
        <v>5.11</v>
      </c>
      <c r="H710">
        <v>89568</v>
      </c>
      <c r="I710">
        <v>4.17</v>
      </c>
      <c r="J710" t="s">
        <v>14</v>
      </c>
      <c r="K710" t="s">
        <v>972</v>
      </c>
    </row>
    <row r="711" spans="1:11">
      <c r="A711" t="str">
        <f>"002195"</f>
        <v>002195</v>
      </c>
      <c r="B711" t="s">
        <v>973</v>
      </c>
      <c r="C711">
        <v>738.81</v>
      </c>
      <c r="D711">
        <v>107.31</v>
      </c>
      <c r="E711">
        <v>99.83</v>
      </c>
      <c r="F711">
        <v>56.71</v>
      </c>
      <c r="G711">
        <v>56.01</v>
      </c>
      <c r="H711">
        <v>709158</v>
      </c>
      <c r="I711">
        <v>7.49</v>
      </c>
      <c r="J711">
        <v>307.27</v>
      </c>
      <c r="K711" t="s">
        <v>974</v>
      </c>
    </row>
    <row r="712" spans="1:11">
      <c r="A712" t="str">
        <f>"002196"</f>
        <v>002196</v>
      </c>
      <c r="B712" t="s">
        <v>975</v>
      </c>
      <c r="C712">
        <v>72.17</v>
      </c>
      <c r="D712">
        <v>44.42</v>
      </c>
      <c r="E712">
        <v>14.15</v>
      </c>
      <c r="F712">
        <v>4.96</v>
      </c>
      <c r="G712">
        <v>4.88</v>
      </c>
      <c r="H712">
        <v>66798</v>
      </c>
      <c r="I712">
        <v>5.18</v>
      </c>
      <c r="J712">
        <v>399.55</v>
      </c>
      <c r="K712" t="s">
        <v>552</v>
      </c>
    </row>
    <row r="713" spans="1:11">
      <c r="A713" t="str">
        <f>"002197"</f>
        <v>002197</v>
      </c>
      <c r="B713" t="s">
        <v>976</v>
      </c>
      <c r="C713">
        <v>58.74</v>
      </c>
      <c r="D713">
        <v>56.97</v>
      </c>
      <c r="E713">
        <v>20.72</v>
      </c>
      <c r="F713">
        <v>6.14</v>
      </c>
      <c r="G713">
        <v>5.34</v>
      </c>
      <c r="H713">
        <v>43017</v>
      </c>
      <c r="I713">
        <v>3.26</v>
      </c>
      <c r="J713" t="s">
        <v>14</v>
      </c>
      <c r="K713" t="s">
        <v>463</v>
      </c>
    </row>
    <row r="714" spans="1:11">
      <c r="A714" t="str">
        <f>"002198"</f>
        <v>002198</v>
      </c>
      <c r="B714" t="s">
        <v>977</v>
      </c>
      <c r="C714">
        <v>36.94</v>
      </c>
      <c r="D714">
        <v>7.75</v>
      </c>
      <c r="E714">
        <v>7.09</v>
      </c>
      <c r="F714">
        <v>5.08</v>
      </c>
      <c r="G714">
        <v>5.07</v>
      </c>
      <c r="H714">
        <v>24806</v>
      </c>
      <c r="I714">
        <v>5.21</v>
      </c>
      <c r="J714">
        <v>127.14</v>
      </c>
      <c r="K714" t="s">
        <v>155</v>
      </c>
    </row>
    <row r="715" spans="1:11">
      <c r="A715" t="str">
        <f>"002199"</f>
        <v>002199</v>
      </c>
      <c r="B715" t="s">
        <v>978</v>
      </c>
      <c r="C715">
        <v>24</v>
      </c>
      <c r="D715">
        <v>4.49</v>
      </c>
      <c r="E715">
        <v>1.91</v>
      </c>
      <c r="F715">
        <v>2.43</v>
      </c>
      <c r="G715">
        <v>2.43</v>
      </c>
      <c r="H715">
        <v>10541</v>
      </c>
      <c r="I715">
        <v>12.59</v>
      </c>
      <c r="J715" t="s">
        <v>14</v>
      </c>
      <c r="K715" t="s">
        <v>310</v>
      </c>
    </row>
    <row r="716" spans="1:11">
      <c r="A716" t="str">
        <f>"002200"</f>
        <v>002200</v>
      </c>
      <c r="B716" t="s">
        <v>979</v>
      </c>
      <c r="C716">
        <v>14.62</v>
      </c>
      <c r="D716">
        <v>30.67</v>
      </c>
      <c r="E716">
        <v>-1.08</v>
      </c>
      <c r="F716">
        <v>4.51</v>
      </c>
      <c r="G716">
        <v>1.96</v>
      </c>
      <c r="H716">
        <v>7090</v>
      </c>
      <c r="I716">
        <v>-12.75</v>
      </c>
      <c r="J716" t="s">
        <v>14</v>
      </c>
      <c r="K716" t="s">
        <v>26</v>
      </c>
    </row>
    <row r="717" spans="1:11">
      <c r="A717" t="str">
        <f>"002201"</f>
        <v>002201</v>
      </c>
      <c r="B717" t="s">
        <v>980</v>
      </c>
      <c r="C717">
        <v>75.37</v>
      </c>
      <c r="D717">
        <v>31.67</v>
      </c>
      <c r="E717">
        <v>11.64</v>
      </c>
      <c r="F717">
        <v>6.52</v>
      </c>
      <c r="G717">
        <v>6.02</v>
      </c>
      <c r="H717">
        <v>68055</v>
      </c>
      <c r="I717">
        <v>7.01</v>
      </c>
      <c r="J717">
        <v>81.01</v>
      </c>
      <c r="K717" t="s">
        <v>842</v>
      </c>
    </row>
    <row r="718" spans="1:11">
      <c r="A718" t="str">
        <f>"002202"</f>
        <v>002202</v>
      </c>
      <c r="B718" t="s">
        <v>981</v>
      </c>
      <c r="C718">
        <v>1122.96</v>
      </c>
      <c r="D718">
        <v>1673.07</v>
      </c>
      <c r="E718">
        <v>410.48</v>
      </c>
      <c r="F718">
        <v>42.25</v>
      </c>
      <c r="G718">
        <v>33.64</v>
      </c>
      <c r="H718">
        <v>202368</v>
      </c>
      <c r="I718">
        <v>3.67</v>
      </c>
      <c r="J718">
        <v>40.93</v>
      </c>
      <c r="K718" t="s">
        <v>982</v>
      </c>
    </row>
    <row r="719" spans="1:11">
      <c r="A719" t="str">
        <f>"002203"</f>
        <v>002203</v>
      </c>
      <c r="B719" t="s">
        <v>983</v>
      </c>
      <c r="C719">
        <v>348.19</v>
      </c>
      <c r="D719">
        <v>478.64</v>
      </c>
      <c r="E719">
        <v>167.96</v>
      </c>
      <c r="F719">
        <v>22.92</v>
      </c>
      <c r="G719">
        <v>22.12</v>
      </c>
      <c r="H719">
        <v>30608</v>
      </c>
      <c r="I719">
        <v>2.15</v>
      </c>
      <c r="J719">
        <v>29.26</v>
      </c>
      <c r="K719" t="s">
        <v>303</v>
      </c>
    </row>
    <row r="720" spans="1:11">
      <c r="A720" t="str">
        <f>"002204"</f>
        <v>002204</v>
      </c>
      <c r="B720" t="s">
        <v>984</v>
      </c>
      <c r="C720">
        <v>147.17</v>
      </c>
      <c r="D720">
        <v>266.76</v>
      </c>
      <c r="E720">
        <v>77.46</v>
      </c>
      <c r="F720">
        <v>19.31</v>
      </c>
      <c r="G720">
        <v>19.31</v>
      </c>
      <c r="H720">
        <v>78146</v>
      </c>
      <c r="I720">
        <v>1.9</v>
      </c>
      <c r="J720">
        <v>22.54</v>
      </c>
      <c r="K720" t="s">
        <v>491</v>
      </c>
    </row>
    <row r="721" spans="1:11">
      <c r="A721" t="str">
        <f>"002205"</f>
        <v>002205</v>
      </c>
      <c r="B721" t="s">
        <v>985</v>
      </c>
      <c r="C721">
        <v>25.57</v>
      </c>
      <c r="D721">
        <v>40.08</v>
      </c>
      <c r="E721">
        <v>3.6</v>
      </c>
      <c r="F721">
        <v>1.86</v>
      </c>
      <c r="G721">
        <v>1.86</v>
      </c>
      <c r="H721">
        <v>20344</v>
      </c>
      <c r="I721">
        <v>7.11</v>
      </c>
      <c r="J721" t="s">
        <v>14</v>
      </c>
      <c r="K721" t="s">
        <v>129</v>
      </c>
    </row>
    <row r="722" spans="1:11">
      <c r="A722" t="str">
        <f>"002206"</f>
        <v>002206</v>
      </c>
      <c r="B722" t="s">
        <v>986</v>
      </c>
      <c r="C722">
        <v>59.8</v>
      </c>
      <c r="D722">
        <v>76.03</v>
      </c>
      <c r="E722">
        <v>39.16</v>
      </c>
      <c r="F722">
        <v>11.62</v>
      </c>
      <c r="G722">
        <v>8.53</v>
      </c>
      <c r="H722">
        <v>34000</v>
      </c>
      <c r="I722">
        <v>2.08</v>
      </c>
      <c r="J722">
        <v>14.73</v>
      </c>
      <c r="K722" t="s">
        <v>122</v>
      </c>
    </row>
    <row r="723" spans="1:11">
      <c r="A723" t="str">
        <f>"002207"</f>
        <v>002207</v>
      </c>
      <c r="B723" t="s">
        <v>987</v>
      </c>
      <c r="C723">
        <v>24.2</v>
      </c>
      <c r="D723">
        <v>3.99</v>
      </c>
      <c r="E723">
        <v>0.35</v>
      </c>
      <c r="F723">
        <v>2.62</v>
      </c>
      <c r="G723">
        <v>2.61</v>
      </c>
      <c r="H723">
        <v>34532</v>
      </c>
      <c r="I723">
        <v>68.74</v>
      </c>
      <c r="J723" t="s">
        <v>14</v>
      </c>
      <c r="K723" t="s">
        <v>988</v>
      </c>
    </row>
    <row r="724" spans="1:11">
      <c r="A724" t="str">
        <f>"002208"</f>
        <v>002208</v>
      </c>
      <c r="B724" t="s">
        <v>989</v>
      </c>
      <c r="C724">
        <v>101.27</v>
      </c>
      <c r="D724">
        <v>367.56</v>
      </c>
      <c r="E724">
        <v>64.29</v>
      </c>
      <c r="F724">
        <v>8.03</v>
      </c>
      <c r="G724">
        <v>8.03</v>
      </c>
      <c r="H724">
        <v>48325</v>
      </c>
      <c r="I724">
        <v>1.58</v>
      </c>
      <c r="J724" t="s">
        <v>14</v>
      </c>
      <c r="K724" t="s">
        <v>15</v>
      </c>
    </row>
    <row r="725" spans="1:11">
      <c r="A725" t="str">
        <f>"002209"</f>
        <v>002209</v>
      </c>
      <c r="B725" t="s">
        <v>990</v>
      </c>
      <c r="C725">
        <v>26.96</v>
      </c>
      <c r="D725">
        <v>32.96</v>
      </c>
      <c r="E725">
        <v>8.21</v>
      </c>
      <c r="F725">
        <v>1.99</v>
      </c>
      <c r="G725">
        <v>1.56</v>
      </c>
      <c r="H725">
        <v>23169</v>
      </c>
      <c r="I725">
        <v>4.18</v>
      </c>
      <c r="J725">
        <v>24.94</v>
      </c>
      <c r="K725" t="s">
        <v>657</v>
      </c>
    </row>
    <row r="726" spans="1:11">
      <c r="A726" t="str">
        <f>"002210"</f>
        <v>002210</v>
      </c>
      <c r="B726" t="s">
        <v>991</v>
      </c>
      <c r="C726">
        <v>91.38</v>
      </c>
      <c r="D726">
        <v>14.12</v>
      </c>
      <c r="E726">
        <v>9.53</v>
      </c>
      <c r="F726">
        <v>26.61</v>
      </c>
      <c r="G726">
        <v>26.56</v>
      </c>
      <c r="H726">
        <v>124656</v>
      </c>
      <c r="I726">
        <v>9.61</v>
      </c>
      <c r="J726">
        <v>479.02</v>
      </c>
      <c r="K726" t="s">
        <v>59</v>
      </c>
    </row>
    <row r="727" spans="1:11">
      <c r="A727" t="str">
        <f>"002211"</f>
        <v>002211</v>
      </c>
      <c r="B727" t="s">
        <v>992</v>
      </c>
      <c r="C727">
        <v>14.27</v>
      </c>
      <c r="D727">
        <v>3.8</v>
      </c>
      <c r="E727">
        <v>0.14</v>
      </c>
      <c r="F727">
        <v>4.32</v>
      </c>
      <c r="G727">
        <v>4.32</v>
      </c>
      <c r="H727">
        <v>26340</v>
      </c>
      <c r="I727">
        <v>106.45</v>
      </c>
      <c r="J727" t="s">
        <v>14</v>
      </c>
      <c r="K727" t="s">
        <v>993</v>
      </c>
    </row>
    <row r="728" spans="1:11">
      <c r="A728" t="str">
        <f>"002212"</f>
        <v>002212</v>
      </c>
      <c r="B728" t="s">
        <v>994</v>
      </c>
      <c r="C728">
        <v>118.2</v>
      </c>
      <c r="D728">
        <v>107.93</v>
      </c>
      <c r="E728">
        <v>93.07</v>
      </c>
      <c r="F728">
        <v>11.79</v>
      </c>
      <c r="G728">
        <v>11.67</v>
      </c>
      <c r="H728">
        <v>118665</v>
      </c>
      <c r="I728">
        <v>1.28</v>
      </c>
      <c r="J728" t="s">
        <v>14</v>
      </c>
      <c r="K728" t="s">
        <v>17</v>
      </c>
    </row>
    <row r="729" spans="1:11">
      <c r="A729" t="str">
        <f>"002213"</f>
        <v>002213</v>
      </c>
      <c r="B729" t="s">
        <v>995</v>
      </c>
      <c r="C729">
        <v>58.69</v>
      </c>
      <c r="D729">
        <v>6.97</v>
      </c>
      <c r="E729">
        <v>5.59</v>
      </c>
      <c r="F729">
        <v>2.37</v>
      </c>
      <c r="G729">
        <v>2.07</v>
      </c>
      <c r="H729">
        <v>51937</v>
      </c>
      <c r="I729">
        <v>12.05</v>
      </c>
      <c r="J729" t="s">
        <v>14</v>
      </c>
      <c r="K729" t="s">
        <v>691</v>
      </c>
    </row>
    <row r="730" spans="1:11">
      <c r="A730" t="str">
        <f>"002214"</f>
        <v>002214</v>
      </c>
      <c r="B730" t="s">
        <v>996</v>
      </c>
      <c r="C730">
        <v>91.77</v>
      </c>
      <c r="D730">
        <v>21.15</v>
      </c>
      <c r="E730">
        <v>14.14</v>
      </c>
      <c r="F730">
        <v>5.99</v>
      </c>
      <c r="G730">
        <v>4.79</v>
      </c>
      <c r="H730">
        <v>18510</v>
      </c>
      <c r="I730">
        <v>8.12</v>
      </c>
      <c r="J730" t="s">
        <v>14</v>
      </c>
      <c r="K730" t="s">
        <v>223</v>
      </c>
    </row>
    <row r="731" spans="1:11">
      <c r="A731" t="str">
        <f>"002215"</f>
        <v>002215</v>
      </c>
      <c r="B731" t="s">
        <v>997</v>
      </c>
      <c r="C731">
        <v>87.91</v>
      </c>
      <c r="D731">
        <v>124.62</v>
      </c>
      <c r="E731">
        <v>41.45</v>
      </c>
      <c r="F731">
        <v>10.05</v>
      </c>
      <c r="G731">
        <v>7.86</v>
      </c>
      <c r="H731">
        <v>35398</v>
      </c>
      <c r="I731">
        <v>2.71</v>
      </c>
      <c r="J731">
        <v>14.66</v>
      </c>
      <c r="K731" t="s">
        <v>196</v>
      </c>
    </row>
    <row r="732" spans="1:11">
      <c r="A732" t="str">
        <f>"002216"</f>
        <v>002216</v>
      </c>
      <c r="B732" t="s">
        <v>998</v>
      </c>
      <c r="C732">
        <v>72.67</v>
      </c>
      <c r="D732">
        <v>75.69</v>
      </c>
      <c r="E732">
        <v>45.27</v>
      </c>
      <c r="F732">
        <v>8.79</v>
      </c>
      <c r="G732">
        <v>6.3</v>
      </c>
      <c r="H732">
        <v>44013</v>
      </c>
      <c r="I732">
        <v>2.24</v>
      </c>
      <c r="J732">
        <v>19.21</v>
      </c>
      <c r="K732" t="s">
        <v>629</v>
      </c>
    </row>
    <row r="733" spans="1:11">
      <c r="A733" t="str">
        <f>"002217"</f>
        <v>002217</v>
      </c>
      <c r="B733" t="s">
        <v>999</v>
      </c>
      <c r="C733">
        <v>187.45</v>
      </c>
      <c r="D733">
        <v>25.17</v>
      </c>
      <c r="E733">
        <v>18.72</v>
      </c>
      <c r="F733">
        <v>74.79</v>
      </c>
      <c r="G733">
        <v>56.8</v>
      </c>
      <c r="H733">
        <v>230130</v>
      </c>
      <c r="I733">
        <v>13.2</v>
      </c>
      <c r="J733">
        <v>1039.38</v>
      </c>
      <c r="K733" t="s">
        <v>41</v>
      </c>
    </row>
    <row r="734" spans="1:11">
      <c r="A734" t="str">
        <f>"002218"</f>
        <v>002218</v>
      </c>
      <c r="B734" t="s">
        <v>1000</v>
      </c>
      <c r="C734">
        <v>70.87</v>
      </c>
      <c r="D734">
        <v>66.56</v>
      </c>
      <c r="E734">
        <v>40.58</v>
      </c>
      <c r="F734">
        <v>14.13</v>
      </c>
      <c r="G734">
        <v>13.92</v>
      </c>
      <c r="H734">
        <v>94702</v>
      </c>
      <c r="I734">
        <v>1.77</v>
      </c>
      <c r="J734" t="s">
        <v>14</v>
      </c>
      <c r="K734" t="s">
        <v>266</v>
      </c>
    </row>
    <row r="735" spans="1:11">
      <c r="A735" t="str">
        <f>"002219"</f>
        <v>002219</v>
      </c>
      <c r="B735" t="s">
        <v>1001</v>
      </c>
      <c r="C735">
        <v>89.98</v>
      </c>
      <c r="D735">
        <v>65.53</v>
      </c>
      <c r="E735">
        <v>19.68</v>
      </c>
      <c r="F735">
        <v>33.87</v>
      </c>
      <c r="G735">
        <v>32.72</v>
      </c>
      <c r="H735">
        <v>68161</v>
      </c>
      <c r="I735">
        <v>4.73</v>
      </c>
      <c r="J735" t="s">
        <v>14</v>
      </c>
      <c r="K735" t="s">
        <v>181</v>
      </c>
    </row>
    <row r="736" spans="1:11">
      <c r="A736" t="str">
        <f>"002221"</f>
        <v>002221</v>
      </c>
      <c r="B736" t="s">
        <v>1002</v>
      </c>
      <c r="C736">
        <v>121.54</v>
      </c>
      <c r="D736">
        <v>407.42</v>
      </c>
      <c r="E736">
        <v>111.14</v>
      </c>
      <c r="F736">
        <v>15.76</v>
      </c>
      <c r="G736">
        <v>14.61</v>
      </c>
      <c r="H736">
        <v>32888</v>
      </c>
      <c r="I736">
        <v>1.18</v>
      </c>
      <c r="J736">
        <v>130.63</v>
      </c>
      <c r="K736" t="s">
        <v>312</v>
      </c>
    </row>
    <row r="737" spans="1:11">
      <c r="A737" t="str">
        <f>"002222"</f>
        <v>002222</v>
      </c>
      <c r="B737" t="s">
        <v>1003</v>
      </c>
      <c r="C737">
        <v>329.39</v>
      </c>
      <c r="D737">
        <v>23.6</v>
      </c>
      <c r="E737">
        <v>17.49</v>
      </c>
      <c r="F737">
        <v>4.7</v>
      </c>
      <c r="G737">
        <v>4.68</v>
      </c>
      <c r="H737">
        <v>56739</v>
      </c>
      <c r="I737">
        <v>18.92</v>
      </c>
      <c r="J737">
        <v>113.85</v>
      </c>
      <c r="K737" t="s">
        <v>66</v>
      </c>
    </row>
    <row r="738" spans="1:11">
      <c r="A738" t="str">
        <f>"002223"</f>
        <v>002223</v>
      </c>
      <c r="B738" t="s">
        <v>1004</v>
      </c>
      <c r="C738">
        <v>426.83</v>
      </c>
      <c r="D738">
        <v>166.71</v>
      </c>
      <c r="E738">
        <v>135.21</v>
      </c>
      <c r="F738">
        <v>10.02</v>
      </c>
      <c r="G738">
        <v>9.4</v>
      </c>
      <c r="H738">
        <v>40000</v>
      </c>
      <c r="I738">
        <v>3.37</v>
      </c>
      <c r="J738">
        <v>23.28</v>
      </c>
      <c r="K738" t="s">
        <v>1005</v>
      </c>
    </row>
    <row r="739" spans="1:11">
      <c r="A739" t="str">
        <f>"002224"</f>
        <v>002224</v>
      </c>
      <c r="B739" t="s">
        <v>1006</v>
      </c>
      <c r="C739">
        <v>36.29</v>
      </c>
      <c r="D739">
        <v>42.02</v>
      </c>
      <c r="E739">
        <v>32.41</v>
      </c>
      <c r="F739">
        <v>9.02</v>
      </c>
      <c r="G739">
        <v>8.06</v>
      </c>
      <c r="H739">
        <v>49071</v>
      </c>
      <c r="I739">
        <v>1.25</v>
      </c>
      <c r="J739">
        <v>110.11</v>
      </c>
      <c r="K739" t="s">
        <v>705</v>
      </c>
    </row>
    <row r="740" spans="1:11">
      <c r="A740" t="str">
        <f>"002225"</f>
        <v>002225</v>
      </c>
      <c r="B740" t="s">
        <v>1007</v>
      </c>
      <c r="C740">
        <v>58.65</v>
      </c>
      <c r="D740">
        <v>89.78</v>
      </c>
      <c r="E740">
        <v>41.22</v>
      </c>
      <c r="F740">
        <v>11.59</v>
      </c>
      <c r="G740">
        <v>9.74</v>
      </c>
      <c r="H740">
        <v>40780</v>
      </c>
      <c r="I740">
        <v>1.69</v>
      </c>
      <c r="J740">
        <v>55.17</v>
      </c>
      <c r="K740" t="s">
        <v>827</v>
      </c>
    </row>
    <row r="741" spans="1:11">
      <c r="A741" t="str">
        <f>"002226"</f>
        <v>002226</v>
      </c>
      <c r="B741" t="s">
        <v>1008</v>
      </c>
      <c r="C741">
        <v>156.28</v>
      </c>
      <c r="D741">
        <v>200.82</v>
      </c>
      <c r="E741">
        <v>102.54</v>
      </c>
      <c r="F741">
        <v>26.49</v>
      </c>
      <c r="G741">
        <v>26.49</v>
      </c>
      <c r="H741">
        <v>69849</v>
      </c>
      <c r="I741">
        <v>1.52</v>
      </c>
      <c r="J741">
        <v>17.65</v>
      </c>
      <c r="K741" t="s">
        <v>793</v>
      </c>
    </row>
    <row r="742" spans="1:11">
      <c r="A742" t="str">
        <f>"002227"</f>
        <v>002227</v>
      </c>
      <c r="B742" t="s">
        <v>1009</v>
      </c>
      <c r="C742">
        <v>31.5</v>
      </c>
      <c r="D742">
        <v>15.03</v>
      </c>
      <c r="E742">
        <v>9.55</v>
      </c>
      <c r="F742">
        <v>2.48</v>
      </c>
      <c r="G742">
        <v>2.46</v>
      </c>
      <c r="H742">
        <v>31360</v>
      </c>
      <c r="I742">
        <v>3.33</v>
      </c>
      <c r="J742" t="s">
        <v>14</v>
      </c>
      <c r="K742" t="s">
        <v>1010</v>
      </c>
    </row>
    <row r="743" spans="1:11">
      <c r="A743" t="str">
        <f>"002228"</f>
        <v>002228</v>
      </c>
      <c r="B743" t="s">
        <v>1011</v>
      </c>
      <c r="C743">
        <v>57.56</v>
      </c>
      <c r="D743">
        <v>75.22</v>
      </c>
      <c r="E743">
        <v>31.98</v>
      </c>
      <c r="F743">
        <v>12.13</v>
      </c>
      <c r="G743">
        <v>12.09</v>
      </c>
      <c r="H743">
        <v>25391</v>
      </c>
      <c r="I743">
        <v>1.81</v>
      </c>
      <c r="J743">
        <v>27.14</v>
      </c>
      <c r="K743" t="s">
        <v>460</v>
      </c>
    </row>
    <row r="744" spans="1:11">
      <c r="A744" t="str">
        <f>"002229"</f>
        <v>002229</v>
      </c>
      <c r="B744" t="s">
        <v>1012</v>
      </c>
      <c r="C744">
        <v>84.23</v>
      </c>
      <c r="D744">
        <v>24.31</v>
      </c>
      <c r="E744">
        <v>12.71</v>
      </c>
      <c r="F744">
        <v>4.96</v>
      </c>
      <c r="G744">
        <v>4.93</v>
      </c>
      <c r="H744">
        <v>139721</v>
      </c>
      <c r="I744">
        <v>6.67</v>
      </c>
      <c r="J744">
        <v>277.91</v>
      </c>
      <c r="K744" t="s">
        <v>672</v>
      </c>
    </row>
    <row r="745" spans="1:11">
      <c r="A745" t="str">
        <f>"002230"</f>
        <v>002230</v>
      </c>
      <c r="B745" t="s">
        <v>1013</v>
      </c>
      <c r="C745">
        <v>1371.25</v>
      </c>
      <c r="D745">
        <v>432.88</v>
      </c>
      <c r="E745">
        <v>177.98</v>
      </c>
      <c r="F745">
        <v>23.12</v>
      </c>
      <c r="G745">
        <v>21.89</v>
      </c>
      <c r="H745">
        <v>355987</v>
      </c>
      <c r="I745">
        <v>8.14</v>
      </c>
      <c r="J745" t="s">
        <v>14</v>
      </c>
      <c r="K745" t="s">
        <v>1014</v>
      </c>
    </row>
    <row r="746" spans="1:11">
      <c r="A746" t="str">
        <f>"002231"</f>
        <v>002231</v>
      </c>
      <c r="B746" t="s">
        <v>1015</v>
      </c>
      <c r="C746">
        <v>3.2</v>
      </c>
      <c r="D746">
        <v>2.46</v>
      </c>
      <c r="E746">
        <v>0.82</v>
      </c>
      <c r="F746">
        <v>3.47</v>
      </c>
      <c r="G746">
        <v>3.08</v>
      </c>
      <c r="H746">
        <v>28150</v>
      </c>
      <c r="I746">
        <v>4.41</v>
      </c>
      <c r="J746" t="s">
        <v>14</v>
      </c>
      <c r="K746" t="s">
        <v>223</v>
      </c>
    </row>
    <row r="747" spans="1:11">
      <c r="A747" t="str">
        <f>"002232"</f>
        <v>002232</v>
      </c>
      <c r="B747" t="s">
        <v>1016</v>
      </c>
      <c r="C747">
        <v>83.79</v>
      </c>
      <c r="D747">
        <v>18.19</v>
      </c>
      <c r="E747">
        <v>13.53</v>
      </c>
      <c r="F747">
        <v>4.09</v>
      </c>
      <c r="G747">
        <v>4.09</v>
      </c>
      <c r="H747">
        <v>72657</v>
      </c>
      <c r="I747">
        <v>6.19</v>
      </c>
      <c r="J747" t="s">
        <v>14</v>
      </c>
      <c r="K747" t="s">
        <v>117</v>
      </c>
    </row>
    <row r="748" spans="1:11">
      <c r="A748" t="str">
        <f>"002233"</f>
        <v>002233</v>
      </c>
      <c r="B748" t="s">
        <v>1017</v>
      </c>
      <c r="C748">
        <v>105.92</v>
      </c>
      <c r="D748">
        <v>132.32</v>
      </c>
      <c r="E748">
        <v>119.8</v>
      </c>
      <c r="F748">
        <v>11.92</v>
      </c>
      <c r="G748">
        <v>11.91</v>
      </c>
      <c r="H748">
        <v>37275</v>
      </c>
      <c r="I748">
        <v>0.88</v>
      </c>
      <c r="J748">
        <v>13.53</v>
      </c>
      <c r="K748" t="s">
        <v>129</v>
      </c>
    </row>
    <row r="749" spans="1:11">
      <c r="A749" t="str">
        <f>"002234"</f>
        <v>002234</v>
      </c>
      <c r="B749" t="s">
        <v>1018</v>
      </c>
      <c r="C749">
        <v>26.49</v>
      </c>
      <c r="D749">
        <v>37.05</v>
      </c>
      <c r="E749">
        <v>18.08</v>
      </c>
      <c r="F749">
        <v>3.49</v>
      </c>
      <c r="G749">
        <v>3.01</v>
      </c>
      <c r="H749">
        <v>30439</v>
      </c>
      <c r="I749">
        <v>1.7</v>
      </c>
      <c r="J749" t="s">
        <v>14</v>
      </c>
      <c r="K749" t="s">
        <v>1019</v>
      </c>
    </row>
    <row r="750" spans="1:11">
      <c r="A750" t="str">
        <f>"002235"</f>
        <v>002235</v>
      </c>
      <c r="B750" t="s">
        <v>1020</v>
      </c>
      <c r="C750">
        <v>63.5</v>
      </c>
      <c r="D750">
        <v>12</v>
      </c>
      <c r="E750">
        <v>7.52</v>
      </c>
      <c r="F750">
        <v>5.8</v>
      </c>
      <c r="G750">
        <v>5.54</v>
      </c>
      <c r="H750">
        <v>89335</v>
      </c>
      <c r="I750">
        <v>8.84</v>
      </c>
      <c r="J750" t="s">
        <v>14</v>
      </c>
      <c r="K750" t="s">
        <v>765</v>
      </c>
    </row>
    <row r="751" spans="1:11">
      <c r="A751" t="str">
        <f>"002236"</f>
        <v>002236</v>
      </c>
      <c r="B751" t="s">
        <v>1021</v>
      </c>
      <c r="C751">
        <v>431.66</v>
      </c>
      <c r="D751">
        <v>521.44</v>
      </c>
      <c r="E751">
        <v>382.23</v>
      </c>
      <c r="F751">
        <v>32.87</v>
      </c>
      <c r="G751">
        <v>21.16</v>
      </c>
      <c r="H751">
        <v>186665</v>
      </c>
      <c r="I751">
        <v>1.75</v>
      </c>
      <c r="J751">
        <v>14.22</v>
      </c>
      <c r="K751" t="s">
        <v>1022</v>
      </c>
    </row>
    <row r="752" spans="1:11">
      <c r="A752" t="str">
        <f>"002237"</f>
        <v>002237</v>
      </c>
      <c r="B752" t="s">
        <v>1023</v>
      </c>
      <c r="C752">
        <v>174.32</v>
      </c>
      <c r="D752">
        <v>314.23</v>
      </c>
      <c r="E752">
        <v>103.47</v>
      </c>
      <c r="F752">
        <v>14.3</v>
      </c>
      <c r="G752">
        <v>11.92</v>
      </c>
      <c r="H752">
        <v>65514</v>
      </c>
      <c r="I752">
        <v>1.7</v>
      </c>
      <c r="J752">
        <v>27.92</v>
      </c>
      <c r="K752" t="s">
        <v>173</v>
      </c>
    </row>
    <row r="753" spans="1:11">
      <c r="A753" t="str">
        <f>"002238"</f>
        <v>002238</v>
      </c>
      <c r="B753" t="s">
        <v>1024</v>
      </c>
      <c r="C753">
        <v>71.67</v>
      </c>
      <c r="D753">
        <v>40.03</v>
      </c>
      <c r="E753">
        <v>21.23</v>
      </c>
      <c r="F753">
        <v>8.03</v>
      </c>
      <c r="G753">
        <v>8.03</v>
      </c>
      <c r="H753">
        <v>26219</v>
      </c>
      <c r="I753">
        <v>3.38</v>
      </c>
      <c r="J753" t="s">
        <v>14</v>
      </c>
      <c r="K753" t="s">
        <v>113</v>
      </c>
    </row>
    <row r="754" spans="1:11">
      <c r="A754" t="str">
        <f>"002239"</f>
        <v>002239</v>
      </c>
      <c r="B754" t="s">
        <v>1025</v>
      </c>
      <c r="C754">
        <v>98.95</v>
      </c>
      <c r="D754">
        <v>110.4</v>
      </c>
      <c r="E754">
        <v>55.76</v>
      </c>
      <c r="F754">
        <v>33.22</v>
      </c>
      <c r="G754">
        <v>32.66</v>
      </c>
      <c r="H754">
        <v>130300</v>
      </c>
      <c r="I754">
        <v>1.8</v>
      </c>
      <c r="J754">
        <v>67.04</v>
      </c>
      <c r="K754" t="s">
        <v>530</v>
      </c>
    </row>
    <row r="755" spans="1:11">
      <c r="A755" t="str">
        <f>"002240"</f>
        <v>002240</v>
      </c>
      <c r="B755" t="s">
        <v>1026</v>
      </c>
      <c r="C755">
        <v>321.44</v>
      </c>
      <c r="D755">
        <v>218.73</v>
      </c>
      <c r="E755">
        <v>105.01</v>
      </c>
      <c r="F755">
        <v>9.15</v>
      </c>
      <c r="G755">
        <v>9.13</v>
      </c>
      <c r="H755">
        <v>124202</v>
      </c>
      <c r="I755">
        <v>3.07</v>
      </c>
      <c r="J755" t="s">
        <v>14</v>
      </c>
      <c r="K755" t="s">
        <v>418</v>
      </c>
    </row>
    <row r="756" spans="1:11">
      <c r="A756" t="str">
        <f>"002241"</f>
        <v>002241</v>
      </c>
      <c r="B756" t="s">
        <v>1027</v>
      </c>
      <c r="C756">
        <v>935.58</v>
      </c>
      <c r="D756">
        <v>948.23</v>
      </c>
      <c r="E756">
        <v>357.04</v>
      </c>
      <c r="F756">
        <v>35.46</v>
      </c>
      <c r="G756">
        <v>31.38</v>
      </c>
      <c r="H756">
        <v>362722</v>
      </c>
      <c r="I756">
        <v>2.95</v>
      </c>
      <c r="J756">
        <v>30.64</v>
      </c>
      <c r="K756" t="s">
        <v>41</v>
      </c>
    </row>
    <row r="757" spans="1:11">
      <c r="A757" t="str">
        <f>"002242"</f>
        <v>002242</v>
      </c>
      <c r="B757" t="s">
        <v>1028</v>
      </c>
      <c r="C757">
        <v>83.18</v>
      </c>
      <c r="D757">
        <v>69.12</v>
      </c>
      <c r="E757">
        <v>34.67</v>
      </c>
      <c r="F757">
        <v>7.63</v>
      </c>
      <c r="G757">
        <v>7.62</v>
      </c>
      <c r="H757">
        <v>39842</v>
      </c>
      <c r="I757">
        <v>2.4</v>
      </c>
      <c r="J757">
        <v>50.57</v>
      </c>
      <c r="K757" t="s">
        <v>660</v>
      </c>
    </row>
    <row r="758" spans="1:11">
      <c r="A758" t="str">
        <f>"002243"</f>
        <v>002243</v>
      </c>
      <c r="B758" t="s">
        <v>1029</v>
      </c>
      <c r="C758">
        <v>137.99</v>
      </c>
      <c r="D758">
        <v>166.35</v>
      </c>
      <c r="E758">
        <v>72.68</v>
      </c>
      <c r="F758">
        <v>12.11</v>
      </c>
      <c r="G758">
        <v>12.04</v>
      </c>
      <c r="H758">
        <v>37243</v>
      </c>
      <c r="I758">
        <v>1.91</v>
      </c>
      <c r="J758">
        <v>88.39</v>
      </c>
      <c r="K758" t="s">
        <v>1030</v>
      </c>
    </row>
    <row r="759" spans="1:11">
      <c r="A759" t="str">
        <f>"002244"</f>
        <v>002244</v>
      </c>
      <c r="B759" t="s">
        <v>1031</v>
      </c>
      <c r="C759">
        <v>265.64</v>
      </c>
      <c r="D759">
        <v>2313.42</v>
      </c>
      <c r="E759">
        <v>297.16</v>
      </c>
      <c r="F759">
        <v>31.11</v>
      </c>
      <c r="G759">
        <v>26.86</v>
      </c>
      <c r="H759">
        <v>30003</v>
      </c>
      <c r="I759">
        <v>1.04</v>
      </c>
      <c r="J759">
        <v>9.64</v>
      </c>
      <c r="K759" t="s">
        <v>15</v>
      </c>
    </row>
    <row r="760" spans="1:11">
      <c r="A760" t="str">
        <f>"002245"</f>
        <v>002245</v>
      </c>
      <c r="B760" t="s">
        <v>1032</v>
      </c>
      <c r="C760">
        <v>194.46</v>
      </c>
      <c r="D760">
        <v>117.31</v>
      </c>
      <c r="E760">
        <v>74.04</v>
      </c>
      <c r="F760">
        <v>11.54</v>
      </c>
      <c r="G760">
        <v>10.85</v>
      </c>
      <c r="H760">
        <v>212678</v>
      </c>
      <c r="I760">
        <v>2.79</v>
      </c>
      <c r="J760">
        <v>30.22</v>
      </c>
      <c r="K760" t="s">
        <v>70</v>
      </c>
    </row>
    <row r="761" spans="1:11">
      <c r="A761" t="str">
        <f>"002246"</f>
        <v>002246</v>
      </c>
      <c r="B761" t="s">
        <v>1033</v>
      </c>
      <c r="C761">
        <v>107.12</v>
      </c>
      <c r="D761">
        <v>49.11</v>
      </c>
      <c r="E761">
        <v>29.98</v>
      </c>
      <c r="F761">
        <v>5.49</v>
      </c>
      <c r="G761">
        <v>5.49</v>
      </c>
      <c r="H761">
        <v>46000</v>
      </c>
      <c r="I761">
        <v>3.57</v>
      </c>
      <c r="J761">
        <v>42.65</v>
      </c>
      <c r="K761" t="s">
        <v>793</v>
      </c>
    </row>
    <row r="762" spans="1:11">
      <c r="A762" t="str">
        <f>"002247"</f>
        <v>002247</v>
      </c>
      <c r="B762" t="s">
        <v>1034</v>
      </c>
      <c r="C762">
        <v>18.21</v>
      </c>
      <c r="D762">
        <v>9.51</v>
      </c>
      <c r="E762">
        <v>6.65</v>
      </c>
      <c r="F762">
        <v>8.51</v>
      </c>
      <c r="G762">
        <v>6.44</v>
      </c>
      <c r="H762">
        <v>25737</v>
      </c>
      <c r="I762">
        <v>3.62</v>
      </c>
      <c r="J762">
        <v>42.83</v>
      </c>
      <c r="K762" t="s">
        <v>73</v>
      </c>
    </row>
    <row r="763" spans="1:11">
      <c r="A763" t="str">
        <f>"002248"</f>
        <v>002248</v>
      </c>
      <c r="B763" t="s">
        <v>1035</v>
      </c>
      <c r="C763">
        <v>39.82</v>
      </c>
      <c r="D763">
        <v>4.9</v>
      </c>
      <c r="E763">
        <v>0.95</v>
      </c>
      <c r="F763">
        <v>3.07</v>
      </c>
      <c r="G763">
        <v>3.07</v>
      </c>
      <c r="H763">
        <v>62604</v>
      </c>
      <c r="I763">
        <v>41.77</v>
      </c>
      <c r="J763">
        <v>129.17</v>
      </c>
      <c r="K763" t="s">
        <v>141</v>
      </c>
    </row>
    <row r="764" spans="1:11">
      <c r="A764" t="str">
        <f>"002249"</f>
        <v>002249</v>
      </c>
      <c r="B764" t="s">
        <v>1036</v>
      </c>
      <c r="C764">
        <v>198.35</v>
      </c>
      <c r="D764">
        <v>182.73</v>
      </c>
      <c r="E764">
        <v>98.01</v>
      </c>
      <c r="F764">
        <v>24.42</v>
      </c>
      <c r="G764">
        <v>18.3</v>
      </c>
      <c r="H764">
        <v>214257</v>
      </c>
      <c r="I764">
        <v>2.7</v>
      </c>
      <c r="J764">
        <v>23.51</v>
      </c>
      <c r="K764" t="s">
        <v>552</v>
      </c>
    </row>
    <row r="765" spans="1:11">
      <c r="A765" t="str">
        <f>"002250"</f>
        <v>002250</v>
      </c>
      <c r="B765" t="s">
        <v>1037</v>
      </c>
      <c r="C765">
        <v>150.62</v>
      </c>
      <c r="D765">
        <v>137.88</v>
      </c>
      <c r="E765">
        <v>66.57</v>
      </c>
      <c r="F765">
        <v>9</v>
      </c>
      <c r="G765">
        <v>8.95</v>
      </c>
      <c r="H765">
        <v>68040</v>
      </c>
      <c r="I765">
        <v>2.3</v>
      </c>
      <c r="J765">
        <v>35.97</v>
      </c>
      <c r="K765" t="s">
        <v>196</v>
      </c>
    </row>
    <row r="766" spans="1:11">
      <c r="A766" t="str">
        <f>"002251"</f>
        <v>002251</v>
      </c>
      <c r="B766" t="s">
        <v>1038</v>
      </c>
      <c r="C766">
        <v>117.74</v>
      </c>
      <c r="D766">
        <v>220.07</v>
      </c>
      <c r="E766">
        <v>82.07</v>
      </c>
      <c r="F766">
        <v>26.89</v>
      </c>
      <c r="G766">
        <v>21.52</v>
      </c>
      <c r="H766">
        <v>172516</v>
      </c>
      <c r="I766">
        <v>1.79</v>
      </c>
      <c r="J766">
        <v>48.91</v>
      </c>
      <c r="K766" t="s">
        <v>415</v>
      </c>
    </row>
    <row r="767" spans="1:11">
      <c r="A767" t="str">
        <f>"002252"</f>
        <v>002252</v>
      </c>
      <c r="B767" t="s">
        <v>1039</v>
      </c>
      <c r="C767">
        <v>427.92</v>
      </c>
      <c r="D767">
        <v>380.2</v>
      </c>
      <c r="E767">
        <v>325.84</v>
      </c>
      <c r="F767">
        <v>66.38</v>
      </c>
      <c r="G767">
        <v>66.34</v>
      </c>
      <c r="H767">
        <v>109405</v>
      </c>
      <c r="I767">
        <v>1.31</v>
      </c>
      <c r="J767">
        <v>21.83</v>
      </c>
      <c r="K767" t="s">
        <v>132</v>
      </c>
    </row>
    <row r="768" spans="1:11">
      <c r="A768" t="str">
        <f>"002253"</f>
        <v>002253</v>
      </c>
      <c r="B768" t="s">
        <v>1040</v>
      </c>
      <c r="C768">
        <v>23.77</v>
      </c>
      <c r="D768">
        <v>14.67</v>
      </c>
      <c r="E768">
        <v>10.64</v>
      </c>
      <c r="F768">
        <v>2.26</v>
      </c>
      <c r="G768">
        <v>2.08</v>
      </c>
      <c r="H768">
        <v>30995</v>
      </c>
      <c r="I768">
        <v>2.42</v>
      </c>
      <c r="J768" t="s">
        <v>14</v>
      </c>
      <c r="K768" t="s">
        <v>117</v>
      </c>
    </row>
    <row r="769" spans="1:11">
      <c r="A769" t="str">
        <f>"002254"</f>
        <v>002254</v>
      </c>
      <c r="B769" t="s">
        <v>1041</v>
      </c>
      <c r="C769">
        <v>98.33</v>
      </c>
      <c r="D769">
        <v>151.97</v>
      </c>
      <c r="E769">
        <v>70.42</v>
      </c>
      <c r="F769">
        <v>8.57</v>
      </c>
      <c r="G769">
        <v>8.19</v>
      </c>
      <c r="H769">
        <v>41000</v>
      </c>
      <c r="I769">
        <v>1.46</v>
      </c>
      <c r="J769">
        <v>208.31</v>
      </c>
      <c r="K769" t="s">
        <v>571</v>
      </c>
    </row>
    <row r="770" spans="1:11">
      <c r="A770" t="str">
        <f>"002255"</f>
        <v>002255</v>
      </c>
      <c r="B770" t="s">
        <v>1042</v>
      </c>
      <c r="C770">
        <v>86.25</v>
      </c>
      <c r="D770">
        <v>65.73</v>
      </c>
      <c r="E770">
        <v>42.86</v>
      </c>
      <c r="F770">
        <v>8.31</v>
      </c>
      <c r="G770">
        <v>6.38</v>
      </c>
      <c r="H770">
        <v>72487</v>
      </c>
      <c r="I770">
        <v>2.54</v>
      </c>
      <c r="J770">
        <v>26.35</v>
      </c>
      <c r="K770" t="s">
        <v>1010</v>
      </c>
    </row>
    <row r="771" spans="1:11">
      <c r="A771" t="str">
        <f>"002256"</f>
        <v>002256</v>
      </c>
      <c r="B771" t="s">
        <v>1043</v>
      </c>
      <c r="C771">
        <v>72.58</v>
      </c>
      <c r="D771">
        <v>16.9</v>
      </c>
      <c r="E771">
        <v>11.32</v>
      </c>
      <c r="F771">
        <v>19.94</v>
      </c>
      <c r="G771">
        <v>19.51</v>
      </c>
      <c r="H771">
        <v>109033</v>
      </c>
      <c r="I771">
        <v>6.55</v>
      </c>
      <c r="J771">
        <v>1133.57</v>
      </c>
      <c r="K771" t="s">
        <v>266</v>
      </c>
    </row>
    <row r="772" spans="1:11">
      <c r="A772" t="str">
        <f>"002258"</f>
        <v>002258</v>
      </c>
      <c r="B772" t="s">
        <v>1044</v>
      </c>
      <c r="C772">
        <v>114.6</v>
      </c>
      <c r="D772">
        <v>161.54</v>
      </c>
      <c r="E772">
        <v>77.98</v>
      </c>
      <c r="F772">
        <v>8</v>
      </c>
      <c r="G772">
        <v>7.99</v>
      </c>
      <c r="H772">
        <v>40275</v>
      </c>
      <c r="I772">
        <v>1.47</v>
      </c>
      <c r="J772">
        <v>22.58</v>
      </c>
      <c r="K772" t="s">
        <v>196</v>
      </c>
    </row>
    <row r="773" spans="1:11">
      <c r="A773" t="str">
        <f>"002259"</f>
        <v>002259</v>
      </c>
      <c r="B773" t="s">
        <v>1045</v>
      </c>
      <c r="C773">
        <v>29.19</v>
      </c>
      <c r="D773">
        <v>9.31</v>
      </c>
      <c r="E773">
        <v>2.71</v>
      </c>
      <c r="F773">
        <v>7.52</v>
      </c>
      <c r="G773">
        <v>7.52</v>
      </c>
      <c r="H773">
        <v>20802</v>
      </c>
      <c r="I773">
        <v>10.75</v>
      </c>
      <c r="J773">
        <v>111.75</v>
      </c>
      <c r="K773" t="s">
        <v>136</v>
      </c>
    </row>
    <row r="774" spans="1:11">
      <c r="A774" t="str">
        <f>"002261"</f>
        <v>002261</v>
      </c>
      <c r="B774" t="s">
        <v>1046</v>
      </c>
      <c r="C774">
        <v>408.77</v>
      </c>
      <c r="D774">
        <v>42.39</v>
      </c>
      <c r="E774">
        <v>26.07</v>
      </c>
      <c r="F774">
        <v>12.6</v>
      </c>
      <c r="G774">
        <v>11.46</v>
      </c>
      <c r="H774">
        <v>459088</v>
      </c>
      <c r="I774">
        <v>17.25</v>
      </c>
      <c r="J774">
        <v>321.54</v>
      </c>
      <c r="K774" t="s">
        <v>924</v>
      </c>
    </row>
    <row r="775" spans="1:11">
      <c r="A775" t="str">
        <f>"002262"</f>
        <v>002262</v>
      </c>
      <c r="B775" t="s">
        <v>1047</v>
      </c>
      <c r="C775">
        <v>217.97</v>
      </c>
      <c r="D775">
        <v>90.8</v>
      </c>
      <c r="E775">
        <v>81.04</v>
      </c>
      <c r="F775">
        <v>10.16</v>
      </c>
      <c r="G775">
        <v>8.84</v>
      </c>
      <c r="H775">
        <v>37430</v>
      </c>
      <c r="I775">
        <v>3.09</v>
      </c>
      <c r="J775">
        <v>16.99</v>
      </c>
      <c r="K775" t="s">
        <v>109</v>
      </c>
    </row>
    <row r="776" spans="1:11">
      <c r="A776" t="str">
        <f>"002263"</f>
        <v>002263</v>
      </c>
      <c r="B776" t="s">
        <v>1048</v>
      </c>
      <c r="C776">
        <v>64.62</v>
      </c>
      <c r="D776">
        <v>29.36</v>
      </c>
      <c r="E776">
        <v>27.67</v>
      </c>
      <c r="F776">
        <v>18.78</v>
      </c>
      <c r="G776">
        <v>18.78</v>
      </c>
      <c r="H776">
        <v>108335</v>
      </c>
      <c r="I776">
        <v>2.34</v>
      </c>
      <c r="J776">
        <v>401.89</v>
      </c>
      <c r="K776" t="s">
        <v>496</v>
      </c>
    </row>
    <row r="777" spans="1:11">
      <c r="A777" t="str">
        <f>"002264"</f>
        <v>002264</v>
      </c>
      <c r="B777" t="s">
        <v>1049</v>
      </c>
      <c r="C777">
        <v>71.96</v>
      </c>
      <c r="D777">
        <v>34.54</v>
      </c>
      <c r="E777">
        <v>19.95</v>
      </c>
      <c r="F777">
        <v>7.2</v>
      </c>
      <c r="G777">
        <v>6.55</v>
      </c>
      <c r="H777">
        <v>40459</v>
      </c>
      <c r="I777">
        <v>3.96</v>
      </c>
      <c r="J777">
        <v>33.34</v>
      </c>
      <c r="K777" t="s">
        <v>1050</v>
      </c>
    </row>
    <row r="778" spans="1:11">
      <c r="A778" t="str">
        <f>"002265"</f>
        <v>002265</v>
      </c>
      <c r="B778" t="s">
        <v>1051</v>
      </c>
      <c r="C778">
        <v>282.12</v>
      </c>
      <c r="D778">
        <v>77.8</v>
      </c>
      <c r="E778">
        <v>36.51</v>
      </c>
      <c r="F778">
        <v>10.33</v>
      </c>
      <c r="G778">
        <v>10.33</v>
      </c>
      <c r="H778">
        <v>80300</v>
      </c>
      <c r="I778">
        <v>7.73</v>
      </c>
      <c r="J778">
        <v>706.94</v>
      </c>
      <c r="K778" t="s">
        <v>186</v>
      </c>
    </row>
    <row r="779" spans="1:11">
      <c r="A779" t="str">
        <f>"002266"</f>
        <v>002266</v>
      </c>
      <c r="B779" t="s">
        <v>1052</v>
      </c>
      <c r="C779">
        <v>217.42</v>
      </c>
      <c r="D779">
        <v>267.77</v>
      </c>
      <c r="E779">
        <v>117.41</v>
      </c>
      <c r="F779">
        <v>52.19</v>
      </c>
      <c r="G779">
        <v>48.97</v>
      </c>
      <c r="H779">
        <v>148095</v>
      </c>
      <c r="I779">
        <v>1.97</v>
      </c>
      <c r="J779">
        <v>23.53</v>
      </c>
      <c r="K779" t="s">
        <v>59</v>
      </c>
    </row>
    <row r="780" spans="1:11">
      <c r="A780" t="str">
        <f>"002267"</f>
        <v>002267</v>
      </c>
      <c r="B780" t="s">
        <v>1053</v>
      </c>
      <c r="C780">
        <v>85.41</v>
      </c>
      <c r="D780">
        <v>139.64</v>
      </c>
      <c r="E780">
        <v>65.81</v>
      </c>
      <c r="F780">
        <v>11.12</v>
      </c>
      <c r="G780">
        <v>11.12</v>
      </c>
      <c r="H780">
        <v>32980</v>
      </c>
      <c r="I780">
        <v>1.3</v>
      </c>
      <c r="J780">
        <v>13.51</v>
      </c>
      <c r="K780" t="s">
        <v>136</v>
      </c>
    </row>
    <row r="781" spans="1:11">
      <c r="A781" t="str">
        <f>"002268"</f>
        <v>002268</v>
      </c>
      <c r="B781" t="s">
        <v>1054</v>
      </c>
      <c r="C781">
        <v>184.7</v>
      </c>
      <c r="D781">
        <v>67.39</v>
      </c>
      <c r="E781">
        <v>53.82</v>
      </c>
      <c r="F781">
        <v>8.46</v>
      </c>
      <c r="G781">
        <v>8.45</v>
      </c>
      <c r="H781">
        <v>73815</v>
      </c>
      <c r="I781">
        <v>3.43</v>
      </c>
      <c r="J781" t="s">
        <v>14</v>
      </c>
      <c r="K781" t="s">
        <v>88</v>
      </c>
    </row>
    <row r="782" spans="1:11">
      <c r="A782" t="str">
        <f>"002269"</f>
        <v>002269</v>
      </c>
      <c r="B782" t="s">
        <v>1055</v>
      </c>
      <c r="C782">
        <v>51.25</v>
      </c>
      <c r="D782">
        <v>18.61</v>
      </c>
      <c r="E782">
        <v>1.88</v>
      </c>
      <c r="F782">
        <v>25.13</v>
      </c>
      <c r="G782">
        <v>25.13</v>
      </c>
      <c r="H782">
        <v>105852</v>
      </c>
      <c r="I782">
        <v>27.2</v>
      </c>
      <c r="J782" t="s">
        <v>14</v>
      </c>
      <c r="K782" t="s">
        <v>622</v>
      </c>
    </row>
    <row r="783" spans="1:11">
      <c r="A783" t="str">
        <f>"002270"</f>
        <v>002270</v>
      </c>
      <c r="B783" t="s">
        <v>1056</v>
      </c>
      <c r="C783">
        <v>241.17</v>
      </c>
      <c r="D783">
        <v>45.55</v>
      </c>
      <c r="E783">
        <v>31.75</v>
      </c>
      <c r="F783">
        <v>8.96</v>
      </c>
      <c r="G783">
        <v>8.96</v>
      </c>
      <c r="H783">
        <v>31839</v>
      </c>
      <c r="I783">
        <v>7.6</v>
      </c>
      <c r="J783">
        <v>31.13</v>
      </c>
      <c r="K783" t="s">
        <v>208</v>
      </c>
    </row>
    <row r="784" spans="1:11">
      <c r="A784" t="str">
        <f>"002271"</f>
        <v>002271</v>
      </c>
      <c r="B784" t="s">
        <v>1057</v>
      </c>
      <c r="C784">
        <v>273.27</v>
      </c>
      <c r="D784">
        <v>425.59</v>
      </c>
      <c r="E784">
        <v>208.3</v>
      </c>
      <c r="F784">
        <v>23.89</v>
      </c>
      <c r="G784">
        <v>19.15</v>
      </c>
      <c r="H784">
        <v>143348</v>
      </c>
      <c r="I784">
        <v>1.64</v>
      </c>
      <c r="J784">
        <v>31.57</v>
      </c>
      <c r="K784" t="s">
        <v>1058</v>
      </c>
    </row>
    <row r="785" spans="1:11">
      <c r="A785" t="str">
        <f>"002272"</f>
        <v>002272</v>
      </c>
      <c r="B785" t="s">
        <v>1059</v>
      </c>
      <c r="C785">
        <v>65.39</v>
      </c>
      <c r="D785">
        <v>36.53</v>
      </c>
      <c r="E785">
        <v>14.92</v>
      </c>
      <c r="F785">
        <v>4.85</v>
      </c>
      <c r="G785">
        <v>3.86</v>
      </c>
      <c r="H785">
        <v>125527</v>
      </c>
      <c r="I785">
        <v>5.5</v>
      </c>
      <c r="J785" t="s">
        <v>14</v>
      </c>
      <c r="K785" t="s">
        <v>744</v>
      </c>
    </row>
    <row r="786" spans="1:11">
      <c r="A786" t="str">
        <f>"002273"</f>
        <v>002273</v>
      </c>
      <c r="B786" t="s">
        <v>1060</v>
      </c>
      <c r="C786">
        <v>352</v>
      </c>
      <c r="D786">
        <v>122.16</v>
      </c>
      <c r="E786">
        <v>95.85</v>
      </c>
      <c r="F786">
        <v>13.91</v>
      </c>
      <c r="G786">
        <v>13.62</v>
      </c>
      <c r="H786">
        <v>124670</v>
      </c>
      <c r="I786">
        <v>3.75</v>
      </c>
      <c r="J786">
        <v>27.41</v>
      </c>
      <c r="K786" t="s">
        <v>66</v>
      </c>
    </row>
    <row r="787" spans="1:11">
      <c r="A787" t="str">
        <f>"002274"</f>
        <v>002274</v>
      </c>
      <c r="B787" t="s">
        <v>1061</v>
      </c>
      <c r="C787">
        <v>53.83</v>
      </c>
      <c r="D787">
        <v>77.94</v>
      </c>
      <c r="E787">
        <v>54.31</v>
      </c>
      <c r="F787">
        <v>9.52</v>
      </c>
      <c r="G787">
        <v>9.38</v>
      </c>
      <c r="H787">
        <v>51718</v>
      </c>
      <c r="I787">
        <v>1.01</v>
      </c>
      <c r="J787" t="s">
        <v>14</v>
      </c>
      <c r="K787" t="s">
        <v>532</v>
      </c>
    </row>
    <row r="788" spans="1:11">
      <c r="A788" t="str">
        <f>"002275"</f>
        <v>002275</v>
      </c>
      <c r="B788" t="s">
        <v>1062</v>
      </c>
      <c r="C788">
        <v>81.12</v>
      </c>
      <c r="D788">
        <v>43</v>
      </c>
      <c r="E788">
        <v>32.45</v>
      </c>
      <c r="F788">
        <v>5.88</v>
      </c>
      <c r="G788">
        <v>5.59</v>
      </c>
      <c r="H788">
        <v>19290</v>
      </c>
      <c r="I788">
        <v>2.63</v>
      </c>
      <c r="J788">
        <v>16.6</v>
      </c>
      <c r="K788" t="s">
        <v>155</v>
      </c>
    </row>
    <row r="789" spans="1:11">
      <c r="A789" t="str">
        <f>"002276"</f>
        <v>002276</v>
      </c>
      <c r="B789" t="s">
        <v>1063</v>
      </c>
      <c r="C789">
        <v>169.42</v>
      </c>
      <c r="D789">
        <v>165.65</v>
      </c>
      <c r="E789">
        <v>61.06</v>
      </c>
      <c r="F789">
        <v>10.11</v>
      </c>
      <c r="G789">
        <v>10.07</v>
      </c>
      <c r="H789">
        <v>173446</v>
      </c>
      <c r="I789">
        <v>2.79</v>
      </c>
      <c r="J789">
        <v>30.98</v>
      </c>
      <c r="K789" t="s">
        <v>383</v>
      </c>
    </row>
    <row r="790" spans="1:11">
      <c r="A790" t="str">
        <f>"002277"</f>
        <v>002277</v>
      </c>
      <c r="B790" t="s">
        <v>1064</v>
      </c>
      <c r="C790">
        <v>111.25</v>
      </c>
      <c r="D790">
        <v>147.54</v>
      </c>
      <c r="E790">
        <v>67.23</v>
      </c>
      <c r="F790">
        <v>13.94</v>
      </c>
      <c r="G790">
        <v>13.94</v>
      </c>
      <c r="H790">
        <v>60986</v>
      </c>
      <c r="I790">
        <v>1.65</v>
      </c>
      <c r="J790">
        <v>130.62</v>
      </c>
      <c r="K790" t="s">
        <v>146</v>
      </c>
    </row>
    <row r="791" spans="1:11">
      <c r="A791" t="str">
        <f>"002278"</f>
        <v>002278</v>
      </c>
      <c r="B791" t="s">
        <v>1065</v>
      </c>
      <c r="C791">
        <v>50.1</v>
      </c>
      <c r="D791">
        <v>19.25</v>
      </c>
      <c r="E791">
        <v>11.76</v>
      </c>
      <c r="F791">
        <v>3.9</v>
      </c>
      <c r="G791">
        <v>3.34</v>
      </c>
      <c r="H791">
        <v>51997</v>
      </c>
      <c r="I791">
        <v>4.64</v>
      </c>
      <c r="J791">
        <v>116.16</v>
      </c>
      <c r="K791" t="s">
        <v>491</v>
      </c>
    </row>
    <row r="792" spans="1:11">
      <c r="A792" t="str">
        <f>"002279"</f>
        <v>002279</v>
      </c>
      <c r="B792" t="s">
        <v>1066</v>
      </c>
      <c r="C792">
        <v>77.47</v>
      </c>
      <c r="D792">
        <v>22.27</v>
      </c>
      <c r="E792">
        <v>14</v>
      </c>
      <c r="F792">
        <v>8.62</v>
      </c>
      <c r="G792">
        <v>7.9</v>
      </c>
      <c r="H792">
        <v>93327</v>
      </c>
      <c r="I792">
        <v>6.04</v>
      </c>
      <c r="J792" t="s">
        <v>14</v>
      </c>
      <c r="K792" t="s">
        <v>17</v>
      </c>
    </row>
    <row r="793" spans="1:11">
      <c r="A793" t="str">
        <f>"002281"</f>
        <v>002281</v>
      </c>
      <c r="B793" t="s">
        <v>1067</v>
      </c>
      <c r="C793">
        <v>601.13</v>
      </c>
      <c r="D793">
        <v>163.66</v>
      </c>
      <c r="E793">
        <v>97.77</v>
      </c>
      <c r="F793">
        <v>8.07</v>
      </c>
      <c r="G793">
        <v>7.79</v>
      </c>
      <c r="H793">
        <v>147307</v>
      </c>
      <c r="I793">
        <v>6.36</v>
      </c>
      <c r="J793">
        <v>64.9</v>
      </c>
      <c r="K793" t="s">
        <v>972</v>
      </c>
    </row>
    <row r="794" spans="1:11">
      <c r="A794" t="str">
        <f>"002282"</f>
        <v>002282</v>
      </c>
      <c r="B794" t="s">
        <v>1068</v>
      </c>
      <c r="C794">
        <v>37.67</v>
      </c>
      <c r="D794">
        <v>40.02</v>
      </c>
      <c r="E794">
        <v>36.2</v>
      </c>
      <c r="F794">
        <v>5.27</v>
      </c>
      <c r="G794">
        <v>5.05</v>
      </c>
      <c r="H794">
        <v>23805</v>
      </c>
      <c r="I794">
        <v>1.09</v>
      </c>
      <c r="J794">
        <v>18.94</v>
      </c>
      <c r="K794" t="s">
        <v>1069</v>
      </c>
    </row>
    <row r="795" spans="1:11">
      <c r="A795" t="str">
        <f>"002283"</f>
        <v>002283</v>
      </c>
      <c r="B795" t="s">
        <v>1070</v>
      </c>
      <c r="C795">
        <v>62.52</v>
      </c>
      <c r="D795">
        <v>82.58</v>
      </c>
      <c r="E795">
        <v>60.21</v>
      </c>
      <c r="F795">
        <v>11.39</v>
      </c>
      <c r="G795">
        <v>10.04</v>
      </c>
      <c r="H795">
        <v>58229</v>
      </c>
      <c r="I795">
        <v>1.18</v>
      </c>
      <c r="J795">
        <v>18.99</v>
      </c>
      <c r="K795" t="s">
        <v>51</v>
      </c>
    </row>
    <row r="796" spans="1:11">
      <c r="A796" t="str">
        <f>"002284"</f>
        <v>002284</v>
      </c>
      <c r="B796" t="s">
        <v>1071</v>
      </c>
      <c r="C796">
        <v>121.53</v>
      </c>
      <c r="D796">
        <v>80.03</v>
      </c>
      <c r="E796">
        <v>32</v>
      </c>
      <c r="F796">
        <v>7.39</v>
      </c>
      <c r="G796">
        <v>7.31</v>
      </c>
      <c r="H796">
        <v>49886</v>
      </c>
      <c r="I796">
        <v>3.84</v>
      </c>
      <c r="J796">
        <v>28.05</v>
      </c>
      <c r="K796" t="s">
        <v>51</v>
      </c>
    </row>
    <row r="797" spans="1:11">
      <c r="A797" t="str">
        <f>"002285"</f>
        <v>002285</v>
      </c>
      <c r="B797" t="s">
        <v>1072</v>
      </c>
      <c r="C797">
        <v>58.68</v>
      </c>
      <c r="D797">
        <v>40.48</v>
      </c>
      <c r="E797">
        <v>28.02</v>
      </c>
      <c r="F797">
        <v>19.93</v>
      </c>
      <c r="G797">
        <v>19.76</v>
      </c>
      <c r="H797">
        <v>60561</v>
      </c>
      <c r="I797">
        <v>2.11</v>
      </c>
      <c r="J797" t="s">
        <v>14</v>
      </c>
      <c r="K797" t="s">
        <v>239</v>
      </c>
    </row>
    <row r="798" spans="1:11">
      <c r="A798" t="str">
        <f>"002286"</f>
        <v>002286</v>
      </c>
      <c r="B798" t="s">
        <v>1073</v>
      </c>
      <c r="C798">
        <v>35.4</v>
      </c>
      <c r="D798">
        <v>27.35</v>
      </c>
      <c r="E798">
        <v>22.02</v>
      </c>
      <c r="F798">
        <v>3.81</v>
      </c>
      <c r="G798">
        <v>3.7</v>
      </c>
      <c r="H798">
        <v>34681</v>
      </c>
      <c r="I798">
        <v>1.65</v>
      </c>
      <c r="J798">
        <v>20.41</v>
      </c>
      <c r="K798" t="s">
        <v>192</v>
      </c>
    </row>
    <row r="799" spans="1:11">
      <c r="A799" t="str">
        <f>"002287"</f>
        <v>002287</v>
      </c>
      <c r="B799" t="s">
        <v>1074</v>
      </c>
      <c r="C799">
        <v>139.95</v>
      </c>
      <c r="D799">
        <v>66.38</v>
      </c>
      <c r="E799">
        <v>48.02</v>
      </c>
      <c r="F799">
        <v>5.72</v>
      </c>
      <c r="G799">
        <v>5.71</v>
      </c>
      <c r="H799">
        <v>30783</v>
      </c>
      <c r="I799">
        <v>2.92</v>
      </c>
      <c r="J799">
        <v>24.83</v>
      </c>
      <c r="K799" t="s">
        <v>155</v>
      </c>
    </row>
    <row r="800" spans="1:11">
      <c r="A800" t="str">
        <f>"002289"</f>
        <v>002289</v>
      </c>
      <c r="B800" t="s">
        <v>1075</v>
      </c>
      <c r="C800">
        <v>77.46</v>
      </c>
      <c r="D800">
        <v>4.4</v>
      </c>
      <c r="E800">
        <v>2.19</v>
      </c>
      <c r="F800">
        <v>2.8</v>
      </c>
      <c r="G800">
        <v>2.8</v>
      </c>
      <c r="H800">
        <v>8958</v>
      </c>
      <c r="I800">
        <v>35.43</v>
      </c>
      <c r="J800" t="s">
        <v>14</v>
      </c>
      <c r="K800" t="s">
        <v>39</v>
      </c>
    </row>
    <row r="801" spans="1:11">
      <c r="A801" t="str">
        <f>"002290"</f>
        <v>002290</v>
      </c>
      <c r="B801" t="s">
        <v>1076</v>
      </c>
      <c r="C801">
        <v>146.38</v>
      </c>
      <c r="D801">
        <v>19.46</v>
      </c>
      <c r="E801">
        <v>9.49</v>
      </c>
      <c r="F801">
        <v>2.48</v>
      </c>
      <c r="G801">
        <v>2.47</v>
      </c>
      <c r="H801">
        <v>14132</v>
      </c>
      <c r="I801">
        <v>15.47</v>
      </c>
      <c r="J801">
        <v>76.42</v>
      </c>
      <c r="K801" t="s">
        <v>134</v>
      </c>
    </row>
    <row r="802" spans="1:11">
      <c r="A802" t="str">
        <f>"002291"</f>
        <v>002291</v>
      </c>
      <c r="B802" t="s">
        <v>1077</v>
      </c>
      <c r="C802">
        <v>66.75</v>
      </c>
      <c r="D802">
        <v>49.71</v>
      </c>
      <c r="E802">
        <v>30.18</v>
      </c>
      <c r="F802">
        <v>9.36</v>
      </c>
      <c r="G802">
        <v>8.69</v>
      </c>
      <c r="H802">
        <v>97455</v>
      </c>
      <c r="I802">
        <v>2.38</v>
      </c>
      <c r="J802" t="s">
        <v>14</v>
      </c>
      <c r="K802" t="s">
        <v>333</v>
      </c>
    </row>
    <row r="803" spans="1:11">
      <c r="A803" t="str">
        <f>"002292"</f>
        <v>002292</v>
      </c>
      <c r="B803" t="s">
        <v>1078</v>
      </c>
      <c r="C803">
        <v>105.04</v>
      </c>
      <c r="D803">
        <v>42.19</v>
      </c>
      <c r="E803">
        <v>29.53</v>
      </c>
      <c r="F803">
        <v>14.79</v>
      </c>
      <c r="G803">
        <v>10.18</v>
      </c>
      <c r="H803">
        <v>130529</v>
      </c>
      <c r="I803">
        <v>5.17</v>
      </c>
      <c r="J803">
        <v>226.42</v>
      </c>
      <c r="K803" t="s">
        <v>452</v>
      </c>
    </row>
    <row r="804" spans="1:11">
      <c r="A804" t="str">
        <f>"002293"</f>
        <v>002293</v>
      </c>
      <c r="B804" t="s">
        <v>1079</v>
      </c>
      <c r="C804">
        <v>78.19</v>
      </c>
      <c r="D804">
        <v>65.5</v>
      </c>
      <c r="E804">
        <v>40.05</v>
      </c>
      <c r="F804">
        <v>8.34</v>
      </c>
      <c r="G804">
        <v>8.27</v>
      </c>
      <c r="H804">
        <v>24298</v>
      </c>
      <c r="I804">
        <v>1.97</v>
      </c>
      <c r="J804">
        <v>17.4</v>
      </c>
      <c r="K804" t="s">
        <v>846</v>
      </c>
    </row>
    <row r="805" spans="1:11">
      <c r="A805" t="str">
        <f>"002294"</f>
        <v>002294</v>
      </c>
      <c r="B805" t="s">
        <v>1080</v>
      </c>
      <c r="C805">
        <v>583.03</v>
      </c>
      <c r="D805">
        <v>109.84</v>
      </c>
      <c r="E805">
        <v>87.73</v>
      </c>
      <c r="F805">
        <v>11.15</v>
      </c>
      <c r="G805">
        <v>11.15</v>
      </c>
      <c r="H805">
        <v>25188</v>
      </c>
      <c r="I805">
        <v>6.65</v>
      </c>
      <c r="J805">
        <v>75.32</v>
      </c>
      <c r="K805" t="s">
        <v>109</v>
      </c>
    </row>
    <row r="806" spans="1:11">
      <c r="A806" t="str">
        <f>"002295"</f>
        <v>002295</v>
      </c>
      <c r="B806" t="s">
        <v>1081</v>
      </c>
      <c r="C806">
        <v>30.79</v>
      </c>
      <c r="D806">
        <v>25.24</v>
      </c>
      <c r="E806">
        <v>13.53</v>
      </c>
      <c r="F806">
        <v>2.51</v>
      </c>
      <c r="G806">
        <v>2.5</v>
      </c>
      <c r="H806">
        <v>32227</v>
      </c>
      <c r="I806">
        <v>2.28</v>
      </c>
      <c r="J806">
        <v>164.06</v>
      </c>
      <c r="K806" t="s">
        <v>303</v>
      </c>
    </row>
    <row r="807" spans="1:11">
      <c r="A807" t="str">
        <f>"002296"</f>
        <v>002296</v>
      </c>
      <c r="B807" t="s">
        <v>1082</v>
      </c>
      <c r="C807">
        <v>43.74</v>
      </c>
      <c r="D807">
        <v>32.03</v>
      </c>
      <c r="E807">
        <v>24.02</v>
      </c>
      <c r="F807">
        <v>3.9</v>
      </c>
      <c r="G807">
        <v>3.47</v>
      </c>
      <c r="H807">
        <v>41580</v>
      </c>
      <c r="I807">
        <v>2.04</v>
      </c>
      <c r="J807">
        <v>22.63</v>
      </c>
      <c r="K807" t="s">
        <v>933</v>
      </c>
    </row>
    <row r="808" spans="1:11">
      <c r="A808" t="str">
        <f>"002297"</f>
        <v>002297</v>
      </c>
      <c r="B808" t="s">
        <v>1083</v>
      </c>
      <c r="C808">
        <v>67.97</v>
      </c>
      <c r="D808">
        <v>31.19</v>
      </c>
      <c r="E808">
        <v>21.04</v>
      </c>
      <c r="F808">
        <v>5.73</v>
      </c>
      <c r="G808">
        <v>5.73</v>
      </c>
      <c r="H808">
        <v>61428</v>
      </c>
      <c r="I808">
        <v>3.23</v>
      </c>
      <c r="J808">
        <v>169.72</v>
      </c>
      <c r="K808" t="s">
        <v>353</v>
      </c>
    </row>
    <row r="809" spans="1:11">
      <c r="A809" t="str">
        <f>"002298"</f>
        <v>002298</v>
      </c>
      <c r="B809" t="s">
        <v>1084</v>
      </c>
      <c r="C809">
        <v>79.48</v>
      </c>
      <c r="D809">
        <v>52.85</v>
      </c>
      <c r="E809">
        <v>22.81</v>
      </c>
      <c r="F809">
        <v>7.4</v>
      </c>
      <c r="G809">
        <v>6.61</v>
      </c>
      <c r="H809">
        <v>168231</v>
      </c>
      <c r="I809">
        <v>3.9</v>
      </c>
      <c r="J809">
        <v>244.94</v>
      </c>
      <c r="K809" t="s">
        <v>208</v>
      </c>
    </row>
    <row r="810" spans="1:11">
      <c r="A810" t="str">
        <f>"002299"</f>
        <v>002299</v>
      </c>
      <c r="B810" t="s">
        <v>1085</v>
      </c>
      <c r="C810">
        <v>197.6</v>
      </c>
      <c r="D810">
        <v>234.96</v>
      </c>
      <c r="E810">
        <v>113.59</v>
      </c>
      <c r="F810">
        <v>12.43</v>
      </c>
      <c r="G810">
        <v>12.26</v>
      </c>
      <c r="H810">
        <v>35684</v>
      </c>
      <c r="I810">
        <v>1.76</v>
      </c>
      <c r="J810">
        <v>12.97</v>
      </c>
      <c r="K810" t="s">
        <v>1019</v>
      </c>
    </row>
    <row r="811" spans="1:11">
      <c r="A811" t="str">
        <f>"002300"</f>
        <v>002300</v>
      </c>
      <c r="B811" t="s">
        <v>1086</v>
      </c>
      <c r="C811">
        <v>71.87</v>
      </c>
      <c r="D811">
        <v>67.37</v>
      </c>
      <c r="E811">
        <v>18.91</v>
      </c>
      <c r="F811">
        <v>7.22</v>
      </c>
      <c r="G811">
        <v>7.22</v>
      </c>
      <c r="H811">
        <v>79442</v>
      </c>
      <c r="I811">
        <v>3.8</v>
      </c>
      <c r="J811">
        <v>63.41</v>
      </c>
      <c r="K811" t="s">
        <v>383</v>
      </c>
    </row>
    <row r="812" spans="1:11">
      <c r="A812" t="str">
        <f>"002301"</f>
        <v>002301</v>
      </c>
      <c r="B812" t="s">
        <v>1087</v>
      </c>
      <c r="C812">
        <v>60.81</v>
      </c>
      <c r="D812">
        <v>87.59</v>
      </c>
      <c r="E812">
        <v>31.4</v>
      </c>
      <c r="F812">
        <v>7.21</v>
      </c>
      <c r="G812">
        <v>7.18</v>
      </c>
      <c r="H812">
        <v>36538</v>
      </c>
      <c r="I812">
        <v>1.95</v>
      </c>
      <c r="J812">
        <v>32.64</v>
      </c>
      <c r="K812" t="s">
        <v>867</v>
      </c>
    </row>
    <row r="813" spans="1:11">
      <c r="A813" t="str">
        <f>"002302"</f>
        <v>002302</v>
      </c>
      <c r="B813" t="s">
        <v>1088</v>
      </c>
      <c r="C813">
        <v>78.52</v>
      </c>
      <c r="D813">
        <v>344.11</v>
      </c>
      <c r="E813">
        <v>91.2</v>
      </c>
      <c r="F813">
        <v>12.62</v>
      </c>
      <c r="G813">
        <v>12.62</v>
      </c>
      <c r="H813">
        <v>63898</v>
      </c>
      <c r="I813">
        <v>0.92</v>
      </c>
      <c r="J813" t="s">
        <v>14</v>
      </c>
      <c r="K813" t="s">
        <v>1089</v>
      </c>
    </row>
    <row r="814" spans="1:11">
      <c r="A814" t="str">
        <f>"002303"</f>
        <v>002303</v>
      </c>
      <c r="B814" t="s">
        <v>1090</v>
      </c>
      <c r="C814">
        <v>39.45</v>
      </c>
      <c r="D814">
        <v>73.15</v>
      </c>
      <c r="E814">
        <v>45.23</v>
      </c>
      <c r="F814">
        <v>15.31</v>
      </c>
      <c r="G814">
        <v>9.67</v>
      </c>
      <c r="H814">
        <v>55554</v>
      </c>
      <c r="I814">
        <v>1.38</v>
      </c>
      <c r="J814">
        <v>18.01</v>
      </c>
      <c r="K814" t="s">
        <v>460</v>
      </c>
    </row>
    <row r="815" spans="1:11">
      <c r="A815" t="str">
        <f>"002304"</f>
        <v>002304</v>
      </c>
      <c r="B815" t="s">
        <v>1091</v>
      </c>
      <c r="C815">
        <v>953.56</v>
      </c>
      <c r="D815">
        <v>595.05</v>
      </c>
      <c r="E815">
        <v>485.63</v>
      </c>
      <c r="F815">
        <v>15.06</v>
      </c>
      <c r="G815">
        <v>15.06</v>
      </c>
      <c r="H815">
        <v>164082</v>
      </c>
      <c r="I815">
        <v>1.96</v>
      </c>
      <c r="J815">
        <v>17.99</v>
      </c>
      <c r="K815" t="s">
        <v>251</v>
      </c>
    </row>
    <row r="816" spans="1:11">
      <c r="A816" t="str">
        <f>"002305"</f>
        <v>002305</v>
      </c>
      <c r="B816" t="s">
        <v>1092</v>
      </c>
      <c r="C816">
        <v>38.15</v>
      </c>
      <c r="D816">
        <v>197.23</v>
      </c>
      <c r="E816">
        <v>-30.63</v>
      </c>
      <c r="F816">
        <v>17.34</v>
      </c>
      <c r="G816">
        <v>17.34</v>
      </c>
      <c r="H816">
        <v>43284</v>
      </c>
      <c r="I816">
        <v>-1.25</v>
      </c>
      <c r="J816" t="s">
        <v>14</v>
      </c>
      <c r="K816" t="s">
        <v>53</v>
      </c>
    </row>
    <row r="817" spans="1:11">
      <c r="A817" t="str">
        <f>"002306"</f>
        <v>002306</v>
      </c>
      <c r="B817" t="s">
        <v>1093</v>
      </c>
      <c r="C817">
        <v>16.12</v>
      </c>
      <c r="D817">
        <v>7.59</v>
      </c>
      <c r="E817">
        <v>-0.38</v>
      </c>
      <c r="F817">
        <v>8.7</v>
      </c>
      <c r="G817">
        <v>8.14</v>
      </c>
      <c r="H817">
        <v>38362</v>
      </c>
      <c r="I817">
        <v>-45</v>
      </c>
      <c r="J817" t="s">
        <v>14</v>
      </c>
      <c r="K817" t="s">
        <v>385</v>
      </c>
    </row>
    <row r="818" spans="1:11">
      <c r="A818" t="str">
        <f>"002307"</f>
        <v>002307</v>
      </c>
      <c r="B818" t="s">
        <v>1094</v>
      </c>
      <c r="C818">
        <v>62.27</v>
      </c>
      <c r="D818">
        <v>589.31</v>
      </c>
      <c r="E818">
        <v>43.47</v>
      </c>
      <c r="F818">
        <v>16.49</v>
      </c>
      <c r="G818">
        <v>12.68</v>
      </c>
      <c r="H818">
        <v>80560</v>
      </c>
      <c r="I818">
        <v>2.11</v>
      </c>
      <c r="J818" t="s">
        <v>14</v>
      </c>
      <c r="K818" t="s">
        <v>100</v>
      </c>
    </row>
    <row r="819" spans="1:11">
      <c r="A819" t="str">
        <f>"002309"</f>
        <v>002309</v>
      </c>
      <c r="B819" t="s">
        <v>1095</v>
      </c>
      <c r="C819">
        <v>68.52</v>
      </c>
      <c r="D819">
        <v>55.47</v>
      </c>
      <c r="E819">
        <v>18.61</v>
      </c>
      <c r="F819">
        <v>30.08</v>
      </c>
      <c r="G819">
        <v>23.23</v>
      </c>
      <c r="H819">
        <v>32355</v>
      </c>
      <c r="I819">
        <v>4.77</v>
      </c>
      <c r="J819" t="s">
        <v>14</v>
      </c>
      <c r="K819" t="s">
        <v>815</v>
      </c>
    </row>
    <row r="820" spans="1:11">
      <c r="A820" t="str">
        <f>"002310"</f>
        <v>002310</v>
      </c>
      <c r="B820" t="s">
        <v>1096</v>
      </c>
      <c r="C820">
        <v>104.14</v>
      </c>
      <c r="D820">
        <v>33.75</v>
      </c>
      <c r="E820">
        <v>15.36</v>
      </c>
      <c r="F820">
        <v>59.99</v>
      </c>
      <c r="G820">
        <v>41.99</v>
      </c>
      <c r="H820">
        <v>77354</v>
      </c>
      <c r="I820">
        <v>9.69</v>
      </c>
      <c r="J820" t="s">
        <v>14</v>
      </c>
      <c r="K820" t="s">
        <v>59</v>
      </c>
    </row>
    <row r="821" spans="1:11">
      <c r="A821" t="str">
        <f>"002311"</f>
        <v>002311</v>
      </c>
      <c r="B821" t="s">
        <v>1097</v>
      </c>
      <c r="C821">
        <v>881.47</v>
      </c>
      <c r="D821">
        <v>508.16</v>
      </c>
      <c r="E821">
        <v>252.69</v>
      </c>
      <c r="F821">
        <v>16.64</v>
      </c>
      <c r="G821">
        <v>16.63</v>
      </c>
      <c r="H821">
        <v>18987</v>
      </c>
      <c r="I821">
        <v>3.49</v>
      </c>
      <c r="J821">
        <v>15.97</v>
      </c>
      <c r="K821" t="s">
        <v>694</v>
      </c>
    </row>
    <row r="822" spans="1:11">
      <c r="A822" t="str">
        <f>"002312"</f>
        <v>002312</v>
      </c>
      <c r="B822" t="s">
        <v>1098</v>
      </c>
      <c r="C822">
        <v>215.89</v>
      </c>
      <c r="D822">
        <v>218.84</v>
      </c>
      <c r="E822">
        <v>96.28</v>
      </c>
      <c r="F822">
        <v>18.88</v>
      </c>
      <c r="G822">
        <v>18.84</v>
      </c>
      <c r="H822">
        <v>154792</v>
      </c>
      <c r="I822">
        <v>2.25</v>
      </c>
      <c r="J822">
        <v>37.14</v>
      </c>
      <c r="K822" t="s">
        <v>153</v>
      </c>
    </row>
    <row r="823" spans="1:11">
      <c r="A823" t="str">
        <f>"002313"</f>
        <v>002313</v>
      </c>
      <c r="B823" t="s">
        <v>1099</v>
      </c>
      <c r="C823">
        <v>40.62</v>
      </c>
      <c r="D823">
        <v>30.26</v>
      </c>
      <c r="E823">
        <v>0.13</v>
      </c>
      <c r="F823">
        <v>3.74</v>
      </c>
      <c r="G823">
        <v>3.74</v>
      </c>
      <c r="H823">
        <v>55598</v>
      </c>
      <c r="I823">
        <v>301.39</v>
      </c>
      <c r="J823" t="s">
        <v>14</v>
      </c>
      <c r="K823" t="s">
        <v>770</v>
      </c>
    </row>
    <row r="824" spans="1:11">
      <c r="A824" t="str">
        <f>"002314"</f>
        <v>002314</v>
      </c>
      <c r="B824" t="s">
        <v>1100</v>
      </c>
      <c r="C824">
        <v>38.68</v>
      </c>
      <c r="D824">
        <v>626.37</v>
      </c>
      <c r="E824">
        <v>91.81</v>
      </c>
      <c r="F824">
        <v>27.08</v>
      </c>
      <c r="G824">
        <v>13.38</v>
      </c>
      <c r="H824">
        <v>47650</v>
      </c>
      <c r="I824">
        <v>0.85</v>
      </c>
      <c r="J824">
        <v>17.79</v>
      </c>
      <c r="K824" t="s">
        <v>15</v>
      </c>
    </row>
    <row r="825" spans="1:11">
      <c r="A825" t="str">
        <f>"002315"</f>
        <v>002315</v>
      </c>
      <c r="B825" t="s">
        <v>1101</v>
      </c>
      <c r="C825">
        <v>123.86</v>
      </c>
      <c r="D825">
        <v>42.75</v>
      </c>
      <c r="E825">
        <v>26.18</v>
      </c>
      <c r="F825">
        <v>3.17</v>
      </c>
      <c r="G825">
        <v>2.02</v>
      </c>
      <c r="H825">
        <v>35707</v>
      </c>
      <c r="I825">
        <v>7.42</v>
      </c>
      <c r="J825">
        <v>34.99</v>
      </c>
      <c r="K825" t="s">
        <v>1102</v>
      </c>
    </row>
    <row r="826" spans="1:11">
      <c r="A826" t="str">
        <f>"002316"</f>
        <v>002316</v>
      </c>
      <c r="B826" t="s">
        <v>1103</v>
      </c>
      <c r="C826">
        <v>18.26</v>
      </c>
      <c r="D826">
        <v>7.43</v>
      </c>
      <c r="E826">
        <v>0.77</v>
      </c>
      <c r="F826">
        <v>3.93</v>
      </c>
      <c r="G826">
        <v>3.41</v>
      </c>
      <c r="H826">
        <v>28652</v>
      </c>
      <c r="I826">
        <v>27.49</v>
      </c>
      <c r="J826">
        <v>272.33</v>
      </c>
      <c r="K826" t="s">
        <v>249</v>
      </c>
    </row>
    <row r="827" spans="1:11">
      <c r="A827" t="str">
        <f>"002317"</f>
        <v>002317</v>
      </c>
      <c r="B827" t="s">
        <v>1104</v>
      </c>
      <c r="C827">
        <v>164.2</v>
      </c>
      <c r="D827">
        <v>51.67</v>
      </c>
      <c r="E827">
        <v>40.3</v>
      </c>
      <c r="F827">
        <v>8.5</v>
      </c>
      <c r="G827">
        <v>7.62</v>
      </c>
      <c r="H827">
        <v>72915</v>
      </c>
      <c r="I827">
        <v>4.55</v>
      </c>
      <c r="J827">
        <v>54.85</v>
      </c>
      <c r="K827" t="s">
        <v>155</v>
      </c>
    </row>
    <row r="828" spans="1:11">
      <c r="A828" t="str">
        <f>"002318"</f>
        <v>002318</v>
      </c>
      <c r="B828" t="s">
        <v>1105</v>
      </c>
      <c r="C828">
        <v>282.19</v>
      </c>
      <c r="D828">
        <v>134.32</v>
      </c>
      <c r="E828">
        <v>81.55</v>
      </c>
      <c r="F828">
        <v>9.77</v>
      </c>
      <c r="G828">
        <v>9.55</v>
      </c>
      <c r="H828">
        <v>27596</v>
      </c>
      <c r="I828">
        <v>3.54</v>
      </c>
      <c r="J828">
        <v>17.17</v>
      </c>
      <c r="K828" t="s">
        <v>364</v>
      </c>
    </row>
    <row r="829" spans="1:11">
      <c r="A829" t="str">
        <f>"002319"</f>
        <v>002319</v>
      </c>
      <c r="B829" t="s">
        <v>1106</v>
      </c>
      <c r="C829">
        <v>23.52</v>
      </c>
      <c r="D829">
        <v>5.97</v>
      </c>
      <c r="E829">
        <v>1.82</v>
      </c>
      <c r="F829">
        <v>2.09</v>
      </c>
      <c r="G829">
        <v>2</v>
      </c>
      <c r="H829">
        <v>10771</v>
      </c>
      <c r="I829">
        <v>13.56</v>
      </c>
      <c r="J829" t="s">
        <v>14</v>
      </c>
      <c r="K829" t="s">
        <v>246</v>
      </c>
    </row>
    <row r="830" spans="1:11">
      <c r="A830" t="str">
        <f>"002320"</f>
        <v>002320</v>
      </c>
      <c r="B830" t="s">
        <v>1107</v>
      </c>
      <c r="C830">
        <v>242.44</v>
      </c>
      <c r="D830">
        <v>98.34</v>
      </c>
      <c r="E830">
        <v>40.26</v>
      </c>
      <c r="F830">
        <v>22.34</v>
      </c>
      <c r="G830">
        <v>22.34</v>
      </c>
      <c r="H830">
        <v>111000</v>
      </c>
      <c r="I830">
        <v>6.02</v>
      </c>
      <c r="J830">
        <v>95.46</v>
      </c>
      <c r="K830" t="s">
        <v>188</v>
      </c>
    </row>
    <row r="831" spans="1:11">
      <c r="A831" t="str">
        <f>"002321"</f>
        <v>002321</v>
      </c>
      <c r="B831" t="s">
        <v>1108</v>
      </c>
      <c r="C831">
        <v>50.98</v>
      </c>
      <c r="D831">
        <v>39.5</v>
      </c>
      <c r="E831">
        <v>9.29</v>
      </c>
      <c r="F831">
        <v>21.33</v>
      </c>
      <c r="G831">
        <v>21.24</v>
      </c>
      <c r="H831">
        <v>48860</v>
      </c>
      <c r="I831">
        <v>5.5</v>
      </c>
      <c r="J831" t="s">
        <v>14</v>
      </c>
      <c r="K831" t="s">
        <v>1109</v>
      </c>
    </row>
    <row r="832" spans="1:11">
      <c r="A832" t="str">
        <f>"002322"</f>
        <v>002322</v>
      </c>
      <c r="B832" t="s">
        <v>1110</v>
      </c>
      <c r="C832">
        <v>45.72</v>
      </c>
      <c r="D832">
        <v>30.88</v>
      </c>
      <c r="E832">
        <v>27.77</v>
      </c>
      <c r="F832">
        <v>3.66</v>
      </c>
      <c r="G832">
        <v>3.51</v>
      </c>
      <c r="H832">
        <v>26135</v>
      </c>
      <c r="I832">
        <v>1.78</v>
      </c>
      <c r="J832">
        <v>25.91</v>
      </c>
      <c r="K832" t="s">
        <v>117</v>
      </c>
    </row>
    <row r="833" spans="1:11">
      <c r="A833" t="str">
        <f>"002323"</f>
        <v>002323</v>
      </c>
      <c r="B833" t="s">
        <v>1111</v>
      </c>
      <c r="C833">
        <v>36.26</v>
      </c>
      <c r="D833">
        <v>9.6</v>
      </c>
      <c r="E833">
        <v>3.5</v>
      </c>
      <c r="F833">
        <v>21.21</v>
      </c>
      <c r="G833">
        <v>21.2</v>
      </c>
      <c r="H833">
        <v>62841</v>
      </c>
      <c r="I833">
        <v>10.36</v>
      </c>
      <c r="J833" t="s">
        <v>14</v>
      </c>
      <c r="K833" t="s">
        <v>904</v>
      </c>
    </row>
    <row r="834" spans="1:11">
      <c r="A834" t="str">
        <f>"002324"</f>
        <v>002324</v>
      </c>
      <c r="B834" t="s">
        <v>1112</v>
      </c>
      <c r="C834">
        <v>150.91</v>
      </c>
      <c r="D834">
        <v>130.95</v>
      </c>
      <c r="E834">
        <v>45.74</v>
      </c>
      <c r="F834">
        <v>11.12</v>
      </c>
      <c r="G834">
        <v>7.76</v>
      </c>
      <c r="H834">
        <v>28932</v>
      </c>
      <c r="I834">
        <v>4.73</v>
      </c>
      <c r="J834">
        <v>49.89</v>
      </c>
      <c r="K834" t="s">
        <v>1113</v>
      </c>
    </row>
    <row r="835" spans="1:11">
      <c r="A835" t="str">
        <f>"002326"</f>
        <v>002326</v>
      </c>
      <c r="B835" t="s">
        <v>1114</v>
      </c>
      <c r="C835">
        <v>201.96</v>
      </c>
      <c r="D835">
        <v>111.05</v>
      </c>
      <c r="E835">
        <v>27.24</v>
      </c>
      <c r="F835">
        <v>9.25</v>
      </c>
      <c r="G835">
        <v>8.08</v>
      </c>
      <c r="H835">
        <v>107705</v>
      </c>
      <c r="I835">
        <v>8.49</v>
      </c>
      <c r="J835">
        <v>532.63</v>
      </c>
      <c r="K835" t="s">
        <v>1115</v>
      </c>
    </row>
    <row r="836" spans="1:11">
      <c r="A836" t="str">
        <f>"002327"</f>
        <v>002327</v>
      </c>
      <c r="B836" t="s">
        <v>1116</v>
      </c>
      <c r="C836">
        <v>32.94</v>
      </c>
      <c r="D836">
        <v>45.64</v>
      </c>
      <c r="E836">
        <v>34.74</v>
      </c>
      <c r="F836">
        <v>8.38</v>
      </c>
      <c r="G836">
        <v>4.91</v>
      </c>
      <c r="H836">
        <v>32301</v>
      </c>
      <c r="I836">
        <v>1.62</v>
      </c>
      <c r="J836">
        <v>26.41</v>
      </c>
      <c r="K836" t="s">
        <v>846</v>
      </c>
    </row>
    <row r="837" spans="1:11">
      <c r="A837" t="str">
        <f>"002328"</f>
        <v>002328</v>
      </c>
      <c r="B837" t="s">
        <v>1117</v>
      </c>
      <c r="C837">
        <v>39.96</v>
      </c>
      <c r="D837">
        <v>56.64</v>
      </c>
      <c r="E837">
        <v>33.24</v>
      </c>
      <c r="F837">
        <v>7.72</v>
      </c>
      <c r="G837">
        <v>5.71</v>
      </c>
      <c r="H837">
        <v>39400</v>
      </c>
      <c r="I837">
        <v>1.63</v>
      </c>
      <c r="J837">
        <v>28.59</v>
      </c>
      <c r="K837" t="s">
        <v>356</v>
      </c>
    </row>
    <row r="838" spans="1:11">
      <c r="A838" t="str">
        <f>"002329"</f>
        <v>002329</v>
      </c>
      <c r="B838" t="s">
        <v>1118</v>
      </c>
      <c r="C838">
        <v>25.5</v>
      </c>
      <c r="D838">
        <v>46.37</v>
      </c>
      <c r="E838">
        <v>8.85</v>
      </c>
      <c r="F838">
        <v>8.32</v>
      </c>
      <c r="G838">
        <v>6.5</v>
      </c>
      <c r="H838">
        <v>64519</v>
      </c>
      <c r="I838">
        <v>3.65</v>
      </c>
      <c r="J838" t="s">
        <v>14</v>
      </c>
      <c r="K838" t="s">
        <v>699</v>
      </c>
    </row>
    <row r="839" spans="1:11">
      <c r="A839" t="str">
        <f>"002330"</f>
        <v>002330</v>
      </c>
      <c r="B839" t="s">
        <v>1119</v>
      </c>
      <c r="C839">
        <v>30.93</v>
      </c>
      <c r="D839">
        <v>35.34</v>
      </c>
      <c r="E839">
        <v>22.91</v>
      </c>
      <c r="F839">
        <v>6.35</v>
      </c>
      <c r="G839">
        <v>6.35</v>
      </c>
      <c r="H839">
        <v>38847</v>
      </c>
      <c r="I839">
        <v>1.35</v>
      </c>
      <c r="J839">
        <v>429.43</v>
      </c>
      <c r="K839" t="s">
        <v>201</v>
      </c>
    </row>
    <row r="840" spans="1:11">
      <c r="A840" t="str">
        <f>"002331"</f>
        <v>002331</v>
      </c>
      <c r="B840" t="s">
        <v>1120</v>
      </c>
      <c r="C840">
        <v>37.61</v>
      </c>
      <c r="D840">
        <v>30.87</v>
      </c>
      <c r="E840">
        <v>16.76</v>
      </c>
      <c r="F840">
        <v>4.28</v>
      </c>
      <c r="G840">
        <v>3.96</v>
      </c>
      <c r="H840">
        <v>42050</v>
      </c>
      <c r="I840">
        <v>2.41</v>
      </c>
      <c r="J840" t="s">
        <v>14</v>
      </c>
      <c r="K840" t="s">
        <v>117</v>
      </c>
    </row>
    <row r="841" spans="1:11">
      <c r="A841" t="str">
        <f>"002332"</f>
        <v>002332</v>
      </c>
      <c r="B841" t="s">
        <v>1121</v>
      </c>
      <c r="C841">
        <v>92.35</v>
      </c>
      <c r="D841">
        <v>72.63</v>
      </c>
      <c r="E841">
        <v>59.92</v>
      </c>
      <c r="F841">
        <v>9.89</v>
      </c>
      <c r="G841">
        <v>9.85</v>
      </c>
      <c r="H841">
        <v>50000</v>
      </c>
      <c r="I841">
        <v>1.55</v>
      </c>
      <c r="J841">
        <v>17.11</v>
      </c>
      <c r="K841" t="s">
        <v>109</v>
      </c>
    </row>
    <row r="842" spans="1:11">
      <c r="A842" t="str">
        <f>"002333"</f>
        <v>002333</v>
      </c>
      <c r="B842" t="s">
        <v>1122</v>
      </c>
      <c r="C842">
        <v>38.31</v>
      </c>
      <c r="D842">
        <v>31.9</v>
      </c>
      <c r="E842">
        <v>19.14</v>
      </c>
      <c r="F842">
        <v>6.75</v>
      </c>
      <c r="G842">
        <v>6.53</v>
      </c>
      <c r="H842">
        <v>20952</v>
      </c>
      <c r="I842">
        <v>2.07</v>
      </c>
      <c r="J842">
        <v>67.54</v>
      </c>
      <c r="K842" t="s">
        <v>73</v>
      </c>
    </row>
    <row r="843" spans="1:11">
      <c r="A843" t="str">
        <f>"002334"</f>
        <v>002334</v>
      </c>
      <c r="B843" t="s">
        <v>1123</v>
      </c>
      <c r="C843">
        <v>67.98</v>
      </c>
      <c r="D843">
        <v>58.7</v>
      </c>
      <c r="E843">
        <v>30.04</v>
      </c>
      <c r="F843">
        <v>8.23</v>
      </c>
      <c r="G843">
        <v>7.34</v>
      </c>
      <c r="H843">
        <v>82097</v>
      </c>
      <c r="I843">
        <v>2.51</v>
      </c>
      <c r="J843">
        <v>38.65</v>
      </c>
      <c r="K843" t="s">
        <v>663</v>
      </c>
    </row>
    <row r="844" spans="1:11">
      <c r="A844" t="str">
        <f>"002335"</f>
        <v>002335</v>
      </c>
      <c r="B844" t="s">
        <v>1124</v>
      </c>
      <c r="C844">
        <v>292.58</v>
      </c>
      <c r="D844">
        <v>141.61</v>
      </c>
      <c r="E844">
        <v>63.23</v>
      </c>
      <c r="F844">
        <v>5.15</v>
      </c>
      <c r="G844">
        <v>4.55</v>
      </c>
      <c r="H844">
        <v>107000</v>
      </c>
      <c r="I844">
        <v>5.24</v>
      </c>
      <c r="J844">
        <v>72.21</v>
      </c>
      <c r="K844" t="s">
        <v>1010</v>
      </c>
    </row>
    <row r="845" spans="1:11">
      <c r="A845" t="str">
        <f>"002337"</f>
        <v>002337</v>
      </c>
      <c r="B845" t="s">
        <v>1125</v>
      </c>
      <c r="C845">
        <v>38.93</v>
      </c>
      <c r="D845">
        <v>20.63</v>
      </c>
      <c r="E845">
        <v>13.17</v>
      </c>
      <c r="F845">
        <v>5.89</v>
      </c>
      <c r="G845">
        <v>5.88</v>
      </c>
      <c r="H845">
        <v>50639</v>
      </c>
      <c r="I845">
        <v>2.96</v>
      </c>
      <c r="J845">
        <v>58.82</v>
      </c>
      <c r="K845" t="s">
        <v>493</v>
      </c>
    </row>
    <row r="846" spans="1:11">
      <c r="A846" t="str">
        <f>"002338"</f>
        <v>002338</v>
      </c>
      <c r="B846" t="s">
        <v>1126</v>
      </c>
      <c r="C846">
        <v>142.39</v>
      </c>
      <c r="D846">
        <v>25.02</v>
      </c>
      <c r="E846">
        <v>13.62</v>
      </c>
      <c r="F846">
        <v>2.4</v>
      </c>
      <c r="G846">
        <v>2.4</v>
      </c>
      <c r="H846">
        <v>34751</v>
      </c>
      <c r="I846">
        <v>10.46</v>
      </c>
      <c r="J846">
        <v>280.67</v>
      </c>
      <c r="K846" t="s">
        <v>223</v>
      </c>
    </row>
    <row r="847" spans="1:11">
      <c r="A847" t="str">
        <f>"002339"</f>
        <v>002339</v>
      </c>
      <c r="B847" t="s">
        <v>1127</v>
      </c>
      <c r="C847">
        <v>45.49</v>
      </c>
      <c r="D847">
        <v>42.05</v>
      </c>
      <c r="E847">
        <v>17.23</v>
      </c>
      <c r="F847">
        <v>5.04</v>
      </c>
      <c r="G847">
        <v>4.79</v>
      </c>
      <c r="H847">
        <v>41159</v>
      </c>
      <c r="I847">
        <v>2.78</v>
      </c>
      <c r="J847" t="s">
        <v>14</v>
      </c>
      <c r="K847" t="s">
        <v>127</v>
      </c>
    </row>
    <row r="848" spans="1:11">
      <c r="A848" t="str">
        <f>"002340"</f>
        <v>002340</v>
      </c>
      <c r="B848" t="s">
        <v>1128</v>
      </c>
      <c r="C848">
        <v>441.95</v>
      </c>
      <c r="D848">
        <v>722.64</v>
      </c>
      <c r="E848">
        <v>206.39</v>
      </c>
      <c r="F848">
        <v>51.16</v>
      </c>
      <c r="G848">
        <v>50.86</v>
      </c>
      <c r="H848">
        <v>423216</v>
      </c>
      <c r="I848">
        <v>2.16</v>
      </c>
      <c r="J848">
        <v>30.07</v>
      </c>
      <c r="K848" t="s">
        <v>24</v>
      </c>
    </row>
    <row r="849" spans="1:11">
      <c r="A849" t="str">
        <f>"002342"</f>
        <v>002342</v>
      </c>
      <c r="B849" t="s">
        <v>1129</v>
      </c>
      <c r="C849">
        <v>133.66</v>
      </c>
      <c r="D849">
        <v>53.48</v>
      </c>
      <c r="E849">
        <v>24.34</v>
      </c>
      <c r="F849">
        <v>9.6</v>
      </c>
      <c r="G849">
        <v>9.55</v>
      </c>
      <c r="H849">
        <v>141855</v>
      </c>
      <c r="I849">
        <v>5.52</v>
      </c>
      <c r="J849">
        <v>911.14</v>
      </c>
      <c r="K849" t="s">
        <v>63</v>
      </c>
    </row>
    <row r="850" spans="1:11">
      <c r="A850" t="str">
        <f>"002343"</f>
        <v>002343</v>
      </c>
      <c r="B850" t="s">
        <v>1130</v>
      </c>
      <c r="C850">
        <v>38.65</v>
      </c>
      <c r="D850">
        <v>17.64</v>
      </c>
      <c r="E850">
        <v>9.62</v>
      </c>
      <c r="F850">
        <v>4.74</v>
      </c>
      <c r="G850">
        <v>4.74</v>
      </c>
      <c r="H850">
        <v>45906</v>
      </c>
      <c r="I850">
        <v>4.03</v>
      </c>
      <c r="J850" t="s">
        <v>14</v>
      </c>
      <c r="K850" t="s">
        <v>452</v>
      </c>
    </row>
    <row r="851" spans="1:11">
      <c r="A851" t="str">
        <f>"002344"</f>
        <v>002344</v>
      </c>
      <c r="B851" t="s">
        <v>1131</v>
      </c>
      <c r="C851">
        <v>65.23</v>
      </c>
      <c r="D851">
        <v>129.55</v>
      </c>
      <c r="E851">
        <v>83.86</v>
      </c>
      <c r="F851">
        <v>12.83</v>
      </c>
      <c r="G851">
        <v>12.81</v>
      </c>
      <c r="H851">
        <v>34253</v>
      </c>
      <c r="I851">
        <v>0.78</v>
      </c>
      <c r="J851">
        <v>81.98</v>
      </c>
      <c r="K851" t="s">
        <v>20</v>
      </c>
    </row>
    <row r="852" spans="1:11">
      <c r="A852" t="str">
        <f>"002345"</f>
        <v>002345</v>
      </c>
      <c r="B852" t="s">
        <v>1132</v>
      </c>
      <c r="C852">
        <v>115.87</v>
      </c>
      <c r="D852">
        <v>63.39</v>
      </c>
      <c r="E852">
        <v>35.43</v>
      </c>
      <c r="F852">
        <v>8.89</v>
      </c>
      <c r="G852">
        <v>8.67</v>
      </c>
      <c r="H852">
        <v>35305</v>
      </c>
      <c r="I852">
        <v>3.35</v>
      </c>
      <c r="J852">
        <v>28.09</v>
      </c>
      <c r="K852" t="s">
        <v>35</v>
      </c>
    </row>
    <row r="853" spans="1:11">
      <c r="A853" t="str">
        <f>"002346"</f>
        <v>002346</v>
      </c>
      <c r="B853" t="s">
        <v>1133</v>
      </c>
      <c r="C853">
        <v>81.77</v>
      </c>
      <c r="D853">
        <v>40.2</v>
      </c>
      <c r="E853">
        <v>28.85</v>
      </c>
      <c r="F853">
        <v>4.42</v>
      </c>
      <c r="G853">
        <v>3.93</v>
      </c>
      <c r="H853">
        <v>20000</v>
      </c>
      <c r="I853">
        <v>3.18</v>
      </c>
      <c r="J853">
        <v>19.55</v>
      </c>
      <c r="K853" t="s">
        <v>943</v>
      </c>
    </row>
    <row r="854" spans="1:11">
      <c r="A854" t="str">
        <f>"002347"</f>
        <v>002347</v>
      </c>
      <c r="B854" t="s">
        <v>1134</v>
      </c>
      <c r="C854">
        <v>58.22</v>
      </c>
      <c r="D854">
        <v>24.05</v>
      </c>
      <c r="E854">
        <v>11.45</v>
      </c>
      <c r="F854">
        <v>5.05</v>
      </c>
      <c r="G854">
        <v>4.93</v>
      </c>
      <c r="H854">
        <v>77948</v>
      </c>
      <c r="I854">
        <v>5.2</v>
      </c>
      <c r="J854" t="s">
        <v>14</v>
      </c>
      <c r="K854" t="s">
        <v>424</v>
      </c>
    </row>
    <row r="855" spans="1:11">
      <c r="A855" t="str">
        <f>"002348"</f>
        <v>002348</v>
      </c>
      <c r="B855" t="s">
        <v>1135</v>
      </c>
      <c r="C855">
        <v>54.93</v>
      </c>
      <c r="D855">
        <v>7.16</v>
      </c>
      <c r="E855">
        <v>4.45</v>
      </c>
      <c r="F855">
        <v>9.47</v>
      </c>
      <c r="G855">
        <v>9.04</v>
      </c>
      <c r="H855">
        <v>41492</v>
      </c>
      <c r="I855">
        <v>12.94</v>
      </c>
      <c r="J855" t="s">
        <v>14</v>
      </c>
      <c r="K855" t="s">
        <v>637</v>
      </c>
    </row>
    <row r="856" spans="1:11">
      <c r="A856" t="str">
        <f>"002349"</f>
        <v>002349</v>
      </c>
      <c r="B856" t="s">
        <v>1136</v>
      </c>
      <c r="C856">
        <v>62.61</v>
      </c>
      <c r="D856">
        <v>34.88</v>
      </c>
      <c r="E856">
        <v>27.06</v>
      </c>
      <c r="F856">
        <v>8.3</v>
      </c>
      <c r="G856">
        <v>8.14</v>
      </c>
      <c r="H856">
        <v>88812</v>
      </c>
      <c r="I856">
        <v>2.36</v>
      </c>
      <c r="J856">
        <v>27.13</v>
      </c>
      <c r="K856" t="s">
        <v>155</v>
      </c>
    </row>
    <row r="857" spans="1:11">
      <c r="A857" t="str">
        <f>"002350"</f>
        <v>002350</v>
      </c>
      <c r="B857" t="s">
        <v>1137</v>
      </c>
      <c r="C857">
        <v>46.74</v>
      </c>
      <c r="D857">
        <v>29.15</v>
      </c>
      <c r="E857">
        <v>16.51</v>
      </c>
      <c r="F857">
        <v>5.42</v>
      </c>
      <c r="G857">
        <v>5.31</v>
      </c>
      <c r="H857">
        <v>33217</v>
      </c>
      <c r="I857">
        <v>2.9</v>
      </c>
      <c r="J857">
        <v>123.61</v>
      </c>
      <c r="K857" t="s">
        <v>943</v>
      </c>
    </row>
    <row r="858" spans="1:11">
      <c r="A858" t="str">
        <f>"002351"</f>
        <v>002351</v>
      </c>
      <c r="B858" t="s">
        <v>1138</v>
      </c>
      <c r="C858">
        <v>67.37</v>
      </c>
      <c r="D858">
        <v>35.67</v>
      </c>
      <c r="E858">
        <v>28.76</v>
      </c>
      <c r="F858">
        <v>8.89</v>
      </c>
      <c r="G858">
        <v>5.21</v>
      </c>
      <c r="H858">
        <v>79356</v>
      </c>
      <c r="I858">
        <v>4</v>
      </c>
      <c r="J858">
        <v>28.75</v>
      </c>
      <c r="K858" t="s">
        <v>41</v>
      </c>
    </row>
    <row r="859" spans="1:11">
      <c r="A859" t="str">
        <f>"002352"</f>
        <v>002352</v>
      </c>
      <c r="B859" t="s">
        <v>1139</v>
      </c>
      <c r="C859">
        <v>1839.61</v>
      </c>
      <c r="D859">
        <v>2179.25</v>
      </c>
      <c r="E859">
        <v>982.74</v>
      </c>
      <c r="F859">
        <v>50.39</v>
      </c>
      <c r="G859">
        <v>47.72</v>
      </c>
      <c r="H859">
        <v>269654</v>
      </c>
      <c r="I859">
        <v>1.98</v>
      </c>
      <c r="J859">
        <v>17.54</v>
      </c>
      <c r="K859" t="s">
        <v>886</v>
      </c>
    </row>
    <row r="860" spans="1:11">
      <c r="A860" t="str">
        <f>"002353"</f>
        <v>002353</v>
      </c>
      <c r="B860" t="s">
        <v>1140</v>
      </c>
      <c r="C860">
        <v>583.3</v>
      </c>
      <c r="D860">
        <v>380.79</v>
      </c>
      <c r="E860">
        <v>221.48</v>
      </c>
      <c r="F860">
        <v>10.24</v>
      </c>
      <c r="G860">
        <v>6.93</v>
      </c>
      <c r="H860">
        <v>32024</v>
      </c>
      <c r="I860">
        <v>3.89</v>
      </c>
      <c r="J860">
        <v>35.74</v>
      </c>
      <c r="K860" t="s">
        <v>491</v>
      </c>
    </row>
    <row r="861" spans="1:11">
      <c r="A861" t="str">
        <f>"002354"</f>
        <v>002354</v>
      </c>
      <c r="B861" t="s">
        <v>1141</v>
      </c>
      <c r="C861">
        <v>138.2</v>
      </c>
      <c r="D861">
        <v>19.76</v>
      </c>
      <c r="E861">
        <v>12.85</v>
      </c>
      <c r="F861">
        <v>16.55</v>
      </c>
      <c r="G861">
        <v>16.26</v>
      </c>
      <c r="H861">
        <v>203903</v>
      </c>
      <c r="I861">
        <v>10.95</v>
      </c>
      <c r="J861">
        <v>247.01</v>
      </c>
      <c r="K861" t="s">
        <v>333</v>
      </c>
    </row>
    <row r="862" spans="1:11">
      <c r="A862" t="str">
        <f>"002355"</f>
        <v>002355</v>
      </c>
      <c r="B862" t="s">
        <v>1142</v>
      </c>
      <c r="C862">
        <v>41.97</v>
      </c>
      <c r="D862">
        <v>23.75</v>
      </c>
      <c r="E862">
        <v>12.23</v>
      </c>
      <c r="F862">
        <v>6.68</v>
      </c>
      <c r="G862">
        <v>6.18</v>
      </c>
      <c r="H862">
        <v>54536</v>
      </c>
      <c r="I862">
        <v>3.71</v>
      </c>
      <c r="J862" t="s">
        <v>14</v>
      </c>
      <c r="K862" t="s">
        <v>263</v>
      </c>
    </row>
    <row r="863" spans="1:11">
      <c r="A863" t="str">
        <f>"002356"</f>
        <v>002356</v>
      </c>
      <c r="B863" t="s">
        <v>1143</v>
      </c>
      <c r="C863">
        <v>55.73</v>
      </c>
      <c r="D863">
        <v>8.23</v>
      </c>
      <c r="E863">
        <v>6.21</v>
      </c>
      <c r="F863">
        <v>13.11</v>
      </c>
      <c r="G863">
        <v>13.11</v>
      </c>
      <c r="H863">
        <v>41700</v>
      </c>
      <c r="I863">
        <v>8.97</v>
      </c>
      <c r="J863">
        <v>80.77</v>
      </c>
      <c r="K863" t="s">
        <v>148</v>
      </c>
    </row>
    <row r="864" spans="1:11">
      <c r="A864" t="str">
        <f>"002357"</f>
        <v>002357</v>
      </c>
      <c r="B864" t="s">
        <v>1144</v>
      </c>
      <c r="C864">
        <v>35.23</v>
      </c>
      <c r="D864">
        <v>29.78</v>
      </c>
      <c r="E864">
        <v>17.22</v>
      </c>
      <c r="F864">
        <v>3.13</v>
      </c>
      <c r="G864">
        <v>3.13</v>
      </c>
      <c r="H864">
        <v>16027</v>
      </c>
      <c r="I864">
        <v>2.05</v>
      </c>
      <c r="J864">
        <v>16.98</v>
      </c>
      <c r="K864" t="s">
        <v>1145</v>
      </c>
    </row>
    <row r="865" spans="1:11">
      <c r="A865" t="str">
        <f>"002358"</f>
        <v>002358</v>
      </c>
      <c r="B865" t="s">
        <v>1146</v>
      </c>
      <c r="C865">
        <v>54.39</v>
      </c>
      <c r="D865">
        <v>70.54</v>
      </c>
      <c r="E865">
        <v>33.57</v>
      </c>
      <c r="F865">
        <v>9.3</v>
      </c>
      <c r="G865">
        <v>9.3</v>
      </c>
      <c r="H865">
        <v>52613</v>
      </c>
      <c r="I865">
        <v>1.62</v>
      </c>
      <c r="J865">
        <v>28.38</v>
      </c>
      <c r="K865" t="s">
        <v>208</v>
      </c>
    </row>
    <row r="866" spans="1:11">
      <c r="A866" t="str">
        <f>"002360"</f>
        <v>002360</v>
      </c>
      <c r="B866" t="s">
        <v>1147</v>
      </c>
      <c r="C866">
        <v>16.11</v>
      </c>
      <c r="D866">
        <v>45.67</v>
      </c>
      <c r="E866">
        <v>19.99</v>
      </c>
      <c r="F866">
        <v>4.02</v>
      </c>
      <c r="G866">
        <v>3.28</v>
      </c>
      <c r="H866">
        <v>21610</v>
      </c>
      <c r="I866">
        <v>0.99</v>
      </c>
      <c r="J866" t="s">
        <v>14</v>
      </c>
      <c r="K866" t="s">
        <v>793</v>
      </c>
    </row>
    <row r="867" spans="1:11">
      <c r="A867" t="str">
        <f>"002361"</f>
        <v>002361</v>
      </c>
      <c r="B867" t="s">
        <v>1148</v>
      </c>
      <c r="C867">
        <v>146.61</v>
      </c>
      <c r="D867">
        <v>46.23</v>
      </c>
      <c r="E867">
        <v>22.14</v>
      </c>
      <c r="F867">
        <v>9.51</v>
      </c>
      <c r="G867">
        <v>8.09</v>
      </c>
      <c r="H867">
        <v>55571</v>
      </c>
      <c r="I867">
        <v>7.78</v>
      </c>
      <c r="J867">
        <v>426.27</v>
      </c>
      <c r="K867" t="s">
        <v>601</v>
      </c>
    </row>
    <row r="868" spans="1:11">
      <c r="A868" t="str">
        <f>"002362"</f>
        <v>002362</v>
      </c>
      <c r="B868" t="s">
        <v>1149</v>
      </c>
      <c r="C868">
        <v>50.8</v>
      </c>
      <c r="D868">
        <v>19.25</v>
      </c>
      <c r="E868">
        <v>10.52</v>
      </c>
      <c r="F868">
        <v>2.44</v>
      </c>
      <c r="G868">
        <v>2.08</v>
      </c>
      <c r="H868">
        <v>60128</v>
      </c>
      <c r="I868">
        <v>5.69</v>
      </c>
      <c r="J868" t="s">
        <v>14</v>
      </c>
      <c r="K868" t="s">
        <v>1014</v>
      </c>
    </row>
    <row r="869" spans="1:11">
      <c r="A869" t="str">
        <f>"002363"</f>
        <v>002363</v>
      </c>
      <c r="B869" t="s">
        <v>1150</v>
      </c>
      <c r="C869">
        <v>41.28</v>
      </c>
      <c r="D869">
        <v>31.1</v>
      </c>
      <c r="E869">
        <v>21.32</v>
      </c>
      <c r="F869">
        <v>4.17</v>
      </c>
      <c r="G869">
        <v>4.16</v>
      </c>
      <c r="H869">
        <v>41609</v>
      </c>
      <c r="I869">
        <v>1.94</v>
      </c>
      <c r="J869">
        <v>74.89</v>
      </c>
      <c r="K869" t="s">
        <v>51</v>
      </c>
    </row>
    <row r="870" spans="1:11">
      <c r="A870" t="str">
        <f>"002364"</f>
        <v>002364</v>
      </c>
      <c r="B870" t="s">
        <v>1151</v>
      </c>
      <c r="C870">
        <v>195.67</v>
      </c>
      <c r="D870">
        <v>39.01</v>
      </c>
      <c r="E870">
        <v>24.19</v>
      </c>
      <c r="F870">
        <v>5.64</v>
      </c>
      <c r="G870">
        <v>5.58</v>
      </c>
      <c r="H870">
        <v>77050</v>
      </c>
      <c r="I870">
        <v>8.17</v>
      </c>
      <c r="J870">
        <v>204.19</v>
      </c>
      <c r="K870" t="s">
        <v>1010</v>
      </c>
    </row>
    <row r="871" spans="1:11">
      <c r="A871" t="str">
        <f>"002365"</f>
        <v>002365</v>
      </c>
      <c r="B871" t="s">
        <v>1152</v>
      </c>
      <c r="C871">
        <v>38.7</v>
      </c>
      <c r="D871">
        <v>22.62</v>
      </c>
      <c r="E871">
        <v>19.76</v>
      </c>
      <c r="F871">
        <v>2.95</v>
      </c>
      <c r="G871">
        <v>2.46</v>
      </c>
      <c r="H871">
        <v>49527</v>
      </c>
      <c r="I871">
        <v>2.35</v>
      </c>
      <c r="J871">
        <v>136.61</v>
      </c>
      <c r="K871" t="s">
        <v>404</v>
      </c>
    </row>
    <row r="872" spans="1:11">
      <c r="A872" t="str">
        <f>"002366"</f>
        <v>002366</v>
      </c>
      <c r="B872" t="s">
        <v>1153</v>
      </c>
      <c r="C872">
        <v>158.02</v>
      </c>
      <c r="D872">
        <v>79.31</v>
      </c>
      <c r="E872">
        <v>45.66</v>
      </c>
      <c r="F872">
        <v>20.81</v>
      </c>
      <c r="G872">
        <v>18.5</v>
      </c>
      <c r="H872">
        <v>192783</v>
      </c>
      <c r="I872">
        <v>3.89</v>
      </c>
      <c r="J872" t="s">
        <v>14</v>
      </c>
      <c r="K872" t="s">
        <v>491</v>
      </c>
    </row>
    <row r="873" spans="1:11">
      <c r="A873" t="str">
        <f>"002367"</f>
        <v>002367</v>
      </c>
      <c r="B873" t="s">
        <v>1154</v>
      </c>
      <c r="C873">
        <v>61.74</v>
      </c>
      <c r="D873">
        <v>74.66</v>
      </c>
      <c r="E873">
        <v>36.18</v>
      </c>
      <c r="F873">
        <v>7.98</v>
      </c>
      <c r="G873">
        <v>7.95</v>
      </c>
      <c r="H873">
        <v>31966</v>
      </c>
      <c r="I873">
        <v>1.71</v>
      </c>
      <c r="J873">
        <v>14.48</v>
      </c>
      <c r="K873" t="s">
        <v>1155</v>
      </c>
    </row>
    <row r="874" spans="1:11">
      <c r="A874" t="str">
        <f>"002368"</f>
        <v>002368</v>
      </c>
      <c r="B874" t="s">
        <v>1156</v>
      </c>
      <c r="C874">
        <v>169.07</v>
      </c>
      <c r="D874">
        <v>152.32</v>
      </c>
      <c r="E874">
        <v>51.87</v>
      </c>
      <c r="F874">
        <v>6.23</v>
      </c>
      <c r="G874">
        <v>6.2</v>
      </c>
      <c r="H874">
        <v>56220</v>
      </c>
      <c r="I874">
        <v>3.27</v>
      </c>
      <c r="J874">
        <v>3147.73</v>
      </c>
      <c r="K874" t="s">
        <v>117</v>
      </c>
    </row>
    <row r="875" spans="1:11">
      <c r="A875" t="str">
        <f>"002369"</f>
        <v>002369</v>
      </c>
      <c r="B875" t="s">
        <v>1157</v>
      </c>
      <c r="C875">
        <v>51.64</v>
      </c>
      <c r="D875">
        <v>23.9</v>
      </c>
      <c r="E875">
        <v>3.1</v>
      </c>
      <c r="F875">
        <v>5.67</v>
      </c>
      <c r="G875">
        <v>5.66</v>
      </c>
      <c r="H875">
        <v>115116</v>
      </c>
      <c r="I875">
        <v>16.67</v>
      </c>
      <c r="J875" t="s">
        <v>14</v>
      </c>
      <c r="K875" t="s">
        <v>770</v>
      </c>
    </row>
    <row r="876" spans="1:11">
      <c r="A876" t="str">
        <f>"002370"</f>
        <v>002370</v>
      </c>
      <c r="B876" t="s">
        <v>1158</v>
      </c>
      <c r="C876">
        <v>56</v>
      </c>
      <c r="D876">
        <v>12.14</v>
      </c>
      <c r="E876">
        <v>11.21</v>
      </c>
      <c r="F876">
        <v>7.46</v>
      </c>
      <c r="G876">
        <v>7.46</v>
      </c>
      <c r="H876">
        <v>91465</v>
      </c>
      <c r="I876">
        <v>4.99</v>
      </c>
      <c r="J876">
        <v>43.21</v>
      </c>
      <c r="K876" t="s">
        <v>109</v>
      </c>
    </row>
    <row r="877" spans="1:11">
      <c r="A877" t="str">
        <f>"002371"</f>
        <v>002371</v>
      </c>
      <c r="B877" t="s">
        <v>1159</v>
      </c>
      <c r="C877">
        <v>3570.5</v>
      </c>
      <c r="D877">
        <v>858.94</v>
      </c>
      <c r="E877">
        <v>360.42</v>
      </c>
      <c r="F877">
        <v>7.24</v>
      </c>
      <c r="G877">
        <v>7.24</v>
      </c>
      <c r="H877">
        <v>63169</v>
      </c>
      <c r="I877">
        <v>9.91</v>
      </c>
      <c r="J877">
        <v>52.24</v>
      </c>
      <c r="K877" t="s">
        <v>1160</v>
      </c>
    </row>
    <row r="878" spans="1:11">
      <c r="A878" t="str">
        <f>"002372"</f>
        <v>002372</v>
      </c>
      <c r="B878" t="s">
        <v>1161</v>
      </c>
      <c r="C878">
        <v>161.06</v>
      </c>
      <c r="D878">
        <v>63.72</v>
      </c>
      <c r="E878">
        <v>48.41</v>
      </c>
      <c r="F878">
        <v>15.92</v>
      </c>
      <c r="G878">
        <v>14.71</v>
      </c>
      <c r="H878">
        <v>58131</v>
      </c>
      <c r="I878">
        <v>3.6</v>
      </c>
      <c r="J878">
        <v>24.23</v>
      </c>
      <c r="K878" t="s">
        <v>874</v>
      </c>
    </row>
    <row r="879" spans="1:11">
      <c r="A879" t="str">
        <f>"002373"</f>
        <v>002373</v>
      </c>
      <c r="B879" t="s">
        <v>1162</v>
      </c>
      <c r="C879">
        <v>185.15</v>
      </c>
      <c r="D879">
        <v>179.44</v>
      </c>
      <c r="E879">
        <v>114.44</v>
      </c>
      <c r="F879">
        <v>15.8</v>
      </c>
      <c r="G879">
        <v>13.78</v>
      </c>
      <c r="H879">
        <v>76079</v>
      </c>
      <c r="I879">
        <v>1.86</v>
      </c>
      <c r="J879">
        <v>84.3</v>
      </c>
      <c r="K879" t="s">
        <v>117</v>
      </c>
    </row>
    <row r="880" spans="1:11">
      <c r="A880" t="str">
        <f>"002374"</f>
        <v>002374</v>
      </c>
      <c r="B880" t="s">
        <v>1163</v>
      </c>
      <c r="C880">
        <v>40.59</v>
      </c>
      <c r="D880">
        <v>32.03</v>
      </c>
      <c r="E880">
        <v>8.43</v>
      </c>
      <c r="F880">
        <v>10.85</v>
      </c>
      <c r="G880">
        <v>10.85</v>
      </c>
      <c r="H880">
        <v>72810</v>
      </c>
      <c r="I880">
        <v>4.82</v>
      </c>
      <c r="J880" t="s">
        <v>14</v>
      </c>
      <c r="K880" t="s">
        <v>1164</v>
      </c>
    </row>
    <row r="881" spans="1:11">
      <c r="A881" t="str">
        <f>"002375"</f>
        <v>002375</v>
      </c>
      <c r="B881" t="s">
        <v>1165</v>
      </c>
      <c r="C881">
        <v>54.8</v>
      </c>
      <c r="D881">
        <v>219.99</v>
      </c>
      <c r="E881">
        <v>81.93</v>
      </c>
      <c r="F881">
        <v>13.4</v>
      </c>
      <c r="G881">
        <v>13.27</v>
      </c>
      <c r="H881">
        <v>29654</v>
      </c>
      <c r="I881">
        <v>0.68</v>
      </c>
      <c r="J881">
        <v>15.66</v>
      </c>
      <c r="K881" t="s">
        <v>804</v>
      </c>
    </row>
    <row r="882" spans="1:11">
      <c r="A882" t="str">
        <f>"002376"</f>
        <v>002376</v>
      </c>
      <c r="B882" t="s">
        <v>1166</v>
      </c>
      <c r="C882">
        <v>61.72</v>
      </c>
      <c r="D882">
        <v>57.74</v>
      </c>
      <c r="E882">
        <v>37.89</v>
      </c>
      <c r="F882">
        <v>8.11</v>
      </c>
      <c r="G882">
        <v>7.81</v>
      </c>
      <c r="H882">
        <v>48005</v>
      </c>
      <c r="I882">
        <v>1.69</v>
      </c>
      <c r="J882">
        <v>78.72</v>
      </c>
      <c r="K882" t="s">
        <v>88</v>
      </c>
    </row>
    <row r="883" spans="1:11">
      <c r="A883" t="str">
        <f>"002377"</f>
        <v>002377</v>
      </c>
      <c r="B883" t="s">
        <v>1167</v>
      </c>
      <c r="C883">
        <v>25.39</v>
      </c>
      <c r="D883">
        <v>10.87</v>
      </c>
      <c r="E883">
        <v>4.43</v>
      </c>
      <c r="F883">
        <v>9.16</v>
      </c>
      <c r="G883">
        <v>8.72</v>
      </c>
      <c r="H883">
        <v>26800</v>
      </c>
      <c r="I883">
        <v>6.02</v>
      </c>
      <c r="J883" t="s">
        <v>14</v>
      </c>
      <c r="K883" t="s">
        <v>73</v>
      </c>
    </row>
    <row r="884" spans="1:11">
      <c r="A884" t="str">
        <f>"002378"</f>
        <v>002378</v>
      </c>
      <c r="B884" t="s">
        <v>1168</v>
      </c>
      <c r="C884">
        <v>207.35</v>
      </c>
      <c r="D884">
        <v>54.87</v>
      </c>
      <c r="E884">
        <v>22.39</v>
      </c>
      <c r="F884">
        <v>12.01</v>
      </c>
      <c r="G884">
        <v>11.95</v>
      </c>
      <c r="H884">
        <v>98074</v>
      </c>
      <c r="I884">
        <v>9.31</v>
      </c>
      <c r="J884">
        <v>82.23</v>
      </c>
      <c r="K884" t="s">
        <v>322</v>
      </c>
    </row>
    <row r="885" spans="1:11">
      <c r="A885" t="str">
        <f>"002379"</f>
        <v>002379</v>
      </c>
      <c r="B885" t="s">
        <v>1169</v>
      </c>
      <c r="C885">
        <v>330.57</v>
      </c>
      <c r="D885">
        <v>30.11</v>
      </c>
      <c r="E885">
        <v>17.9</v>
      </c>
      <c r="F885">
        <v>130.31</v>
      </c>
      <c r="G885">
        <v>11.36</v>
      </c>
      <c r="H885">
        <v>22789</v>
      </c>
      <c r="I885">
        <v>18.47</v>
      </c>
      <c r="J885" t="s">
        <v>14</v>
      </c>
      <c r="K885" t="s">
        <v>288</v>
      </c>
    </row>
    <row r="886" spans="1:11">
      <c r="A886" t="str">
        <f>"002380"</f>
        <v>002380</v>
      </c>
      <c r="B886" t="s">
        <v>1170</v>
      </c>
      <c r="C886">
        <v>45.66</v>
      </c>
      <c r="D886">
        <v>38.73</v>
      </c>
      <c r="E886">
        <v>24.35</v>
      </c>
      <c r="F886">
        <v>2.4</v>
      </c>
      <c r="G886">
        <v>1.42</v>
      </c>
      <c r="H886">
        <v>24907</v>
      </c>
      <c r="I886">
        <v>3.17</v>
      </c>
      <c r="J886">
        <v>26.71</v>
      </c>
      <c r="K886" t="s">
        <v>117</v>
      </c>
    </row>
    <row r="887" spans="1:11">
      <c r="A887" t="str">
        <f>"002381"</f>
        <v>002381</v>
      </c>
      <c r="B887" t="s">
        <v>1171</v>
      </c>
      <c r="C887">
        <v>21.88</v>
      </c>
      <c r="D887">
        <v>37.93</v>
      </c>
      <c r="E887">
        <v>21.46</v>
      </c>
      <c r="F887">
        <v>4.12</v>
      </c>
      <c r="G887">
        <v>3.2</v>
      </c>
      <c r="H887">
        <v>23357</v>
      </c>
      <c r="I887">
        <v>1.32</v>
      </c>
      <c r="J887">
        <v>39.29</v>
      </c>
      <c r="K887" t="s">
        <v>705</v>
      </c>
    </row>
    <row r="888" spans="1:11">
      <c r="A888" t="str">
        <f>"002382"</f>
        <v>002382</v>
      </c>
      <c r="B888" t="s">
        <v>1172</v>
      </c>
      <c r="C888">
        <v>59.88</v>
      </c>
      <c r="D888">
        <v>164.55</v>
      </c>
      <c r="E888">
        <v>78.94</v>
      </c>
      <c r="F888">
        <v>10.07</v>
      </c>
      <c r="G888">
        <v>10</v>
      </c>
      <c r="H888">
        <v>74378</v>
      </c>
      <c r="I888">
        <v>0.78</v>
      </c>
      <c r="J888" t="s">
        <v>14</v>
      </c>
      <c r="K888" t="s">
        <v>1173</v>
      </c>
    </row>
    <row r="889" spans="1:11">
      <c r="A889" t="str">
        <f>"002383"</f>
        <v>002383</v>
      </c>
      <c r="B889" t="s">
        <v>1174</v>
      </c>
      <c r="C889">
        <v>95.8</v>
      </c>
      <c r="D889">
        <v>30.13</v>
      </c>
      <c r="E889">
        <v>16.93</v>
      </c>
      <c r="F889">
        <v>7.4</v>
      </c>
      <c r="G889">
        <v>7.4</v>
      </c>
      <c r="H889">
        <v>65195</v>
      </c>
      <c r="I889">
        <v>5.66</v>
      </c>
      <c r="J889">
        <v>916.6</v>
      </c>
      <c r="K889" t="s">
        <v>933</v>
      </c>
    </row>
    <row r="890" spans="1:11">
      <c r="A890" t="str">
        <f>"002384"</f>
        <v>002384</v>
      </c>
      <c r="B890" t="s">
        <v>1175</v>
      </c>
      <c r="C890">
        <v>1056.38</v>
      </c>
      <c r="D890">
        <v>518.95</v>
      </c>
      <c r="E890">
        <v>213.09</v>
      </c>
      <c r="F890">
        <v>18.32</v>
      </c>
      <c r="G890">
        <v>13.86</v>
      </c>
      <c r="H890">
        <v>101375</v>
      </c>
      <c r="I890">
        <v>6.55</v>
      </c>
      <c r="J890">
        <v>85.57</v>
      </c>
      <c r="K890" t="s">
        <v>472</v>
      </c>
    </row>
    <row r="891" spans="1:11">
      <c r="A891" t="str">
        <f>"002385"</f>
        <v>002385</v>
      </c>
      <c r="B891" t="s">
        <v>1176</v>
      </c>
      <c r="C891">
        <v>142.73</v>
      </c>
      <c r="D891">
        <v>305.46</v>
      </c>
      <c r="E891">
        <v>87.15</v>
      </c>
      <c r="F891">
        <v>43</v>
      </c>
      <c r="G891">
        <v>35.24</v>
      </c>
      <c r="H891">
        <v>227353</v>
      </c>
      <c r="I891">
        <v>2</v>
      </c>
      <c r="J891">
        <v>50.82</v>
      </c>
      <c r="K891" t="s">
        <v>359</v>
      </c>
    </row>
    <row r="892" spans="1:11">
      <c r="A892" t="str">
        <f>"002386"</f>
        <v>002386</v>
      </c>
      <c r="B892" t="s">
        <v>1177</v>
      </c>
      <c r="C892">
        <v>72.75</v>
      </c>
      <c r="D892">
        <v>192.76</v>
      </c>
      <c r="E892">
        <v>75.14</v>
      </c>
      <c r="F892">
        <v>13.02</v>
      </c>
      <c r="G892">
        <v>13.01</v>
      </c>
      <c r="H892">
        <v>51800</v>
      </c>
      <c r="I892">
        <v>0.97</v>
      </c>
      <c r="J892">
        <v>172.19</v>
      </c>
      <c r="K892" t="s">
        <v>177</v>
      </c>
    </row>
    <row r="893" spans="1:11">
      <c r="A893" t="str">
        <f>"002387"</f>
        <v>002387</v>
      </c>
      <c r="B893" t="s">
        <v>1178</v>
      </c>
      <c r="C893">
        <v>123.74</v>
      </c>
      <c r="D893">
        <v>391.56</v>
      </c>
      <c r="E893">
        <v>40.16</v>
      </c>
      <c r="F893">
        <v>13.97</v>
      </c>
      <c r="G893">
        <v>13.95</v>
      </c>
      <c r="H893">
        <v>66822</v>
      </c>
      <c r="I893">
        <v>3.09</v>
      </c>
      <c r="J893" t="s">
        <v>14</v>
      </c>
      <c r="K893" t="s">
        <v>39</v>
      </c>
    </row>
    <row r="894" spans="1:11">
      <c r="A894" t="str">
        <f>"002388"</f>
        <v>002388</v>
      </c>
      <c r="B894" t="s">
        <v>1179</v>
      </c>
      <c r="C894">
        <v>32.15</v>
      </c>
      <c r="D894">
        <v>28.8</v>
      </c>
      <c r="E894">
        <v>9.79</v>
      </c>
      <c r="F894">
        <v>5.11</v>
      </c>
      <c r="G894">
        <v>5.06</v>
      </c>
      <c r="H894">
        <v>26005</v>
      </c>
      <c r="I894">
        <v>3.31</v>
      </c>
      <c r="J894">
        <v>1438.91</v>
      </c>
      <c r="K894" t="s">
        <v>82</v>
      </c>
    </row>
    <row r="895" spans="1:11">
      <c r="A895" t="str">
        <f>"002389"</f>
        <v>002389</v>
      </c>
      <c r="B895" t="s">
        <v>1180</v>
      </c>
      <c r="C895">
        <v>253.08</v>
      </c>
      <c r="D895">
        <v>103.08</v>
      </c>
      <c r="E895">
        <v>79.9</v>
      </c>
      <c r="F895">
        <v>9.85</v>
      </c>
      <c r="G895">
        <v>9.85</v>
      </c>
      <c r="H895">
        <v>122462</v>
      </c>
      <c r="I895">
        <v>3.17</v>
      </c>
      <c r="J895">
        <v>3131.79</v>
      </c>
      <c r="K895" t="s">
        <v>353</v>
      </c>
    </row>
    <row r="896" spans="1:11">
      <c r="A896" t="str">
        <f>"002390"</f>
        <v>002390</v>
      </c>
      <c r="B896" t="s">
        <v>1181</v>
      </c>
      <c r="C896">
        <v>65.16</v>
      </c>
      <c r="D896">
        <v>85.92</v>
      </c>
      <c r="E896">
        <v>67.49</v>
      </c>
      <c r="F896">
        <v>19.44</v>
      </c>
      <c r="G896">
        <v>19.28</v>
      </c>
      <c r="H896">
        <v>64321</v>
      </c>
      <c r="I896">
        <v>0.97</v>
      </c>
      <c r="J896">
        <v>32.35</v>
      </c>
      <c r="K896" t="s">
        <v>48</v>
      </c>
    </row>
    <row r="897" spans="1:11">
      <c r="A897" t="str">
        <f>"002391"</f>
        <v>002391</v>
      </c>
      <c r="B897" t="s">
        <v>1182</v>
      </c>
      <c r="C897">
        <v>27.89</v>
      </c>
      <c r="D897">
        <v>92.69</v>
      </c>
      <c r="E897">
        <v>42.63</v>
      </c>
      <c r="F897">
        <v>6.5</v>
      </c>
      <c r="G897">
        <v>4.64</v>
      </c>
      <c r="H897">
        <v>26958</v>
      </c>
      <c r="I897">
        <v>0.92</v>
      </c>
      <c r="J897">
        <v>55.99</v>
      </c>
      <c r="K897" t="s">
        <v>196</v>
      </c>
    </row>
    <row r="898" spans="1:11">
      <c r="A898" t="str">
        <f>"002392"</f>
        <v>002392</v>
      </c>
      <c r="B898" t="s">
        <v>1183</v>
      </c>
      <c r="C898">
        <v>98.6</v>
      </c>
      <c r="D898">
        <v>102.95</v>
      </c>
      <c r="E898">
        <v>57.67</v>
      </c>
      <c r="F898">
        <v>11.9</v>
      </c>
      <c r="G898">
        <v>11.44</v>
      </c>
      <c r="H898">
        <v>43228</v>
      </c>
      <c r="I898">
        <v>1.78</v>
      </c>
      <c r="J898">
        <v>22.13</v>
      </c>
      <c r="K898" t="s">
        <v>827</v>
      </c>
    </row>
    <row r="899" spans="1:11">
      <c r="A899" t="str">
        <f>"002393"</f>
        <v>002393</v>
      </c>
      <c r="B899" t="s">
        <v>1184</v>
      </c>
      <c r="C899">
        <v>55.12</v>
      </c>
      <c r="D899">
        <v>59.21</v>
      </c>
      <c r="E899">
        <v>49.7</v>
      </c>
      <c r="F899">
        <v>2.58</v>
      </c>
      <c r="G899">
        <v>2.5</v>
      </c>
      <c r="H899">
        <v>23887</v>
      </c>
      <c r="I899">
        <v>1.14</v>
      </c>
      <c r="J899">
        <v>11.48</v>
      </c>
      <c r="K899" t="s">
        <v>109</v>
      </c>
    </row>
    <row r="900" spans="1:11">
      <c r="A900" t="str">
        <f>"002394"</f>
        <v>002394</v>
      </c>
      <c r="B900" t="s">
        <v>1185</v>
      </c>
      <c r="C900">
        <v>58.48</v>
      </c>
      <c r="D900">
        <v>60.86</v>
      </c>
      <c r="E900">
        <v>43.24</v>
      </c>
      <c r="F900">
        <v>3.24</v>
      </c>
      <c r="G900">
        <v>3.23</v>
      </c>
      <c r="H900">
        <v>19301</v>
      </c>
      <c r="I900">
        <v>1.35</v>
      </c>
      <c r="J900">
        <v>16.66</v>
      </c>
      <c r="K900" t="s">
        <v>391</v>
      </c>
    </row>
    <row r="901" spans="1:11">
      <c r="A901" t="str">
        <f>"002395"</f>
        <v>002395</v>
      </c>
      <c r="B901" t="s">
        <v>1186</v>
      </c>
      <c r="C901">
        <v>46.93</v>
      </c>
      <c r="D901">
        <v>23.91</v>
      </c>
      <c r="E901">
        <v>15.03</v>
      </c>
      <c r="F901">
        <v>2.68</v>
      </c>
      <c r="G901">
        <v>2.68</v>
      </c>
      <c r="H901">
        <v>14771</v>
      </c>
      <c r="I901">
        <v>3.12</v>
      </c>
      <c r="J901">
        <v>19.3</v>
      </c>
      <c r="K901" t="s">
        <v>1187</v>
      </c>
    </row>
    <row r="902" spans="1:11">
      <c r="A902" t="str">
        <f>"002396"</f>
        <v>002396</v>
      </c>
      <c r="B902" t="s">
        <v>1188</v>
      </c>
      <c r="C902">
        <v>185.02</v>
      </c>
      <c r="D902">
        <v>161.97</v>
      </c>
      <c r="E902">
        <v>69.04</v>
      </c>
      <c r="F902">
        <v>5.86</v>
      </c>
      <c r="G902">
        <v>5.83</v>
      </c>
      <c r="H902">
        <v>48959</v>
      </c>
      <c r="I902">
        <v>2.69</v>
      </c>
      <c r="J902">
        <v>40.46</v>
      </c>
      <c r="K902" t="s">
        <v>84</v>
      </c>
    </row>
    <row r="903" spans="1:11">
      <c r="A903" t="str">
        <f>"002397"</f>
        <v>002397</v>
      </c>
      <c r="B903" t="s">
        <v>1189</v>
      </c>
      <c r="C903">
        <v>26.04</v>
      </c>
      <c r="D903">
        <v>24.75</v>
      </c>
      <c r="E903">
        <v>12.1</v>
      </c>
      <c r="F903">
        <v>7.48</v>
      </c>
      <c r="G903">
        <v>6.48</v>
      </c>
      <c r="H903">
        <v>31384</v>
      </c>
      <c r="I903">
        <v>2.48</v>
      </c>
      <c r="J903">
        <v>85.02</v>
      </c>
      <c r="K903" t="s">
        <v>846</v>
      </c>
    </row>
    <row r="904" spans="1:11">
      <c r="A904" t="str">
        <f>"002398"</f>
        <v>002398</v>
      </c>
      <c r="B904" t="s">
        <v>1190</v>
      </c>
      <c r="C904">
        <v>34.33</v>
      </c>
      <c r="D904">
        <v>58.19</v>
      </c>
      <c r="E904">
        <v>36.74</v>
      </c>
      <c r="F904">
        <v>6.98</v>
      </c>
      <c r="G904">
        <v>5.69</v>
      </c>
      <c r="H904">
        <v>38936</v>
      </c>
      <c r="I904">
        <v>1.17</v>
      </c>
      <c r="J904">
        <v>32.36</v>
      </c>
      <c r="K904" t="s">
        <v>73</v>
      </c>
    </row>
    <row r="905" spans="1:11">
      <c r="A905" t="str">
        <f>"002399"</f>
        <v>002399</v>
      </c>
      <c r="B905" t="s">
        <v>1191</v>
      </c>
      <c r="C905">
        <v>153.41</v>
      </c>
      <c r="D905">
        <v>171.28</v>
      </c>
      <c r="E905">
        <v>123.7</v>
      </c>
      <c r="F905">
        <v>14.67</v>
      </c>
      <c r="G905">
        <v>12.47</v>
      </c>
      <c r="H905">
        <v>26982</v>
      </c>
      <c r="I905">
        <v>1.46</v>
      </c>
      <c r="J905">
        <v>24.45</v>
      </c>
      <c r="K905" t="s">
        <v>404</v>
      </c>
    </row>
    <row r="906" spans="1:11">
      <c r="A906" t="str">
        <f>"002400"</f>
        <v>002400</v>
      </c>
      <c r="B906" t="s">
        <v>1192</v>
      </c>
      <c r="C906">
        <v>238.38</v>
      </c>
      <c r="D906">
        <v>110.9</v>
      </c>
      <c r="E906">
        <v>49.97</v>
      </c>
      <c r="F906">
        <v>17.43</v>
      </c>
      <c r="G906">
        <v>17.26</v>
      </c>
      <c r="H906">
        <v>204090</v>
      </c>
      <c r="I906">
        <v>4.82</v>
      </c>
      <c r="J906">
        <v>187.9</v>
      </c>
      <c r="K906" t="s">
        <v>333</v>
      </c>
    </row>
    <row r="907" spans="1:11">
      <c r="A907" t="str">
        <f>"002401"</f>
        <v>002401</v>
      </c>
      <c r="B907" t="s">
        <v>1193</v>
      </c>
      <c r="C907">
        <v>64.8</v>
      </c>
      <c r="D907">
        <v>28.09</v>
      </c>
      <c r="E907">
        <v>16.34</v>
      </c>
      <c r="F907">
        <v>3.72</v>
      </c>
      <c r="G907">
        <v>3.71</v>
      </c>
      <c r="H907">
        <v>44596</v>
      </c>
      <c r="I907">
        <v>3.97</v>
      </c>
      <c r="J907">
        <v>366.54</v>
      </c>
      <c r="K907" t="s">
        <v>117</v>
      </c>
    </row>
    <row r="908" spans="1:11">
      <c r="A908" t="str">
        <f>"002402"</f>
        <v>002402</v>
      </c>
      <c r="B908" t="s">
        <v>1194</v>
      </c>
      <c r="C908">
        <v>323.3</v>
      </c>
      <c r="D908">
        <v>127.69</v>
      </c>
      <c r="E908">
        <v>52.54</v>
      </c>
      <c r="F908">
        <v>9.25</v>
      </c>
      <c r="G908">
        <v>8.06</v>
      </c>
      <c r="H908">
        <v>246264</v>
      </c>
      <c r="I908">
        <v>7.06</v>
      </c>
      <c r="J908">
        <v>46.15</v>
      </c>
      <c r="K908" t="s">
        <v>82</v>
      </c>
    </row>
    <row r="909" spans="1:11">
      <c r="A909" t="str">
        <f>"002403"</f>
        <v>002403</v>
      </c>
      <c r="B909" t="s">
        <v>1195</v>
      </c>
      <c r="C909">
        <v>38.42</v>
      </c>
      <c r="D909">
        <v>47.54</v>
      </c>
      <c r="E909">
        <v>16.02</v>
      </c>
      <c r="F909">
        <v>3.41</v>
      </c>
      <c r="G909">
        <v>2.97</v>
      </c>
      <c r="H909">
        <v>47929</v>
      </c>
      <c r="I909">
        <v>2.75</v>
      </c>
      <c r="J909" t="s">
        <v>14</v>
      </c>
      <c r="K909" t="s">
        <v>660</v>
      </c>
    </row>
    <row r="910" spans="1:11">
      <c r="A910" t="str">
        <f>"002404"</f>
        <v>002404</v>
      </c>
      <c r="B910" t="s">
        <v>1196</v>
      </c>
      <c r="C910">
        <v>31.72</v>
      </c>
      <c r="D910">
        <v>35.39</v>
      </c>
      <c r="E910">
        <v>19.77</v>
      </c>
      <c r="F910">
        <v>5.6</v>
      </c>
      <c r="G910">
        <v>4.56</v>
      </c>
      <c r="H910">
        <v>26297</v>
      </c>
      <c r="I910">
        <v>1.97</v>
      </c>
      <c r="J910">
        <v>19.21</v>
      </c>
      <c r="K910" t="s">
        <v>577</v>
      </c>
    </row>
    <row r="911" spans="1:11">
      <c r="A911" t="str">
        <f>"002405"</f>
        <v>002405</v>
      </c>
      <c r="B911" t="s">
        <v>1197</v>
      </c>
      <c r="C911">
        <v>249.25</v>
      </c>
      <c r="D911">
        <v>106.49</v>
      </c>
      <c r="E911">
        <v>82.26</v>
      </c>
      <c r="F911">
        <v>23.71</v>
      </c>
      <c r="G911">
        <v>23.56</v>
      </c>
      <c r="H911">
        <v>206155</v>
      </c>
      <c r="I911">
        <v>3.05</v>
      </c>
      <c r="J911" t="s">
        <v>14</v>
      </c>
      <c r="K911" t="s">
        <v>117</v>
      </c>
    </row>
    <row r="912" spans="1:11">
      <c r="A912" t="str">
        <f>"002406"</f>
        <v>002406</v>
      </c>
      <c r="B912" t="s">
        <v>1198</v>
      </c>
      <c r="C912">
        <v>48.66</v>
      </c>
      <c r="D912">
        <v>48.85</v>
      </c>
      <c r="E912">
        <v>40.12</v>
      </c>
      <c r="F912">
        <v>7.3</v>
      </c>
      <c r="G912">
        <v>6.02</v>
      </c>
      <c r="H912">
        <v>66822</v>
      </c>
      <c r="I912">
        <v>1.47</v>
      </c>
      <c r="J912">
        <v>46.41</v>
      </c>
      <c r="K912" t="s">
        <v>51</v>
      </c>
    </row>
    <row r="913" spans="1:11">
      <c r="A913" t="str">
        <f>"002407"</f>
        <v>002407</v>
      </c>
      <c r="B913" t="s">
        <v>1199</v>
      </c>
      <c r="C913">
        <v>340.91</v>
      </c>
      <c r="D913">
        <v>243.41</v>
      </c>
      <c r="E913">
        <v>82.71</v>
      </c>
      <c r="F913">
        <v>11.9</v>
      </c>
      <c r="G913">
        <v>10.81</v>
      </c>
      <c r="H913">
        <v>214234</v>
      </c>
      <c r="I913">
        <v>4.54</v>
      </c>
      <c r="J913">
        <v>360.88</v>
      </c>
      <c r="K913" t="s">
        <v>1115</v>
      </c>
    </row>
    <row r="914" spans="1:11">
      <c r="A914" t="str">
        <f>"002408"</f>
        <v>002408</v>
      </c>
      <c r="B914" t="s">
        <v>1200</v>
      </c>
      <c r="C914">
        <v>138.38</v>
      </c>
      <c r="D914">
        <v>247.45</v>
      </c>
      <c r="E914">
        <v>115.16</v>
      </c>
      <c r="F914">
        <v>28.43</v>
      </c>
      <c r="G914">
        <v>27.51</v>
      </c>
      <c r="H914">
        <v>56508</v>
      </c>
      <c r="I914">
        <v>1.25</v>
      </c>
      <c r="J914" t="s">
        <v>14</v>
      </c>
      <c r="K914" t="s">
        <v>1201</v>
      </c>
    </row>
    <row r="915" spans="1:11">
      <c r="A915" t="str">
        <f>"002409"</f>
        <v>002409</v>
      </c>
      <c r="B915" t="s">
        <v>1202</v>
      </c>
      <c r="C915">
        <v>276.86</v>
      </c>
      <c r="D915">
        <v>163.15</v>
      </c>
      <c r="E915">
        <v>78.09</v>
      </c>
      <c r="F915">
        <v>4.76</v>
      </c>
      <c r="G915">
        <v>3.19</v>
      </c>
      <c r="H915">
        <v>59340</v>
      </c>
      <c r="I915">
        <v>5.3</v>
      </c>
      <c r="J915">
        <v>38.97</v>
      </c>
      <c r="K915" t="s">
        <v>884</v>
      </c>
    </row>
    <row r="916" spans="1:11">
      <c r="A916" t="str">
        <f>"002410"</f>
        <v>002410</v>
      </c>
      <c r="B916" t="s">
        <v>1203</v>
      </c>
      <c r="C916">
        <v>236.15</v>
      </c>
      <c r="D916">
        <v>96.05</v>
      </c>
      <c r="E916">
        <v>59.5</v>
      </c>
      <c r="F916">
        <v>16.52</v>
      </c>
      <c r="G916">
        <v>15.88</v>
      </c>
      <c r="H916">
        <v>97538</v>
      </c>
      <c r="I916">
        <v>4.13</v>
      </c>
      <c r="J916">
        <v>59.21</v>
      </c>
      <c r="K916" t="s">
        <v>924</v>
      </c>
    </row>
    <row r="917" spans="1:11">
      <c r="A917" t="str">
        <f>"002412"</f>
        <v>002412</v>
      </c>
      <c r="B917" t="s">
        <v>1204</v>
      </c>
      <c r="C917">
        <v>33.95</v>
      </c>
      <c r="D917">
        <v>25.62</v>
      </c>
      <c r="E917">
        <v>22.61</v>
      </c>
      <c r="F917">
        <v>5.03</v>
      </c>
      <c r="G917">
        <v>4.98</v>
      </c>
      <c r="H917">
        <v>24145</v>
      </c>
      <c r="I917">
        <v>1.52</v>
      </c>
      <c r="J917">
        <v>31.19</v>
      </c>
      <c r="K917" t="s">
        <v>155</v>
      </c>
    </row>
    <row r="918" spans="1:11">
      <c r="A918" t="str">
        <f>"002413"</f>
        <v>002413</v>
      </c>
      <c r="B918" t="s">
        <v>1205</v>
      </c>
      <c r="C918">
        <v>210.9</v>
      </c>
      <c r="D918">
        <v>50.9</v>
      </c>
      <c r="E918">
        <v>33.51</v>
      </c>
      <c r="F918">
        <v>13.17</v>
      </c>
      <c r="G918">
        <v>12.93</v>
      </c>
      <c r="H918">
        <v>297474</v>
      </c>
      <c r="I918">
        <v>6.42</v>
      </c>
      <c r="J918" t="s">
        <v>14</v>
      </c>
      <c r="K918" t="s">
        <v>223</v>
      </c>
    </row>
    <row r="919" spans="1:11">
      <c r="A919" t="str">
        <f>"002414"</f>
        <v>002414</v>
      </c>
      <c r="B919" t="s">
        <v>1206</v>
      </c>
      <c r="C919">
        <v>560.09</v>
      </c>
      <c r="D919">
        <v>105.34</v>
      </c>
      <c r="E919">
        <v>69.28</v>
      </c>
      <c r="F919">
        <v>42.71</v>
      </c>
      <c r="G919">
        <v>33.99</v>
      </c>
      <c r="H919">
        <v>133629</v>
      </c>
      <c r="I919">
        <v>10.16</v>
      </c>
      <c r="J919">
        <v>90.71</v>
      </c>
      <c r="K919" t="s">
        <v>223</v>
      </c>
    </row>
    <row r="920" spans="1:11">
      <c r="A920" t="str">
        <f>"002415"</f>
        <v>002415</v>
      </c>
      <c r="B920" t="s">
        <v>1207</v>
      </c>
      <c r="C920">
        <v>2843.29</v>
      </c>
      <c r="D920">
        <v>1298.63</v>
      </c>
      <c r="E920">
        <v>783.94</v>
      </c>
      <c r="F920">
        <v>91.65</v>
      </c>
      <c r="G920">
        <v>90.46</v>
      </c>
      <c r="H920">
        <v>387222</v>
      </c>
      <c r="I920">
        <v>3.67</v>
      </c>
      <c r="J920">
        <v>23.18</v>
      </c>
      <c r="K920" t="s">
        <v>1022</v>
      </c>
    </row>
    <row r="921" spans="1:11">
      <c r="A921" t="str">
        <f>"002416"</f>
        <v>002416</v>
      </c>
      <c r="B921" t="s">
        <v>1208</v>
      </c>
      <c r="C921">
        <v>165.35</v>
      </c>
      <c r="D921">
        <v>128.13</v>
      </c>
      <c r="E921">
        <v>58.23</v>
      </c>
      <c r="F921">
        <v>12.39</v>
      </c>
      <c r="G921">
        <v>12.24</v>
      </c>
      <c r="H921">
        <v>76159</v>
      </c>
      <c r="I921">
        <v>2.88</v>
      </c>
      <c r="J921">
        <v>37.24</v>
      </c>
      <c r="K921" t="s">
        <v>477</v>
      </c>
    </row>
    <row r="922" spans="1:11">
      <c r="A922" t="str">
        <f>"002418"</f>
        <v>002418</v>
      </c>
      <c r="B922" t="s">
        <v>1209</v>
      </c>
      <c r="C922">
        <v>57.16</v>
      </c>
      <c r="D922">
        <v>32.34</v>
      </c>
      <c r="E922">
        <v>14.4</v>
      </c>
      <c r="F922">
        <v>11.36</v>
      </c>
      <c r="G922">
        <v>11.36</v>
      </c>
      <c r="H922">
        <v>81261</v>
      </c>
      <c r="I922">
        <v>3.97</v>
      </c>
      <c r="J922">
        <v>309.92</v>
      </c>
      <c r="K922" t="s">
        <v>134</v>
      </c>
    </row>
    <row r="923" spans="1:11">
      <c r="A923" t="str">
        <f>"002419"</f>
        <v>002419</v>
      </c>
      <c r="B923" t="s">
        <v>1210</v>
      </c>
      <c r="C923">
        <v>70.12</v>
      </c>
      <c r="D923">
        <v>264.51</v>
      </c>
      <c r="E923">
        <v>40.91</v>
      </c>
      <c r="F923">
        <v>11.69</v>
      </c>
      <c r="G923">
        <v>11.69</v>
      </c>
      <c r="H923">
        <v>36848</v>
      </c>
      <c r="I923">
        <v>1.71</v>
      </c>
      <c r="J923">
        <v>84.1</v>
      </c>
      <c r="K923" t="s">
        <v>146</v>
      </c>
    </row>
    <row r="924" spans="1:11">
      <c r="A924" t="str">
        <f>"002420"</f>
        <v>002420</v>
      </c>
      <c r="B924" t="s">
        <v>1211</v>
      </c>
      <c r="C924">
        <v>31.01</v>
      </c>
      <c r="D924">
        <v>25.26</v>
      </c>
      <c r="E924">
        <v>6.16</v>
      </c>
      <c r="F924">
        <v>4.11</v>
      </c>
      <c r="G924">
        <v>4</v>
      </c>
      <c r="H924">
        <v>31256</v>
      </c>
      <c r="I924">
        <v>5.18</v>
      </c>
      <c r="J924">
        <v>62.86</v>
      </c>
      <c r="K924" t="s">
        <v>134</v>
      </c>
    </row>
    <row r="925" spans="1:11">
      <c r="A925" t="str">
        <f>"002421"</f>
        <v>002421</v>
      </c>
      <c r="B925" t="s">
        <v>1212</v>
      </c>
      <c r="C925">
        <v>63.41</v>
      </c>
      <c r="D925">
        <v>74.76</v>
      </c>
      <c r="E925">
        <v>29.7</v>
      </c>
      <c r="F925">
        <v>21.21</v>
      </c>
      <c r="G925">
        <v>20.07</v>
      </c>
      <c r="H925">
        <v>129542</v>
      </c>
      <c r="I925">
        <v>2.26</v>
      </c>
      <c r="J925" t="s">
        <v>14</v>
      </c>
      <c r="K925" t="s">
        <v>117</v>
      </c>
    </row>
    <row r="926" spans="1:11">
      <c r="A926" t="str">
        <f>"002422"</f>
        <v>002422</v>
      </c>
      <c r="B926" t="s">
        <v>1213</v>
      </c>
      <c r="C926">
        <v>433.42</v>
      </c>
      <c r="D926">
        <v>401.04</v>
      </c>
      <c r="E926">
        <v>237.08</v>
      </c>
      <c r="F926">
        <v>15.98</v>
      </c>
      <c r="G926">
        <v>13.06</v>
      </c>
      <c r="H926">
        <v>37098</v>
      </c>
      <c r="I926">
        <v>2.24</v>
      </c>
      <c r="J926">
        <v>33.13</v>
      </c>
      <c r="K926" t="s">
        <v>109</v>
      </c>
    </row>
    <row r="927" spans="1:11">
      <c r="A927" t="str">
        <f>"002423"</f>
        <v>002423</v>
      </c>
      <c r="B927" t="s">
        <v>1214</v>
      </c>
      <c r="C927">
        <v>281.1</v>
      </c>
      <c r="D927">
        <v>1743.02</v>
      </c>
      <c r="E927">
        <v>223.18</v>
      </c>
      <c r="F927">
        <v>23.04</v>
      </c>
      <c r="G927">
        <v>23.04</v>
      </c>
      <c r="H927">
        <v>116000</v>
      </c>
      <c r="I927">
        <v>1.26</v>
      </c>
      <c r="J927">
        <v>20.56</v>
      </c>
      <c r="K927" t="s">
        <v>292</v>
      </c>
    </row>
    <row r="928" spans="1:11">
      <c r="A928" t="str">
        <f>"002424"</f>
        <v>002424</v>
      </c>
      <c r="B928" t="s">
        <v>1215</v>
      </c>
      <c r="C928">
        <v>49.62</v>
      </c>
      <c r="D928">
        <v>62.86</v>
      </c>
      <c r="E928">
        <v>32.63</v>
      </c>
      <c r="F928">
        <v>13.98</v>
      </c>
      <c r="G928">
        <v>12.13</v>
      </c>
      <c r="H928">
        <v>74480</v>
      </c>
      <c r="I928">
        <v>1.75</v>
      </c>
      <c r="J928">
        <v>75.46</v>
      </c>
      <c r="K928" t="s">
        <v>155</v>
      </c>
    </row>
    <row r="929" spans="1:11">
      <c r="A929" t="str">
        <f>"002425"</f>
        <v>002425</v>
      </c>
      <c r="B929" t="s">
        <v>1216</v>
      </c>
      <c r="C929">
        <v>40.82</v>
      </c>
      <c r="D929">
        <v>32.87</v>
      </c>
      <c r="E929">
        <v>28.92</v>
      </c>
      <c r="F929">
        <v>9.57</v>
      </c>
      <c r="G929">
        <v>9.56</v>
      </c>
      <c r="H929">
        <v>47425</v>
      </c>
      <c r="I929">
        <v>1.41</v>
      </c>
      <c r="J929" t="s">
        <v>14</v>
      </c>
      <c r="K929" t="s">
        <v>950</v>
      </c>
    </row>
    <row r="930" spans="1:11">
      <c r="A930" t="str">
        <f>"002426"</f>
        <v>002426</v>
      </c>
      <c r="B930" t="s">
        <v>1217</v>
      </c>
      <c r="C930">
        <v>136.44</v>
      </c>
      <c r="D930">
        <v>65.86</v>
      </c>
      <c r="E930">
        <v>24.13</v>
      </c>
      <c r="F930">
        <v>34.03</v>
      </c>
      <c r="G930">
        <v>34.03</v>
      </c>
      <c r="H930">
        <v>179664</v>
      </c>
      <c r="I930">
        <v>5.66</v>
      </c>
      <c r="J930" t="s">
        <v>14</v>
      </c>
      <c r="K930" t="s">
        <v>41</v>
      </c>
    </row>
    <row r="931" spans="1:11">
      <c r="A931" t="str">
        <f>"002427"</f>
        <v>002427</v>
      </c>
      <c r="B931" t="s">
        <v>1218</v>
      </c>
      <c r="C931">
        <v>72.18</v>
      </c>
      <c r="D931">
        <v>24.66</v>
      </c>
      <c r="E931">
        <v>9.48</v>
      </c>
      <c r="F931">
        <v>9.85</v>
      </c>
      <c r="G931">
        <v>9.85</v>
      </c>
      <c r="H931">
        <v>61390</v>
      </c>
      <c r="I931">
        <v>7.62</v>
      </c>
      <c r="J931">
        <v>279.3</v>
      </c>
      <c r="K931" t="s">
        <v>122</v>
      </c>
    </row>
    <row r="932" spans="1:11">
      <c r="A932" t="str">
        <f>"002428"</f>
        <v>002428</v>
      </c>
      <c r="B932" t="s">
        <v>1219</v>
      </c>
      <c r="C932">
        <v>241.88</v>
      </c>
      <c r="D932">
        <v>35</v>
      </c>
      <c r="E932">
        <v>14.55</v>
      </c>
      <c r="F932">
        <v>6.53</v>
      </c>
      <c r="G932">
        <v>6.53</v>
      </c>
      <c r="H932">
        <v>88860</v>
      </c>
      <c r="I932">
        <v>16.62</v>
      </c>
      <c r="J932">
        <v>999.76</v>
      </c>
      <c r="K932" t="s">
        <v>301</v>
      </c>
    </row>
    <row r="933" spans="1:11">
      <c r="A933" t="str">
        <f>"002429"</f>
        <v>002429</v>
      </c>
      <c r="B933" t="s">
        <v>1220</v>
      </c>
      <c r="C933">
        <v>436.15</v>
      </c>
      <c r="D933">
        <v>280</v>
      </c>
      <c r="E933">
        <v>164.06</v>
      </c>
      <c r="F933">
        <v>45.27</v>
      </c>
      <c r="G933">
        <v>45.24</v>
      </c>
      <c r="H933">
        <v>101351</v>
      </c>
      <c r="I933">
        <v>2.66</v>
      </c>
      <c r="J933">
        <v>32.72</v>
      </c>
      <c r="K933" t="s">
        <v>33</v>
      </c>
    </row>
    <row r="934" spans="1:11">
      <c r="A934" t="str">
        <f>"002430"</f>
        <v>002430</v>
      </c>
      <c r="B934" t="s">
        <v>1221</v>
      </c>
      <c r="C934">
        <v>310.51</v>
      </c>
      <c r="D934">
        <v>255.06</v>
      </c>
      <c r="E934">
        <v>97.74</v>
      </c>
      <c r="F934">
        <v>9.78</v>
      </c>
      <c r="G934">
        <v>9.78</v>
      </c>
      <c r="H934">
        <v>43757</v>
      </c>
      <c r="I934">
        <v>3.21</v>
      </c>
      <c r="J934">
        <v>30.76</v>
      </c>
      <c r="K934" t="s">
        <v>493</v>
      </c>
    </row>
    <row r="935" spans="1:11">
      <c r="A935" t="str">
        <f>"002431"</f>
        <v>002431</v>
      </c>
      <c r="B935" t="s">
        <v>1222</v>
      </c>
      <c r="C935">
        <v>47.04</v>
      </c>
      <c r="D935">
        <v>184.42</v>
      </c>
      <c r="E935">
        <v>11.4</v>
      </c>
      <c r="F935">
        <v>18.02</v>
      </c>
      <c r="G935">
        <v>18.02</v>
      </c>
      <c r="H935">
        <v>74700</v>
      </c>
      <c r="I935">
        <v>4.15</v>
      </c>
      <c r="J935" t="s">
        <v>14</v>
      </c>
      <c r="K935" t="s">
        <v>26</v>
      </c>
    </row>
    <row r="936" spans="1:11">
      <c r="A936" t="str">
        <f>"002432"</f>
        <v>002432</v>
      </c>
      <c r="B936" t="s">
        <v>1223</v>
      </c>
      <c r="C936">
        <v>187.17</v>
      </c>
      <c r="D936">
        <v>289.82</v>
      </c>
      <c r="E936">
        <v>221.89</v>
      </c>
      <c r="F936">
        <v>4.65</v>
      </c>
      <c r="G936">
        <v>4.38</v>
      </c>
      <c r="H936">
        <v>68500</v>
      </c>
      <c r="I936">
        <v>0.89</v>
      </c>
      <c r="J936">
        <v>9.37</v>
      </c>
      <c r="K936" t="s">
        <v>1005</v>
      </c>
    </row>
    <row r="937" spans="1:11">
      <c r="A937" t="str">
        <f>"002434"</f>
        <v>002434</v>
      </c>
      <c r="B937" t="s">
        <v>1224</v>
      </c>
      <c r="C937">
        <v>123.4</v>
      </c>
      <c r="D937">
        <v>102.03</v>
      </c>
      <c r="E937">
        <v>59.49</v>
      </c>
      <c r="F937">
        <v>13.13</v>
      </c>
      <c r="G937">
        <v>13.11</v>
      </c>
      <c r="H937">
        <v>37021</v>
      </c>
      <c r="I937">
        <v>2.08</v>
      </c>
      <c r="J937">
        <v>27.19</v>
      </c>
      <c r="K937" t="s">
        <v>51</v>
      </c>
    </row>
    <row r="938" spans="1:11">
      <c r="A938" t="str">
        <f>"002436"</f>
        <v>002436</v>
      </c>
      <c r="B938" t="s">
        <v>1225</v>
      </c>
      <c r="C938">
        <v>338.35</v>
      </c>
      <c r="D938">
        <v>149.82</v>
      </c>
      <c r="E938">
        <v>53.92</v>
      </c>
      <c r="F938">
        <v>17</v>
      </c>
      <c r="G938">
        <v>15.1</v>
      </c>
      <c r="H938">
        <v>102000</v>
      </c>
      <c r="I938">
        <v>7.06</v>
      </c>
      <c r="J938">
        <v>217.16</v>
      </c>
      <c r="K938" t="s">
        <v>472</v>
      </c>
    </row>
    <row r="939" spans="1:11">
      <c r="A939" t="str">
        <f>"002437"</f>
        <v>002437</v>
      </c>
      <c r="B939" t="s">
        <v>1226</v>
      </c>
      <c r="C939">
        <v>68.64</v>
      </c>
      <c r="D939">
        <v>30.3</v>
      </c>
      <c r="E939">
        <v>21.57</v>
      </c>
      <c r="F939">
        <v>22.32</v>
      </c>
      <c r="G939">
        <v>20.99</v>
      </c>
      <c r="H939">
        <v>98100</v>
      </c>
      <c r="I939">
        <v>3.4</v>
      </c>
      <c r="J939">
        <v>22.46</v>
      </c>
      <c r="K939" t="s">
        <v>109</v>
      </c>
    </row>
    <row r="940" spans="1:11">
      <c r="A940" t="str">
        <f>"002438"</f>
        <v>002438</v>
      </c>
      <c r="B940" t="s">
        <v>1227</v>
      </c>
      <c r="C940">
        <v>74.18</v>
      </c>
      <c r="D940">
        <v>60.37</v>
      </c>
      <c r="E940">
        <v>36.7</v>
      </c>
      <c r="F940">
        <v>5.08</v>
      </c>
      <c r="G940">
        <v>4.69</v>
      </c>
      <c r="H940">
        <v>30786</v>
      </c>
      <c r="I940">
        <v>2.19</v>
      </c>
      <c r="J940">
        <v>25.7</v>
      </c>
      <c r="K940" t="s">
        <v>424</v>
      </c>
    </row>
    <row r="941" spans="1:11">
      <c r="A941" t="str">
        <f>"002439"</f>
        <v>002439</v>
      </c>
      <c r="B941" t="s">
        <v>1228</v>
      </c>
      <c r="C941">
        <v>113.01</v>
      </c>
      <c r="D941">
        <v>131.64</v>
      </c>
      <c r="E941">
        <v>111.94</v>
      </c>
      <c r="F941">
        <v>12.11</v>
      </c>
      <c r="G941">
        <v>7.25</v>
      </c>
      <c r="H941">
        <v>94870</v>
      </c>
      <c r="I941">
        <v>1.69</v>
      </c>
      <c r="J941" t="s">
        <v>14</v>
      </c>
      <c r="K941" t="s">
        <v>17</v>
      </c>
    </row>
    <row r="942" spans="1:11">
      <c r="A942" t="str">
        <f>"002440"</f>
        <v>002440</v>
      </c>
      <c r="B942" t="s">
        <v>1229</v>
      </c>
      <c r="C942">
        <v>72.68</v>
      </c>
      <c r="D942">
        <v>115.1</v>
      </c>
      <c r="E942">
        <v>94.98</v>
      </c>
      <c r="F942">
        <v>11.24</v>
      </c>
      <c r="G942">
        <v>9.46</v>
      </c>
      <c r="H942">
        <v>32764</v>
      </c>
      <c r="I942">
        <v>0.91</v>
      </c>
      <c r="J942">
        <v>28.77</v>
      </c>
      <c r="K942" t="s">
        <v>812</v>
      </c>
    </row>
    <row r="943" spans="1:11">
      <c r="A943" t="str">
        <f>"002441"</f>
        <v>002441</v>
      </c>
      <c r="B943" t="s">
        <v>1230</v>
      </c>
      <c r="C943">
        <v>37.87</v>
      </c>
      <c r="D943">
        <v>70.14</v>
      </c>
      <c r="E943">
        <v>45.78</v>
      </c>
      <c r="F943">
        <v>5.45</v>
      </c>
      <c r="G943">
        <v>3.99</v>
      </c>
      <c r="H943">
        <v>27847</v>
      </c>
      <c r="I943">
        <v>1.13</v>
      </c>
      <c r="J943">
        <v>21.42</v>
      </c>
      <c r="K943" t="s">
        <v>943</v>
      </c>
    </row>
    <row r="944" spans="1:11">
      <c r="A944" t="str">
        <f>"002442"</f>
        <v>002442</v>
      </c>
      <c r="B944" t="s">
        <v>1231</v>
      </c>
      <c r="C944">
        <v>30.69</v>
      </c>
      <c r="D944">
        <v>45.15</v>
      </c>
      <c r="E944">
        <v>18.46</v>
      </c>
      <c r="F944">
        <v>5.03</v>
      </c>
      <c r="G944">
        <v>4.93</v>
      </c>
      <c r="H944">
        <v>23561</v>
      </c>
      <c r="I944">
        <v>1.71</v>
      </c>
      <c r="J944">
        <v>38.55</v>
      </c>
      <c r="K944" t="s">
        <v>619</v>
      </c>
    </row>
    <row r="945" spans="1:11">
      <c r="A945" t="str">
        <f>"002443"</f>
        <v>002443</v>
      </c>
      <c r="B945" t="s">
        <v>1232</v>
      </c>
      <c r="C945">
        <v>45.03</v>
      </c>
      <c r="D945">
        <v>46.58</v>
      </c>
      <c r="E945">
        <v>34.2</v>
      </c>
      <c r="F945">
        <v>5.21</v>
      </c>
      <c r="G945">
        <v>5.19</v>
      </c>
      <c r="H945">
        <v>28127</v>
      </c>
      <c r="I945">
        <v>1.32</v>
      </c>
      <c r="J945">
        <v>36.11</v>
      </c>
      <c r="K945" t="s">
        <v>364</v>
      </c>
    </row>
    <row r="946" spans="1:11">
      <c r="A946" t="str">
        <f>"002444"</f>
        <v>002444</v>
      </c>
      <c r="B946" t="s">
        <v>1233</v>
      </c>
      <c r="C946">
        <v>435.3</v>
      </c>
      <c r="D946">
        <v>232.53</v>
      </c>
      <c r="E946">
        <v>189.16</v>
      </c>
      <c r="F946">
        <v>11.94</v>
      </c>
      <c r="G946">
        <v>11.47</v>
      </c>
      <c r="H946">
        <v>36255</v>
      </c>
      <c r="I946">
        <v>2.4</v>
      </c>
      <c r="J946">
        <v>15.77</v>
      </c>
      <c r="K946" t="s">
        <v>744</v>
      </c>
    </row>
    <row r="947" spans="1:11">
      <c r="A947" t="str">
        <f>"002445"</f>
        <v>002445</v>
      </c>
      <c r="B947" t="s">
        <v>1234</v>
      </c>
      <c r="C947">
        <v>64.6</v>
      </c>
      <c r="D947">
        <v>29.63</v>
      </c>
      <c r="E947">
        <v>22.65</v>
      </c>
      <c r="F947">
        <v>23.77</v>
      </c>
      <c r="G947">
        <v>23.66</v>
      </c>
      <c r="H947">
        <v>54670</v>
      </c>
      <c r="I947">
        <v>2.86</v>
      </c>
      <c r="J947">
        <v>59.18</v>
      </c>
      <c r="K947" t="s">
        <v>63</v>
      </c>
    </row>
    <row r="948" spans="1:11">
      <c r="A948" t="str">
        <f>"002446"</f>
        <v>002446</v>
      </c>
      <c r="B948" t="s">
        <v>1235</v>
      </c>
      <c r="C948">
        <v>113.09</v>
      </c>
      <c r="D948">
        <v>38.23</v>
      </c>
      <c r="E948">
        <v>25.44</v>
      </c>
      <c r="F948">
        <v>9.15</v>
      </c>
      <c r="G948">
        <v>8.48</v>
      </c>
      <c r="H948">
        <v>67633</v>
      </c>
      <c r="I948">
        <v>4.8</v>
      </c>
      <c r="J948">
        <v>108.94</v>
      </c>
      <c r="K948" t="s">
        <v>223</v>
      </c>
    </row>
    <row r="949" spans="1:11">
      <c r="A949" t="str">
        <f>"002448"</f>
        <v>002448</v>
      </c>
      <c r="B949" t="s">
        <v>1236</v>
      </c>
      <c r="C949">
        <v>58.4</v>
      </c>
      <c r="D949">
        <v>61.39</v>
      </c>
      <c r="E949">
        <v>37.28</v>
      </c>
      <c r="F949">
        <v>5.88</v>
      </c>
      <c r="G949">
        <v>4.56</v>
      </c>
      <c r="H949">
        <v>43216</v>
      </c>
      <c r="I949">
        <v>2.02</v>
      </c>
      <c r="J949">
        <v>17.36</v>
      </c>
      <c r="K949" t="s">
        <v>51</v>
      </c>
    </row>
    <row r="950" spans="1:11">
      <c r="A950" t="str">
        <f>"002449"</f>
        <v>002449</v>
      </c>
      <c r="B950" t="s">
        <v>1237</v>
      </c>
      <c r="C950">
        <v>54.18</v>
      </c>
      <c r="D950">
        <v>61.36</v>
      </c>
      <c r="E950">
        <v>38.32</v>
      </c>
      <c r="F950">
        <v>6.18</v>
      </c>
      <c r="G950">
        <v>6.18</v>
      </c>
      <c r="H950">
        <v>64643</v>
      </c>
      <c r="I950">
        <v>1.41</v>
      </c>
      <c r="J950">
        <v>130.58</v>
      </c>
      <c r="K950" t="s">
        <v>216</v>
      </c>
    </row>
    <row r="951" spans="1:11">
      <c r="A951" t="str">
        <f>"002451"</f>
        <v>002451</v>
      </c>
      <c r="B951" t="s">
        <v>1238</v>
      </c>
      <c r="C951">
        <v>53.01</v>
      </c>
      <c r="D951">
        <v>20.6</v>
      </c>
      <c r="E951">
        <v>7.75</v>
      </c>
      <c r="F951">
        <v>4.41</v>
      </c>
      <c r="G951">
        <v>4.39</v>
      </c>
      <c r="H951">
        <v>76508</v>
      </c>
      <c r="I951">
        <v>6.86</v>
      </c>
      <c r="J951">
        <v>565.78</v>
      </c>
      <c r="K951" t="s">
        <v>383</v>
      </c>
    </row>
    <row r="952" spans="1:11">
      <c r="A952" t="str">
        <f>"002452"</f>
        <v>002452</v>
      </c>
      <c r="B952" t="s">
        <v>1239</v>
      </c>
      <c r="C952">
        <v>44.94</v>
      </c>
      <c r="D952">
        <v>35.71</v>
      </c>
      <c r="E952">
        <v>25.99</v>
      </c>
      <c r="F952">
        <v>6.2</v>
      </c>
      <c r="G952">
        <v>5.16</v>
      </c>
      <c r="H952">
        <v>36553</v>
      </c>
      <c r="I952">
        <v>2.08</v>
      </c>
      <c r="J952">
        <v>19.99</v>
      </c>
      <c r="K952" t="s">
        <v>208</v>
      </c>
    </row>
    <row r="953" spans="1:11">
      <c r="A953" t="str">
        <f>"002453"</f>
        <v>002453</v>
      </c>
      <c r="B953" t="s">
        <v>1240</v>
      </c>
      <c r="C953">
        <v>40.26</v>
      </c>
      <c r="D953">
        <v>15.88</v>
      </c>
      <c r="E953">
        <v>9.16</v>
      </c>
      <c r="F953">
        <v>8.12</v>
      </c>
      <c r="G953">
        <v>6.13</v>
      </c>
      <c r="H953">
        <v>74804</v>
      </c>
      <c r="I953">
        <v>5.82</v>
      </c>
      <c r="J953" t="s">
        <v>14</v>
      </c>
      <c r="K953" t="s">
        <v>511</v>
      </c>
    </row>
    <row r="954" spans="1:11">
      <c r="A954" t="str">
        <f>"002454"</f>
        <v>002454</v>
      </c>
      <c r="B954" t="s">
        <v>1241</v>
      </c>
      <c r="C954">
        <v>55.93</v>
      </c>
      <c r="D954">
        <v>82.4</v>
      </c>
      <c r="E954">
        <v>40.65</v>
      </c>
      <c r="F954">
        <v>6.29</v>
      </c>
      <c r="G954">
        <v>6.27</v>
      </c>
      <c r="H954">
        <v>29266</v>
      </c>
      <c r="I954">
        <v>1.38</v>
      </c>
      <c r="J954">
        <v>19.76</v>
      </c>
      <c r="K954" t="s">
        <v>530</v>
      </c>
    </row>
    <row r="955" spans="1:11">
      <c r="A955" t="str">
        <f>"002455"</f>
        <v>002455</v>
      </c>
      <c r="B955" t="s">
        <v>1242</v>
      </c>
      <c r="C955">
        <v>36.24</v>
      </c>
      <c r="D955">
        <v>123.53</v>
      </c>
      <c r="E955">
        <v>19.59</v>
      </c>
      <c r="F955">
        <v>5.94</v>
      </c>
      <c r="G955">
        <v>5.19</v>
      </c>
      <c r="H955">
        <v>78218</v>
      </c>
      <c r="I955">
        <v>2.38</v>
      </c>
      <c r="J955">
        <v>647.22</v>
      </c>
      <c r="K955" t="s">
        <v>1201</v>
      </c>
    </row>
    <row r="956" spans="1:11">
      <c r="A956" t="str">
        <f>"002456"</f>
        <v>002456</v>
      </c>
      <c r="B956" t="s">
        <v>1243</v>
      </c>
      <c r="C956">
        <v>367.73</v>
      </c>
      <c r="D956">
        <v>219.11</v>
      </c>
      <c r="E956">
        <v>39.43</v>
      </c>
      <c r="F956">
        <v>33.61</v>
      </c>
      <c r="G956">
        <v>33.16</v>
      </c>
      <c r="H956">
        <v>495304</v>
      </c>
      <c r="I956">
        <v>9.45</v>
      </c>
      <c r="J956" t="s">
        <v>14</v>
      </c>
      <c r="K956" t="s">
        <v>41</v>
      </c>
    </row>
    <row r="957" spans="1:11">
      <c r="A957" t="str">
        <f>"002457"</f>
        <v>002457</v>
      </c>
      <c r="B957" t="s">
        <v>1244</v>
      </c>
      <c r="C957">
        <v>38</v>
      </c>
      <c r="D957">
        <v>48.67</v>
      </c>
      <c r="E957">
        <v>24.79</v>
      </c>
      <c r="F957">
        <v>3.33</v>
      </c>
      <c r="G957">
        <v>3.33</v>
      </c>
      <c r="H957">
        <v>51222</v>
      </c>
      <c r="I957">
        <v>1.53</v>
      </c>
      <c r="J957">
        <v>55.91</v>
      </c>
      <c r="K957" t="s">
        <v>874</v>
      </c>
    </row>
    <row r="958" spans="1:11">
      <c r="A958" t="str">
        <f>"002458"</f>
        <v>002458</v>
      </c>
      <c r="B958" t="s">
        <v>1245</v>
      </c>
      <c r="C958">
        <v>68</v>
      </c>
      <c r="D958">
        <v>72.22</v>
      </c>
      <c r="E958">
        <v>42.05</v>
      </c>
      <c r="F958">
        <v>11.06</v>
      </c>
      <c r="G958">
        <v>7.49</v>
      </c>
      <c r="H958">
        <v>42179</v>
      </c>
      <c r="I958">
        <v>2.39</v>
      </c>
      <c r="J958">
        <v>237.04</v>
      </c>
      <c r="K958" t="s">
        <v>1019</v>
      </c>
    </row>
    <row r="959" spans="1:11">
      <c r="A959" t="str">
        <f>"002459"</f>
        <v>002459</v>
      </c>
      <c r="B959" t="s">
        <v>1246</v>
      </c>
      <c r="C959">
        <v>386.77</v>
      </c>
      <c r="D959">
        <v>1053.8</v>
      </c>
      <c r="E959">
        <v>231.74</v>
      </c>
      <c r="F959">
        <v>33.1</v>
      </c>
      <c r="G959">
        <v>33.06</v>
      </c>
      <c r="H959">
        <v>147773</v>
      </c>
      <c r="I959">
        <v>1.71</v>
      </c>
      <c r="J959" t="s">
        <v>14</v>
      </c>
      <c r="K959" t="s">
        <v>815</v>
      </c>
    </row>
    <row r="960" spans="1:11">
      <c r="A960" t="str">
        <f>"002460"</f>
        <v>002460</v>
      </c>
      <c r="B960" t="s">
        <v>1247</v>
      </c>
      <c r="C960">
        <v>836.47</v>
      </c>
      <c r="D960">
        <v>1101.99</v>
      </c>
      <c r="E960">
        <v>416.22</v>
      </c>
      <c r="F960">
        <v>20.97</v>
      </c>
      <c r="G960">
        <v>12.11</v>
      </c>
      <c r="H960">
        <v>323095</v>
      </c>
      <c r="I960">
        <v>3.41</v>
      </c>
      <c r="J960">
        <v>4255.42</v>
      </c>
      <c r="K960" t="s">
        <v>418</v>
      </c>
    </row>
    <row r="961" spans="1:11">
      <c r="A961" t="str">
        <f>"002461"</f>
        <v>002461</v>
      </c>
      <c r="B961" t="s">
        <v>1248</v>
      </c>
      <c r="C961">
        <v>209.16</v>
      </c>
      <c r="D961">
        <v>164.95</v>
      </c>
      <c r="E961">
        <v>110.78</v>
      </c>
      <c r="F961">
        <v>22.13</v>
      </c>
      <c r="G961">
        <v>22.13</v>
      </c>
      <c r="H961">
        <v>27531</v>
      </c>
      <c r="I961">
        <v>1.89</v>
      </c>
      <c r="J961">
        <v>16.62</v>
      </c>
      <c r="K961" t="s">
        <v>395</v>
      </c>
    </row>
    <row r="962" spans="1:11">
      <c r="A962" t="str">
        <f>"002462"</f>
        <v>002462</v>
      </c>
      <c r="B962" t="s">
        <v>1249</v>
      </c>
      <c r="C962">
        <v>49.08</v>
      </c>
      <c r="D962">
        <v>126.8</v>
      </c>
      <c r="E962">
        <v>44.18</v>
      </c>
      <c r="F962">
        <v>2.92</v>
      </c>
      <c r="G962">
        <v>2.91</v>
      </c>
      <c r="H962">
        <v>36000</v>
      </c>
      <c r="I962">
        <v>1.11</v>
      </c>
      <c r="J962">
        <v>26.07</v>
      </c>
      <c r="K962" t="s">
        <v>48</v>
      </c>
    </row>
    <row r="963" spans="1:11">
      <c r="A963" t="str">
        <f>"002463"</f>
        <v>002463</v>
      </c>
      <c r="B963" t="s">
        <v>1250</v>
      </c>
      <c r="C963">
        <v>1415.8</v>
      </c>
      <c r="D963">
        <v>263.15</v>
      </c>
      <c r="E963">
        <v>139.47</v>
      </c>
      <c r="F963">
        <v>19.24</v>
      </c>
      <c r="G963">
        <v>19.23</v>
      </c>
      <c r="H963">
        <v>162040</v>
      </c>
      <c r="I963">
        <v>10.16</v>
      </c>
      <c r="J963">
        <v>39.1</v>
      </c>
      <c r="K963" t="s">
        <v>472</v>
      </c>
    </row>
    <row r="964" spans="1:11">
      <c r="A964" t="str">
        <f>"002465"</f>
        <v>002465</v>
      </c>
      <c r="B964" t="s">
        <v>1251</v>
      </c>
      <c r="C964">
        <v>659.61</v>
      </c>
      <c r="D964">
        <v>211.11</v>
      </c>
      <c r="E964">
        <v>120.31</v>
      </c>
      <c r="F964">
        <v>24.82</v>
      </c>
      <c r="G964">
        <v>24.78</v>
      </c>
      <c r="H964">
        <v>137762</v>
      </c>
      <c r="I964">
        <v>5.49</v>
      </c>
      <c r="J964" t="s">
        <v>14</v>
      </c>
      <c r="K964" t="s">
        <v>223</v>
      </c>
    </row>
    <row r="965" spans="1:11">
      <c r="A965" t="str">
        <f>"002466"</f>
        <v>002466</v>
      </c>
      <c r="B965" t="s">
        <v>1252</v>
      </c>
      <c r="C965">
        <v>882.83</v>
      </c>
      <c r="D965">
        <v>739.57</v>
      </c>
      <c r="E965">
        <v>424.05</v>
      </c>
      <c r="F965">
        <v>16.41</v>
      </c>
      <c r="G965">
        <v>14.76</v>
      </c>
      <c r="H965">
        <v>295730</v>
      </c>
      <c r="I965">
        <v>2.32</v>
      </c>
      <c r="J965">
        <v>409.3</v>
      </c>
      <c r="K965" t="s">
        <v>418</v>
      </c>
    </row>
    <row r="966" spans="1:11">
      <c r="A966" t="str">
        <f>"002467"</f>
        <v>002467</v>
      </c>
      <c r="B966" t="s">
        <v>1253</v>
      </c>
      <c r="C966">
        <v>93.08</v>
      </c>
      <c r="D966">
        <v>24.58</v>
      </c>
      <c r="E966">
        <v>19.53</v>
      </c>
      <c r="F966">
        <v>13.75</v>
      </c>
      <c r="G966">
        <v>13.67</v>
      </c>
      <c r="H966">
        <v>145267</v>
      </c>
      <c r="I966">
        <v>4.8</v>
      </c>
      <c r="J966">
        <v>92.64</v>
      </c>
      <c r="K966" t="s">
        <v>486</v>
      </c>
    </row>
    <row r="967" spans="1:11">
      <c r="A967" t="str">
        <f>"002468"</f>
        <v>002468</v>
      </c>
      <c r="B967" t="s">
        <v>1254</v>
      </c>
      <c r="C967">
        <v>200.42</v>
      </c>
      <c r="D967">
        <v>278.89</v>
      </c>
      <c r="E967">
        <v>102.86</v>
      </c>
      <c r="F967">
        <v>15.31</v>
      </c>
      <c r="G967">
        <v>14.67</v>
      </c>
      <c r="H967">
        <v>40662</v>
      </c>
      <c r="I967">
        <v>2.03</v>
      </c>
      <c r="J967">
        <v>20.75</v>
      </c>
      <c r="K967" t="s">
        <v>886</v>
      </c>
    </row>
    <row r="968" spans="1:11">
      <c r="A968" t="str">
        <f>"002469"</f>
        <v>002469</v>
      </c>
      <c r="B968" t="s">
        <v>1255</v>
      </c>
      <c r="C968">
        <v>55.03</v>
      </c>
      <c r="D968">
        <v>34.91</v>
      </c>
      <c r="E968">
        <v>26.23</v>
      </c>
      <c r="F968">
        <v>6.49</v>
      </c>
      <c r="G968">
        <v>6.29</v>
      </c>
      <c r="H968">
        <v>33371</v>
      </c>
      <c r="I968">
        <v>2.16</v>
      </c>
      <c r="J968">
        <v>27.75</v>
      </c>
      <c r="K968" t="s">
        <v>1201</v>
      </c>
    </row>
    <row r="969" spans="1:11">
      <c r="A969" t="str">
        <f>"002470"</f>
        <v>002470</v>
      </c>
      <c r="B969" t="s">
        <v>1256</v>
      </c>
      <c r="C969">
        <v>58.49</v>
      </c>
      <c r="D969">
        <v>117.08</v>
      </c>
      <c r="E969">
        <v>20.55</v>
      </c>
      <c r="F969">
        <v>32.86</v>
      </c>
      <c r="G969">
        <v>32.86</v>
      </c>
      <c r="H969">
        <v>68564</v>
      </c>
      <c r="I969">
        <v>2.85</v>
      </c>
      <c r="J969" t="s">
        <v>14</v>
      </c>
      <c r="K969" t="s">
        <v>532</v>
      </c>
    </row>
    <row r="970" spans="1:11">
      <c r="A970" t="str">
        <f>"002471"</f>
        <v>002471</v>
      </c>
      <c r="B970" t="s">
        <v>1257</v>
      </c>
      <c r="C970">
        <v>109.96</v>
      </c>
      <c r="D970">
        <v>53.4</v>
      </c>
      <c r="E970">
        <v>17.45</v>
      </c>
      <c r="F970">
        <v>13.69</v>
      </c>
      <c r="G970">
        <v>13.43</v>
      </c>
      <c r="H970">
        <v>256466</v>
      </c>
      <c r="I970">
        <v>6.42</v>
      </c>
      <c r="J970" t="s">
        <v>14</v>
      </c>
      <c r="K970" t="s">
        <v>383</v>
      </c>
    </row>
    <row r="971" spans="1:11">
      <c r="A971" t="str">
        <f>"002472"</f>
        <v>002472</v>
      </c>
      <c r="B971" t="s">
        <v>1258</v>
      </c>
      <c r="C971">
        <v>335.86</v>
      </c>
      <c r="D971">
        <v>183.39</v>
      </c>
      <c r="E971">
        <v>96.22</v>
      </c>
      <c r="F971">
        <v>8.5</v>
      </c>
      <c r="G971">
        <v>7.55</v>
      </c>
      <c r="H971">
        <v>70831</v>
      </c>
      <c r="I971">
        <v>3.93</v>
      </c>
      <c r="J971">
        <v>31.54</v>
      </c>
      <c r="K971" t="s">
        <v>51</v>
      </c>
    </row>
    <row r="972" spans="1:11">
      <c r="A972" t="str">
        <f>"002474"</f>
        <v>002474</v>
      </c>
      <c r="B972" t="s">
        <v>1259</v>
      </c>
      <c r="C972">
        <v>56.53</v>
      </c>
      <c r="D972">
        <v>25.21</v>
      </c>
      <c r="E972">
        <v>13.66</v>
      </c>
      <c r="F972">
        <v>6.22</v>
      </c>
      <c r="G972">
        <v>5.31</v>
      </c>
      <c r="H972">
        <v>76781</v>
      </c>
      <c r="I972">
        <v>4.85</v>
      </c>
      <c r="J972" t="s">
        <v>14</v>
      </c>
      <c r="K972" t="s">
        <v>117</v>
      </c>
    </row>
    <row r="973" spans="1:11">
      <c r="A973" t="str">
        <f>"002475"</f>
        <v>002475</v>
      </c>
      <c r="B973" t="s">
        <v>1260</v>
      </c>
      <c r="C973">
        <v>3894.79</v>
      </c>
      <c r="D973">
        <v>3002.62</v>
      </c>
      <c r="E973">
        <v>802.77</v>
      </c>
      <c r="F973">
        <v>72.86</v>
      </c>
      <c r="G973">
        <v>72.69</v>
      </c>
      <c r="H973">
        <v>420923</v>
      </c>
      <c r="I973">
        <v>4.89</v>
      </c>
      <c r="J973">
        <v>25.42</v>
      </c>
      <c r="K973" t="s">
        <v>41</v>
      </c>
    </row>
    <row r="974" spans="1:11">
      <c r="A974" t="str">
        <f>"002476"</f>
        <v>002476</v>
      </c>
      <c r="B974" t="s">
        <v>1261</v>
      </c>
      <c r="C974">
        <v>44.98</v>
      </c>
      <c r="D974">
        <v>11.33</v>
      </c>
      <c r="E974">
        <v>9.6</v>
      </c>
      <c r="F974">
        <v>6.12</v>
      </c>
      <c r="G974">
        <v>6.12</v>
      </c>
      <c r="H974">
        <v>33068</v>
      </c>
      <c r="I974">
        <v>4.68</v>
      </c>
      <c r="J974">
        <v>89.09</v>
      </c>
      <c r="K974" t="s">
        <v>511</v>
      </c>
    </row>
    <row r="975" spans="1:11">
      <c r="A975" t="str">
        <f>"002478"</f>
        <v>002478</v>
      </c>
      <c r="B975" t="s">
        <v>1262</v>
      </c>
      <c r="C975">
        <v>64.47</v>
      </c>
      <c r="D975">
        <v>89.46</v>
      </c>
      <c r="E975">
        <v>59.06</v>
      </c>
      <c r="F975">
        <v>9.01</v>
      </c>
      <c r="G975">
        <v>7.23</v>
      </c>
      <c r="H975">
        <v>22984</v>
      </c>
      <c r="I975">
        <v>1.36</v>
      </c>
      <c r="J975">
        <v>15.36</v>
      </c>
      <c r="K975" t="s">
        <v>364</v>
      </c>
    </row>
    <row r="976" spans="1:11">
      <c r="A976" t="str">
        <f>"002479"</f>
        <v>002479</v>
      </c>
      <c r="B976" t="s">
        <v>1263</v>
      </c>
      <c r="C976">
        <v>43.15</v>
      </c>
      <c r="D976">
        <v>83.03</v>
      </c>
      <c r="E976">
        <v>42.14</v>
      </c>
      <c r="F976">
        <v>8.65</v>
      </c>
      <c r="G976">
        <v>8.63</v>
      </c>
      <c r="H976">
        <v>37241</v>
      </c>
      <c r="I976">
        <v>1.03</v>
      </c>
      <c r="J976">
        <v>13.33</v>
      </c>
      <c r="K976" t="s">
        <v>350</v>
      </c>
    </row>
    <row r="977" spans="1:11">
      <c r="A977" t="str">
        <f>"002480"</f>
        <v>002480</v>
      </c>
      <c r="B977" t="s">
        <v>1264</v>
      </c>
      <c r="C977">
        <v>48.06</v>
      </c>
      <c r="D977">
        <v>139.92</v>
      </c>
      <c r="E977">
        <v>9.64</v>
      </c>
      <c r="F977">
        <v>7.69</v>
      </c>
      <c r="G977">
        <v>7.68</v>
      </c>
      <c r="H977">
        <v>29342</v>
      </c>
      <c r="I977">
        <v>4.99</v>
      </c>
      <c r="J977" t="s">
        <v>14</v>
      </c>
      <c r="K977" t="s">
        <v>22</v>
      </c>
    </row>
    <row r="978" spans="1:11">
      <c r="A978" t="str">
        <f>"002481"</f>
        <v>002481</v>
      </c>
      <c r="B978" t="s">
        <v>1265</v>
      </c>
      <c r="C978">
        <v>57.02</v>
      </c>
      <c r="D978">
        <v>47.76</v>
      </c>
      <c r="E978">
        <v>24.58</v>
      </c>
      <c r="F978">
        <v>12.34</v>
      </c>
      <c r="G978">
        <v>11.18</v>
      </c>
      <c r="H978">
        <v>51354</v>
      </c>
      <c r="I978">
        <v>2.56</v>
      </c>
      <c r="J978">
        <v>137</v>
      </c>
      <c r="K978" t="s">
        <v>560</v>
      </c>
    </row>
    <row r="979" spans="1:11">
      <c r="A979" t="str">
        <f>"002482"</f>
        <v>002482</v>
      </c>
      <c r="B979" t="s">
        <v>1266</v>
      </c>
      <c r="C979">
        <v>64.39</v>
      </c>
      <c r="D979">
        <v>25.63</v>
      </c>
      <c r="E979">
        <v>4.8</v>
      </c>
      <c r="F979">
        <v>37.51</v>
      </c>
      <c r="G979">
        <v>37.44</v>
      </c>
      <c r="H979">
        <v>45359</v>
      </c>
      <c r="I979">
        <v>13.44</v>
      </c>
      <c r="J979" t="s">
        <v>14</v>
      </c>
      <c r="K979" t="s">
        <v>804</v>
      </c>
    </row>
    <row r="980" spans="1:11">
      <c r="A980" t="str">
        <f>"002483"</f>
        <v>002483</v>
      </c>
      <c r="B980" t="s">
        <v>1267</v>
      </c>
      <c r="C980">
        <v>63.65</v>
      </c>
      <c r="D980">
        <v>125.18</v>
      </c>
      <c r="E980">
        <v>43.86</v>
      </c>
      <c r="F980">
        <v>8.86</v>
      </c>
      <c r="G980">
        <v>8.85</v>
      </c>
      <c r="H980">
        <v>25471</v>
      </c>
      <c r="I980">
        <v>1.45</v>
      </c>
      <c r="J980">
        <v>21.33</v>
      </c>
      <c r="K980" t="s">
        <v>491</v>
      </c>
    </row>
    <row r="981" spans="1:11">
      <c r="A981" t="str">
        <f>"002484"</f>
        <v>002484</v>
      </c>
      <c r="B981" t="s">
        <v>1268</v>
      </c>
      <c r="C981">
        <v>243.52</v>
      </c>
      <c r="D981">
        <v>87.82</v>
      </c>
      <c r="E981">
        <v>61.38</v>
      </c>
      <c r="F981">
        <v>8.51</v>
      </c>
      <c r="G981">
        <v>8.2</v>
      </c>
      <c r="H981">
        <v>47355</v>
      </c>
      <c r="I981">
        <v>4.11</v>
      </c>
      <c r="J981">
        <v>35.4</v>
      </c>
      <c r="K981" t="s">
        <v>310</v>
      </c>
    </row>
    <row r="982" spans="1:11">
      <c r="A982" t="str">
        <f>"002485"</f>
        <v>002485</v>
      </c>
      <c r="B982" t="s">
        <v>1269</v>
      </c>
      <c r="C982">
        <v>23.07</v>
      </c>
      <c r="D982">
        <v>18.01</v>
      </c>
      <c r="E982">
        <v>11.78</v>
      </c>
      <c r="F982">
        <v>5.44</v>
      </c>
      <c r="G982">
        <v>5.44</v>
      </c>
      <c r="H982">
        <v>6478</v>
      </c>
      <c r="I982">
        <v>1.96</v>
      </c>
      <c r="J982" t="s">
        <v>14</v>
      </c>
      <c r="K982" t="s">
        <v>107</v>
      </c>
    </row>
    <row r="983" spans="1:11">
      <c r="A983" t="str">
        <f>"002486"</f>
        <v>002486</v>
      </c>
      <c r="B983" t="s">
        <v>1270</v>
      </c>
      <c r="C983">
        <v>25.19</v>
      </c>
      <c r="D983">
        <v>12.99</v>
      </c>
      <c r="E983">
        <v>10.84</v>
      </c>
      <c r="F983">
        <v>8.24</v>
      </c>
      <c r="G983">
        <v>8.2</v>
      </c>
      <c r="H983">
        <v>49540</v>
      </c>
      <c r="I983">
        <v>2.33</v>
      </c>
      <c r="J983">
        <v>36.5</v>
      </c>
      <c r="K983" t="s">
        <v>622</v>
      </c>
    </row>
    <row r="984" spans="1:11">
      <c r="A984" t="str">
        <f>"002487"</f>
        <v>002487</v>
      </c>
      <c r="B984" t="s">
        <v>1271</v>
      </c>
      <c r="C984">
        <v>317.42</v>
      </c>
      <c r="D984">
        <v>142.32</v>
      </c>
      <c r="E984">
        <v>80.53</v>
      </c>
      <c r="F984">
        <v>6.38</v>
      </c>
      <c r="G984">
        <v>6.31</v>
      </c>
      <c r="H984">
        <v>55546</v>
      </c>
      <c r="I984">
        <v>3.98</v>
      </c>
      <c r="J984">
        <v>27.12</v>
      </c>
      <c r="K984" t="s">
        <v>456</v>
      </c>
    </row>
    <row r="985" spans="1:11">
      <c r="A985" t="str">
        <f>"002488"</f>
        <v>002488</v>
      </c>
      <c r="B985" t="s">
        <v>1272</v>
      </c>
      <c r="C985">
        <v>105.99</v>
      </c>
      <c r="D985">
        <v>94.33</v>
      </c>
      <c r="E985">
        <v>35.06</v>
      </c>
      <c r="F985">
        <v>9.95</v>
      </c>
      <c r="G985">
        <v>9.2</v>
      </c>
      <c r="H985">
        <v>57292</v>
      </c>
      <c r="I985">
        <v>3.27</v>
      </c>
      <c r="J985">
        <v>204.74</v>
      </c>
      <c r="K985" t="s">
        <v>263</v>
      </c>
    </row>
    <row r="986" spans="1:11">
      <c r="A986" t="str">
        <f>"002489"</f>
        <v>002489</v>
      </c>
      <c r="B986" t="s">
        <v>1273</v>
      </c>
      <c r="C986">
        <v>72.89</v>
      </c>
      <c r="D986">
        <v>73.82</v>
      </c>
      <c r="E986">
        <v>46.89</v>
      </c>
      <c r="F986">
        <v>21.69</v>
      </c>
      <c r="G986">
        <v>19.13</v>
      </c>
      <c r="H986">
        <v>77680</v>
      </c>
      <c r="I986">
        <v>1.76</v>
      </c>
      <c r="J986">
        <v>9.13</v>
      </c>
      <c r="K986" t="s">
        <v>540</v>
      </c>
    </row>
    <row r="987" spans="1:11">
      <c r="A987" t="str">
        <f>"002490"</f>
        <v>002490</v>
      </c>
      <c r="B987" t="s">
        <v>1274</v>
      </c>
      <c r="C987">
        <v>47.67</v>
      </c>
      <c r="D987">
        <v>25.26</v>
      </c>
      <c r="E987">
        <v>4.98</v>
      </c>
      <c r="F987">
        <v>7.98</v>
      </c>
      <c r="G987">
        <v>5.42</v>
      </c>
      <c r="H987">
        <v>62291</v>
      </c>
      <c r="I987">
        <v>14.1</v>
      </c>
      <c r="J987">
        <v>969.6</v>
      </c>
      <c r="K987" t="s">
        <v>491</v>
      </c>
    </row>
    <row r="988" spans="1:11">
      <c r="A988" t="str">
        <f>"002491"</f>
        <v>002491</v>
      </c>
      <c r="B988" t="s">
        <v>1275</v>
      </c>
      <c r="C988">
        <v>72.35</v>
      </c>
      <c r="D988">
        <v>60.97</v>
      </c>
      <c r="E988">
        <v>24.81</v>
      </c>
      <c r="F988">
        <v>12.3</v>
      </c>
      <c r="G988">
        <v>11.76</v>
      </c>
      <c r="H988">
        <v>83808</v>
      </c>
      <c r="I988">
        <v>3.05</v>
      </c>
      <c r="J988" t="s">
        <v>14</v>
      </c>
      <c r="K988" t="s">
        <v>93</v>
      </c>
    </row>
    <row r="989" spans="1:11">
      <c r="A989" t="str">
        <f>"002492"</f>
        <v>002492</v>
      </c>
      <c r="B989" t="s">
        <v>1276</v>
      </c>
      <c r="C989">
        <v>31.83</v>
      </c>
      <c r="D989">
        <v>23.2</v>
      </c>
      <c r="E989">
        <v>17.3</v>
      </c>
      <c r="F989">
        <v>4.05</v>
      </c>
      <c r="G989">
        <v>3.98</v>
      </c>
      <c r="H989">
        <v>16443</v>
      </c>
      <c r="I989">
        <v>1.87</v>
      </c>
      <c r="J989">
        <v>46.02</v>
      </c>
      <c r="K989" t="s">
        <v>1277</v>
      </c>
    </row>
    <row r="990" spans="1:11">
      <c r="A990" t="str">
        <f>"002493"</f>
        <v>002493</v>
      </c>
      <c r="B990" t="s">
        <v>1278</v>
      </c>
      <c r="C990">
        <v>1099.12</v>
      </c>
      <c r="D990">
        <v>3929.18</v>
      </c>
      <c r="E990">
        <v>436.94</v>
      </c>
      <c r="F990">
        <v>99.89</v>
      </c>
      <c r="G990">
        <v>93.62</v>
      </c>
      <c r="H990">
        <v>73726</v>
      </c>
      <c r="I990">
        <v>2.68</v>
      </c>
      <c r="J990">
        <v>99</v>
      </c>
      <c r="K990" t="s">
        <v>122</v>
      </c>
    </row>
    <row r="991" spans="1:11">
      <c r="A991" t="str">
        <f>"002494"</f>
        <v>002494</v>
      </c>
      <c r="B991" t="s">
        <v>1279</v>
      </c>
      <c r="C991">
        <v>15.66</v>
      </c>
      <c r="D991">
        <v>14.9</v>
      </c>
      <c r="E991">
        <v>12.26</v>
      </c>
      <c r="F991">
        <v>3.77</v>
      </c>
      <c r="G991">
        <v>2.87</v>
      </c>
      <c r="H991">
        <v>24710</v>
      </c>
      <c r="I991">
        <v>1.68</v>
      </c>
      <c r="J991" t="s">
        <v>14</v>
      </c>
      <c r="K991" t="s">
        <v>622</v>
      </c>
    </row>
    <row r="992" spans="1:11">
      <c r="A992" t="str">
        <f>"002495"</f>
        <v>002495</v>
      </c>
      <c r="B992" t="s">
        <v>1280</v>
      </c>
      <c r="C992">
        <v>18.78</v>
      </c>
      <c r="D992">
        <v>11.95</v>
      </c>
      <c r="E992">
        <v>10.97</v>
      </c>
      <c r="F992">
        <v>9.36</v>
      </c>
      <c r="G992">
        <v>7.01</v>
      </c>
      <c r="H992">
        <v>41695</v>
      </c>
      <c r="I992">
        <v>2.28</v>
      </c>
      <c r="J992">
        <v>168.8</v>
      </c>
      <c r="K992" t="s">
        <v>1281</v>
      </c>
    </row>
    <row r="993" spans="1:11">
      <c r="A993" t="str">
        <f>"002496"</f>
        <v>002496</v>
      </c>
      <c r="B993" t="s">
        <v>1282</v>
      </c>
      <c r="C993">
        <v>21.8</v>
      </c>
      <c r="D993">
        <v>22.68</v>
      </c>
      <c r="E993">
        <v>13.25</v>
      </c>
      <c r="F993">
        <v>15.08</v>
      </c>
      <c r="G993">
        <v>11.12</v>
      </c>
      <c r="H993">
        <v>29186</v>
      </c>
      <c r="I993">
        <v>2.23</v>
      </c>
      <c r="J993" t="s">
        <v>14</v>
      </c>
      <c r="K993" t="s">
        <v>196</v>
      </c>
    </row>
    <row r="994" spans="1:11">
      <c r="A994" t="str">
        <f>"002497"</f>
        <v>002497</v>
      </c>
      <c r="B994" t="s">
        <v>1283</v>
      </c>
      <c r="C994">
        <v>249.18</v>
      </c>
      <c r="D994">
        <v>144.77</v>
      </c>
      <c r="E994">
        <v>108.5</v>
      </c>
      <c r="F994">
        <v>11.53</v>
      </c>
      <c r="G994">
        <v>10.59</v>
      </c>
      <c r="H994">
        <v>94000</v>
      </c>
      <c r="I994">
        <v>2.5</v>
      </c>
      <c r="J994">
        <v>60.92</v>
      </c>
      <c r="K994" t="s">
        <v>418</v>
      </c>
    </row>
    <row r="995" spans="1:11">
      <c r="A995" t="str">
        <f>"002498"</f>
        <v>002498</v>
      </c>
      <c r="B995" t="s">
        <v>1284</v>
      </c>
      <c r="C995">
        <v>132.41</v>
      </c>
      <c r="D995">
        <v>128.38</v>
      </c>
      <c r="E995">
        <v>85.99</v>
      </c>
      <c r="F995">
        <v>33.27</v>
      </c>
      <c r="G995">
        <v>33.27</v>
      </c>
      <c r="H995">
        <v>89598</v>
      </c>
      <c r="I995">
        <v>1.54</v>
      </c>
      <c r="J995">
        <v>20.96</v>
      </c>
      <c r="K995" t="s">
        <v>383</v>
      </c>
    </row>
    <row r="996" spans="1:11">
      <c r="A996" t="str">
        <f>"002500"</f>
        <v>002500</v>
      </c>
      <c r="B996" t="s">
        <v>1285</v>
      </c>
      <c r="C996">
        <v>220.77</v>
      </c>
      <c r="D996">
        <v>815.22</v>
      </c>
      <c r="E996">
        <v>183.08</v>
      </c>
      <c r="F996">
        <v>35.9</v>
      </c>
      <c r="G996">
        <v>35.9</v>
      </c>
      <c r="H996">
        <v>105961</v>
      </c>
      <c r="I996">
        <v>1.21</v>
      </c>
      <c r="J996">
        <v>22.62</v>
      </c>
      <c r="K996" t="s">
        <v>120</v>
      </c>
    </row>
    <row r="997" spans="1:11">
      <c r="A997" t="str">
        <f>"002501"</f>
        <v>002501</v>
      </c>
      <c r="B997" t="s">
        <v>1286</v>
      </c>
      <c r="C997">
        <v>96.11</v>
      </c>
      <c r="D997">
        <v>9.99</v>
      </c>
      <c r="E997">
        <v>2.64</v>
      </c>
      <c r="F997">
        <v>35.5</v>
      </c>
      <c r="G997">
        <v>35.46</v>
      </c>
      <c r="H997">
        <v>92531</v>
      </c>
      <c r="I997">
        <v>36.62</v>
      </c>
      <c r="J997" t="s">
        <v>14</v>
      </c>
      <c r="K997" t="s">
        <v>288</v>
      </c>
    </row>
    <row r="998" spans="1:11">
      <c r="A998" t="str">
        <f>"002506"</f>
        <v>002506</v>
      </c>
      <c r="B998" t="s">
        <v>1287</v>
      </c>
      <c r="C998">
        <v>172.41</v>
      </c>
      <c r="D998">
        <v>192.68</v>
      </c>
      <c r="E998">
        <v>17.79</v>
      </c>
      <c r="F998">
        <v>58.5</v>
      </c>
      <c r="G998">
        <v>58.44</v>
      </c>
      <c r="H998">
        <v>206186</v>
      </c>
      <c r="I998">
        <v>9.7</v>
      </c>
      <c r="J998" t="s">
        <v>14</v>
      </c>
      <c r="K998" t="s">
        <v>815</v>
      </c>
    </row>
    <row r="999" spans="1:11">
      <c r="A999" t="str">
        <f>"002507"</f>
        <v>002507</v>
      </c>
      <c r="B999" t="s">
        <v>1288</v>
      </c>
      <c r="C999">
        <v>150.51</v>
      </c>
      <c r="D999">
        <v>95.15</v>
      </c>
      <c r="E999">
        <v>88.86</v>
      </c>
      <c r="F999">
        <v>11.54</v>
      </c>
      <c r="G999">
        <v>11.49</v>
      </c>
      <c r="H999">
        <v>96264</v>
      </c>
      <c r="I999">
        <v>1.7</v>
      </c>
      <c r="J999">
        <v>16.85</v>
      </c>
      <c r="K999" t="s">
        <v>1281</v>
      </c>
    </row>
    <row r="1000" spans="1:11">
      <c r="A1000" t="str">
        <f>"002508"</f>
        <v>002508</v>
      </c>
      <c r="B1000" t="s">
        <v>1289</v>
      </c>
      <c r="C1000">
        <v>182.04</v>
      </c>
      <c r="D1000">
        <v>167.5</v>
      </c>
      <c r="E1000">
        <v>114.13</v>
      </c>
      <c r="F1000">
        <v>9.45</v>
      </c>
      <c r="G1000">
        <v>9.34</v>
      </c>
      <c r="H1000">
        <v>56313</v>
      </c>
      <c r="I1000">
        <v>1.61</v>
      </c>
      <c r="J1000">
        <v>11.94</v>
      </c>
      <c r="K1000" t="s">
        <v>790</v>
      </c>
    </row>
    <row r="1001" spans="1:11">
      <c r="A1001" t="str">
        <f>"002510"</f>
        <v>002510</v>
      </c>
      <c r="B1001" t="s">
        <v>1290</v>
      </c>
      <c r="C1001">
        <v>80.49</v>
      </c>
      <c r="D1001">
        <v>63.6</v>
      </c>
      <c r="E1001">
        <v>24.99</v>
      </c>
      <c r="F1001">
        <v>10.15</v>
      </c>
      <c r="G1001">
        <v>10.05</v>
      </c>
      <c r="H1001">
        <v>102052</v>
      </c>
      <c r="I1001">
        <v>3.25</v>
      </c>
      <c r="J1001">
        <v>117.14</v>
      </c>
      <c r="K1001" t="s">
        <v>517</v>
      </c>
    </row>
    <row r="1002" spans="1:11">
      <c r="A1002" t="str">
        <f>"002511"</f>
        <v>002511</v>
      </c>
      <c r="B1002" t="s">
        <v>1291</v>
      </c>
      <c r="C1002">
        <v>105.66</v>
      </c>
      <c r="D1002">
        <v>91.74</v>
      </c>
      <c r="E1002">
        <v>54.86</v>
      </c>
      <c r="F1002">
        <v>12.86</v>
      </c>
      <c r="G1002">
        <v>12.65</v>
      </c>
      <c r="H1002">
        <v>79222</v>
      </c>
      <c r="I1002">
        <v>1.96</v>
      </c>
      <c r="J1002">
        <v>35</v>
      </c>
      <c r="K1002" t="s">
        <v>617</v>
      </c>
    </row>
    <row r="1003" spans="1:11">
      <c r="A1003" t="str">
        <f>"002512"</f>
        <v>002512</v>
      </c>
      <c r="B1003" t="s">
        <v>1292</v>
      </c>
      <c r="C1003">
        <v>81.21</v>
      </c>
      <c r="D1003">
        <v>24.34</v>
      </c>
      <c r="E1003">
        <v>3.88</v>
      </c>
      <c r="F1003">
        <v>11.12</v>
      </c>
      <c r="G1003">
        <v>10.94</v>
      </c>
      <c r="H1003">
        <v>98111</v>
      </c>
      <c r="I1003">
        <v>21.26</v>
      </c>
      <c r="J1003" t="s">
        <v>14</v>
      </c>
      <c r="K1003" t="s">
        <v>88</v>
      </c>
    </row>
    <row r="1004" spans="1:11">
      <c r="A1004" t="str">
        <f>"002513"</f>
        <v>002513</v>
      </c>
      <c r="B1004" t="s">
        <v>1293</v>
      </c>
      <c r="C1004">
        <v>20.55</v>
      </c>
      <c r="D1004">
        <v>46.43</v>
      </c>
      <c r="E1004">
        <v>-0.14</v>
      </c>
      <c r="F1004">
        <v>3.76</v>
      </c>
      <c r="G1004">
        <v>2.89</v>
      </c>
      <c r="H1004">
        <v>41694</v>
      </c>
      <c r="I1004">
        <v>-177.75</v>
      </c>
      <c r="J1004" t="s">
        <v>14</v>
      </c>
      <c r="K1004" t="s">
        <v>815</v>
      </c>
    </row>
    <row r="1005" spans="1:11">
      <c r="A1005" t="str">
        <f>"002514"</f>
        <v>002514</v>
      </c>
      <c r="B1005" t="s">
        <v>1294</v>
      </c>
      <c r="C1005">
        <v>32.97</v>
      </c>
      <c r="D1005">
        <v>17</v>
      </c>
      <c r="E1005">
        <v>1.23</v>
      </c>
      <c r="F1005">
        <v>7.2</v>
      </c>
      <c r="G1005">
        <v>5.54</v>
      </c>
      <c r="H1005">
        <v>71619</v>
      </c>
      <c r="I1005">
        <v>34.8</v>
      </c>
      <c r="J1005" t="s">
        <v>14</v>
      </c>
      <c r="K1005" t="s">
        <v>63</v>
      </c>
    </row>
    <row r="1006" spans="1:11">
      <c r="A1006" t="str">
        <f>"002515"</f>
        <v>002515</v>
      </c>
      <c r="B1006" t="s">
        <v>1295</v>
      </c>
      <c r="C1006">
        <v>77.12</v>
      </c>
      <c r="D1006">
        <v>26.69</v>
      </c>
      <c r="E1006">
        <v>26.11</v>
      </c>
      <c r="F1006">
        <v>12.11</v>
      </c>
      <c r="G1006">
        <v>12.11</v>
      </c>
      <c r="H1006">
        <v>46169</v>
      </c>
      <c r="I1006">
        <v>2.95</v>
      </c>
      <c r="J1006">
        <v>262.72</v>
      </c>
      <c r="K1006" t="s">
        <v>201</v>
      </c>
    </row>
    <row r="1007" spans="1:11">
      <c r="A1007" t="str">
        <f>"002516"</f>
        <v>002516</v>
      </c>
      <c r="B1007" t="s">
        <v>1296</v>
      </c>
      <c r="C1007">
        <v>99.05</v>
      </c>
      <c r="D1007">
        <v>45.62</v>
      </c>
      <c r="E1007">
        <v>37.31</v>
      </c>
      <c r="F1007">
        <v>14.71</v>
      </c>
      <c r="G1007">
        <v>14.61</v>
      </c>
      <c r="H1007">
        <v>55611</v>
      </c>
      <c r="I1007">
        <v>2.67</v>
      </c>
      <c r="J1007">
        <v>55.25</v>
      </c>
      <c r="K1007" t="s">
        <v>356</v>
      </c>
    </row>
    <row r="1008" spans="1:11">
      <c r="A1008" t="str">
        <f>"002517"</f>
        <v>002517</v>
      </c>
      <c r="B1008" t="s">
        <v>1297</v>
      </c>
      <c r="C1008">
        <v>492.66</v>
      </c>
      <c r="D1008">
        <v>131.68</v>
      </c>
      <c r="E1008">
        <v>102.15</v>
      </c>
      <c r="F1008">
        <v>21.36</v>
      </c>
      <c r="G1008">
        <v>18.89</v>
      </c>
      <c r="H1008">
        <v>80989</v>
      </c>
      <c r="I1008">
        <v>5.45</v>
      </c>
      <c r="J1008">
        <v>26.39</v>
      </c>
      <c r="K1008" t="s">
        <v>950</v>
      </c>
    </row>
    <row r="1009" spans="1:11">
      <c r="A1009" t="str">
        <f>"002518"</f>
        <v>002518</v>
      </c>
      <c r="B1009" t="s">
        <v>1298</v>
      </c>
      <c r="C1009">
        <v>293.31</v>
      </c>
      <c r="D1009">
        <v>72.95</v>
      </c>
      <c r="E1009">
        <v>46.54</v>
      </c>
      <c r="F1009">
        <v>5.82</v>
      </c>
      <c r="G1009">
        <v>5.65</v>
      </c>
      <c r="H1009">
        <v>44000</v>
      </c>
      <c r="I1009">
        <v>6.49</v>
      </c>
      <c r="J1009">
        <v>50.83</v>
      </c>
      <c r="K1009" t="s">
        <v>1010</v>
      </c>
    </row>
    <row r="1010" spans="1:11">
      <c r="A1010" t="str">
        <f>"002519"</f>
        <v>002519</v>
      </c>
      <c r="B1010" t="s">
        <v>1299</v>
      </c>
      <c r="C1010">
        <v>128.21</v>
      </c>
      <c r="D1010">
        <v>33.38</v>
      </c>
      <c r="E1010">
        <v>22.98</v>
      </c>
      <c r="F1010">
        <v>11.26</v>
      </c>
      <c r="G1010">
        <v>11.19</v>
      </c>
      <c r="H1010">
        <v>87298</v>
      </c>
      <c r="I1010">
        <v>5.62</v>
      </c>
      <c r="J1010" t="s">
        <v>14</v>
      </c>
      <c r="K1010" t="s">
        <v>186</v>
      </c>
    </row>
    <row r="1011" spans="1:11">
      <c r="A1011" t="str">
        <f>"002520"</f>
        <v>002520</v>
      </c>
      <c r="B1011" t="s">
        <v>1300</v>
      </c>
      <c r="C1011">
        <v>44.84</v>
      </c>
      <c r="D1011">
        <v>24.99</v>
      </c>
      <c r="E1011">
        <v>2.57</v>
      </c>
      <c r="F1011">
        <v>7.5</v>
      </c>
      <c r="G1011">
        <v>7.17</v>
      </c>
      <c r="H1011">
        <v>80671</v>
      </c>
      <c r="I1011">
        <v>18.22</v>
      </c>
      <c r="J1011" t="s">
        <v>14</v>
      </c>
      <c r="K1011" t="s">
        <v>141</v>
      </c>
    </row>
    <row r="1012" spans="1:11">
      <c r="A1012" t="str">
        <f>"002521"</f>
        <v>002521</v>
      </c>
      <c r="B1012" t="s">
        <v>1301</v>
      </c>
      <c r="C1012">
        <v>35.69</v>
      </c>
      <c r="D1012">
        <v>53.95</v>
      </c>
      <c r="E1012">
        <v>38.95</v>
      </c>
      <c r="F1012">
        <v>5.6</v>
      </c>
      <c r="G1012">
        <v>4.18</v>
      </c>
      <c r="H1012">
        <v>18203</v>
      </c>
      <c r="I1012">
        <v>1.23</v>
      </c>
      <c r="J1012">
        <v>35</v>
      </c>
      <c r="K1012" t="s">
        <v>765</v>
      </c>
    </row>
    <row r="1013" spans="1:11">
      <c r="A1013" t="str">
        <f>"002522"</f>
        <v>002522</v>
      </c>
      <c r="B1013" t="s">
        <v>1302</v>
      </c>
      <c r="C1013">
        <v>53.76</v>
      </c>
      <c r="D1013">
        <v>35.44</v>
      </c>
      <c r="E1013">
        <v>23.08</v>
      </c>
      <c r="F1013">
        <v>9.06</v>
      </c>
      <c r="G1013">
        <v>9.05</v>
      </c>
      <c r="H1013">
        <v>53000</v>
      </c>
      <c r="I1013">
        <v>2.33</v>
      </c>
      <c r="J1013">
        <v>84.61</v>
      </c>
      <c r="K1013" t="s">
        <v>496</v>
      </c>
    </row>
    <row r="1014" spans="1:11">
      <c r="A1014" t="str">
        <f>"002523"</f>
        <v>002523</v>
      </c>
      <c r="B1014" t="s">
        <v>1303</v>
      </c>
      <c r="C1014">
        <v>65.78</v>
      </c>
      <c r="D1014">
        <v>46.5</v>
      </c>
      <c r="E1014">
        <v>25.05</v>
      </c>
      <c r="F1014">
        <v>14.17</v>
      </c>
      <c r="G1014">
        <v>14.12</v>
      </c>
      <c r="H1014">
        <v>49840</v>
      </c>
      <c r="I1014">
        <v>2.64</v>
      </c>
      <c r="J1014">
        <v>58.11</v>
      </c>
      <c r="K1014" t="s">
        <v>491</v>
      </c>
    </row>
    <row r="1015" spans="1:11">
      <c r="A1015" t="str">
        <f>"002524"</f>
        <v>002524</v>
      </c>
      <c r="B1015" t="s">
        <v>1304</v>
      </c>
      <c r="C1015">
        <v>22.78</v>
      </c>
      <c r="D1015">
        <v>12.14</v>
      </c>
      <c r="E1015">
        <v>1.22</v>
      </c>
      <c r="F1015">
        <v>5.15</v>
      </c>
      <c r="G1015">
        <v>5.11</v>
      </c>
      <c r="H1015">
        <v>35995</v>
      </c>
      <c r="I1015">
        <v>18.98</v>
      </c>
      <c r="J1015">
        <v>9946.82</v>
      </c>
      <c r="K1015" t="s">
        <v>181</v>
      </c>
    </row>
    <row r="1016" spans="1:11">
      <c r="A1016" t="str">
        <f>"002526"</f>
        <v>002526</v>
      </c>
      <c r="B1016" t="s">
        <v>1305</v>
      </c>
      <c r="C1016">
        <v>68.19</v>
      </c>
      <c r="D1016">
        <v>53.34</v>
      </c>
      <c r="E1016">
        <v>32.25</v>
      </c>
      <c r="F1016">
        <v>17.83</v>
      </c>
      <c r="G1016">
        <v>17.71</v>
      </c>
      <c r="H1016">
        <v>120000</v>
      </c>
      <c r="I1016">
        <v>2.13</v>
      </c>
      <c r="J1016">
        <v>46.94</v>
      </c>
      <c r="K1016" t="s">
        <v>491</v>
      </c>
    </row>
    <row r="1017" spans="1:11">
      <c r="A1017" t="str">
        <f>"002527"</f>
        <v>002527</v>
      </c>
      <c r="B1017" t="s">
        <v>1306</v>
      </c>
      <c r="C1017">
        <v>87.07</v>
      </c>
      <c r="D1017">
        <v>39.51</v>
      </c>
      <c r="E1017">
        <v>12.51</v>
      </c>
      <c r="F1017">
        <v>6.63</v>
      </c>
      <c r="G1017">
        <v>5.29</v>
      </c>
      <c r="H1017">
        <v>79014</v>
      </c>
      <c r="I1017">
        <v>8.72</v>
      </c>
      <c r="J1017">
        <v>1882.31</v>
      </c>
      <c r="K1017" t="s">
        <v>663</v>
      </c>
    </row>
    <row r="1018" spans="1:11">
      <c r="A1018" t="str">
        <f>"002528"</f>
        <v>002528</v>
      </c>
      <c r="B1018" t="s">
        <v>1307</v>
      </c>
      <c r="C1018">
        <v>29.72</v>
      </c>
      <c r="D1018">
        <v>18.91</v>
      </c>
      <c r="E1018">
        <v>1.01</v>
      </c>
      <c r="F1018">
        <v>11.99</v>
      </c>
      <c r="G1018">
        <v>10.5</v>
      </c>
      <c r="H1018">
        <v>56059</v>
      </c>
      <c r="I1018">
        <v>33.69</v>
      </c>
      <c r="J1018" t="s">
        <v>14</v>
      </c>
      <c r="K1018" t="s">
        <v>1022</v>
      </c>
    </row>
    <row r="1019" spans="1:11">
      <c r="A1019" t="str">
        <f>"002529"</f>
        <v>002529</v>
      </c>
      <c r="B1019" t="s">
        <v>1308</v>
      </c>
      <c r="C1019">
        <v>18.85</v>
      </c>
      <c r="D1019">
        <v>7.96</v>
      </c>
      <c r="E1019">
        <v>1.93</v>
      </c>
      <c r="F1019">
        <v>2.6</v>
      </c>
      <c r="G1019">
        <v>2.6</v>
      </c>
      <c r="H1019">
        <v>20600</v>
      </c>
      <c r="I1019">
        <v>9.74</v>
      </c>
      <c r="J1019" t="s">
        <v>14</v>
      </c>
      <c r="K1019" t="s">
        <v>493</v>
      </c>
    </row>
    <row r="1020" spans="1:11">
      <c r="A1020" t="str">
        <f>"002530"</f>
        <v>002530</v>
      </c>
      <c r="B1020" t="s">
        <v>1309</v>
      </c>
      <c r="C1020">
        <v>79.45</v>
      </c>
      <c r="D1020">
        <v>23.58</v>
      </c>
      <c r="E1020">
        <v>13.25</v>
      </c>
      <c r="F1020">
        <v>7.79</v>
      </c>
      <c r="G1020">
        <v>6.95</v>
      </c>
      <c r="H1020">
        <v>107812</v>
      </c>
      <c r="I1020">
        <v>6.72</v>
      </c>
      <c r="J1020">
        <v>116.12</v>
      </c>
      <c r="K1020" t="s">
        <v>744</v>
      </c>
    </row>
    <row r="1021" spans="1:11">
      <c r="A1021" t="str">
        <f>"002531"</f>
        <v>002531</v>
      </c>
      <c r="B1021" t="s">
        <v>1310</v>
      </c>
      <c r="C1021">
        <v>127.58</v>
      </c>
      <c r="D1021">
        <v>263.59</v>
      </c>
      <c r="E1021">
        <v>89.84</v>
      </c>
      <c r="F1021">
        <v>17.97</v>
      </c>
      <c r="G1021">
        <v>17.87</v>
      </c>
      <c r="H1021">
        <v>83053</v>
      </c>
      <c r="I1021">
        <v>1.43</v>
      </c>
      <c r="J1021">
        <v>138.04</v>
      </c>
      <c r="K1021" t="s">
        <v>456</v>
      </c>
    </row>
    <row r="1022" spans="1:11">
      <c r="A1022" t="str">
        <f>"002532"</f>
        <v>002532</v>
      </c>
      <c r="B1022" t="s">
        <v>1311</v>
      </c>
      <c r="C1022">
        <v>751.97</v>
      </c>
      <c r="D1022">
        <v>559.71</v>
      </c>
      <c r="E1022">
        <v>290.46</v>
      </c>
      <c r="F1022">
        <v>46.29</v>
      </c>
      <c r="G1022">
        <v>41.07</v>
      </c>
      <c r="H1022">
        <v>37812</v>
      </c>
      <c r="I1022">
        <v>2.93</v>
      </c>
      <c r="J1022">
        <v>19.03</v>
      </c>
      <c r="K1022" t="s">
        <v>288</v>
      </c>
    </row>
    <row r="1023" spans="1:11">
      <c r="A1023" t="str">
        <f>"002533"</f>
        <v>002533</v>
      </c>
      <c r="B1023" t="s">
        <v>1312</v>
      </c>
      <c r="C1023">
        <v>81.75</v>
      </c>
      <c r="D1023">
        <v>119.03</v>
      </c>
      <c r="E1023">
        <v>43.09</v>
      </c>
      <c r="F1023">
        <v>7.34</v>
      </c>
      <c r="G1023">
        <v>6.38</v>
      </c>
      <c r="H1023">
        <v>41278</v>
      </c>
      <c r="I1023">
        <v>2.18</v>
      </c>
      <c r="J1023">
        <v>15.21</v>
      </c>
      <c r="K1023" t="s">
        <v>383</v>
      </c>
    </row>
    <row r="1024" spans="1:11">
      <c r="A1024" t="str">
        <f>"002534"</f>
        <v>002534</v>
      </c>
      <c r="B1024" t="s">
        <v>1313</v>
      </c>
      <c r="C1024">
        <v>145.15</v>
      </c>
      <c r="D1024">
        <v>147.41</v>
      </c>
      <c r="E1024">
        <v>53.32</v>
      </c>
      <c r="F1024">
        <v>8.36</v>
      </c>
      <c r="G1024">
        <v>8.25</v>
      </c>
      <c r="H1024">
        <v>30546</v>
      </c>
      <c r="I1024">
        <v>2.76</v>
      </c>
      <c r="J1024">
        <v>62.5</v>
      </c>
      <c r="K1024" t="s">
        <v>1010</v>
      </c>
    </row>
    <row r="1025" spans="1:11">
      <c r="A1025" t="str">
        <f>"002535"</f>
        <v>002535</v>
      </c>
      <c r="B1025" t="s">
        <v>1314</v>
      </c>
      <c r="C1025">
        <v>29.26</v>
      </c>
      <c r="D1025">
        <v>41.21</v>
      </c>
      <c r="E1025">
        <v>7.09</v>
      </c>
      <c r="F1025">
        <v>8.02</v>
      </c>
      <c r="G1025">
        <v>7.46</v>
      </c>
      <c r="H1025">
        <v>56405</v>
      </c>
      <c r="I1025">
        <v>4.43</v>
      </c>
      <c r="J1025">
        <v>33.08</v>
      </c>
      <c r="K1025" t="s">
        <v>491</v>
      </c>
    </row>
    <row r="1026" spans="1:11">
      <c r="A1026" t="str">
        <f>"002536"</f>
        <v>002536</v>
      </c>
      <c r="B1026" t="s">
        <v>1315</v>
      </c>
      <c r="C1026">
        <v>156.36</v>
      </c>
      <c r="D1026">
        <v>57.12</v>
      </c>
      <c r="E1026">
        <v>34.57</v>
      </c>
      <c r="F1026">
        <v>5.75</v>
      </c>
      <c r="G1026">
        <v>5.44</v>
      </c>
      <c r="H1026">
        <v>80000</v>
      </c>
      <c r="I1026">
        <v>4.77</v>
      </c>
      <c r="J1026">
        <v>43.18</v>
      </c>
      <c r="K1026" t="s">
        <v>51</v>
      </c>
    </row>
    <row r="1027" spans="1:11">
      <c r="A1027" t="str">
        <f>"002537"</f>
        <v>002537</v>
      </c>
      <c r="B1027" t="s">
        <v>1316</v>
      </c>
      <c r="C1027">
        <v>107.1</v>
      </c>
      <c r="D1027">
        <v>90.32</v>
      </c>
      <c r="E1027">
        <v>42.29</v>
      </c>
      <c r="F1027">
        <v>11.74</v>
      </c>
      <c r="G1027">
        <v>11.69</v>
      </c>
      <c r="H1027">
        <v>118794</v>
      </c>
      <c r="I1027">
        <v>2.54</v>
      </c>
      <c r="J1027">
        <v>40.2</v>
      </c>
      <c r="K1027" t="s">
        <v>356</v>
      </c>
    </row>
    <row r="1028" spans="1:11">
      <c r="A1028" t="str">
        <f>"002538"</f>
        <v>002538</v>
      </c>
      <c r="B1028" t="s">
        <v>1317</v>
      </c>
      <c r="C1028">
        <v>54.12</v>
      </c>
      <c r="D1028">
        <v>63.75</v>
      </c>
      <c r="E1028">
        <v>53.66</v>
      </c>
      <c r="F1028">
        <v>8.54</v>
      </c>
      <c r="G1028">
        <v>8.54</v>
      </c>
      <c r="H1028">
        <v>40962</v>
      </c>
      <c r="I1028">
        <v>1.01</v>
      </c>
      <c r="J1028">
        <v>26.14</v>
      </c>
      <c r="K1028" t="s">
        <v>532</v>
      </c>
    </row>
    <row r="1029" spans="1:11">
      <c r="A1029" t="str">
        <f>"002539"</f>
        <v>002539</v>
      </c>
      <c r="B1029" t="s">
        <v>1318</v>
      </c>
      <c r="C1029">
        <v>104.42</v>
      </c>
      <c r="D1029">
        <v>255.51</v>
      </c>
      <c r="E1029">
        <v>92.57</v>
      </c>
      <c r="F1029">
        <v>12.08</v>
      </c>
      <c r="G1029">
        <v>8.81</v>
      </c>
      <c r="H1029">
        <v>46152</v>
      </c>
      <c r="I1029">
        <v>1.55</v>
      </c>
      <c r="J1029">
        <v>15.9</v>
      </c>
      <c r="K1029" t="s">
        <v>532</v>
      </c>
    </row>
    <row r="1030" spans="1:11">
      <c r="A1030" t="str">
        <f>"002540"</f>
        <v>002540</v>
      </c>
      <c r="B1030" t="s">
        <v>1319</v>
      </c>
      <c r="C1030">
        <v>62.16</v>
      </c>
      <c r="D1030">
        <v>81.5</v>
      </c>
      <c r="E1030">
        <v>55.07</v>
      </c>
      <c r="F1030">
        <v>12.51</v>
      </c>
      <c r="G1030">
        <v>8.72</v>
      </c>
      <c r="H1030">
        <v>52510</v>
      </c>
      <c r="I1030">
        <v>1.64</v>
      </c>
      <c r="J1030">
        <v>22.72</v>
      </c>
      <c r="K1030" t="s">
        <v>288</v>
      </c>
    </row>
    <row r="1031" spans="1:11">
      <c r="A1031" t="str">
        <f>"002541"</f>
        <v>002541</v>
      </c>
      <c r="B1031" t="s">
        <v>1320</v>
      </c>
      <c r="C1031">
        <v>101.36</v>
      </c>
      <c r="D1031">
        <v>279.11</v>
      </c>
      <c r="E1031">
        <v>98.62</v>
      </c>
      <c r="F1031">
        <v>6.9</v>
      </c>
      <c r="G1031">
        <v>4.96</v>
      </c>
      <c r="H1031">
        <v>16372</v>
      </c>
      <c r="I1031">
        <v>1.47</v>
      </c>
      <c r="J1031">
        <v>21.3</v>
      </c>
      <c r="K1031" t="s">
        <v>904</v>
      </c>
    </row>
    <row r="1032" spans="1:11">
      <c r="A1032" t="str">
        <f>"002542"</f>
        <v>002542</v>
      </c>
      <c r="B1032" t="s">
        <v>1321</v>
      </c>
      <c r="C1032">
        <v>67.36</v>
      </c>
      <c r="D1032">
        <v>53.86</v>
      </c>
      <c r="E1032">
        <v>5.23</v>
      </c>
      <c r="F1032">
        <v>18.06</v>
      </c>
      <c r="G1032">
        <v>17.59</v>
      </c>
      <c r="H1032">
        <v>153870</v>
      </c>
      <c r="I1032">
        <v>13.25</v>
      </c>
      <c r="J1032" t="s">
        <v>14</v>
      </c>
      <c r="K1032" t="s">
        <v>55</v>
      </c>
    </row>
    <row r="1033" spans="1:11">
      <c r="A1033" t="str">
        <f>"002543"</f>
        <v>002543</v>
      </c>
      <c r="B1033" t="s">
        <v>1322</v>
      </c>
      <c r="C1033">
        <v>67.09</v>
      </c>
      <c r="D1033">
        <v>84.19</v>
      </c>
      <c r="E1033">
        <v>50.6</v>
      </c>
      <c r="F1033">
        <v>7.44</v>
      </c>
      <c r="G1033">
        <v>6.62</v>
      </c>
      <c r="H1033">
        <v>18920</v>
      </c>
      <c r="I1033">
        <v>1.49</v>
      </c>
      <c r="J1033">
        <v>11.8</v>
      </c>
      <c r="K1033" t="s">
        <v>790</v>
      </c>
    </row>
    <row r="1034" spans="1:11">
      <c r="A1034" t="str">
        <f>"002544"</f>
        <v>002544</v>
      </c>
      <c r="B1034" t="s">
        <v>1323</v>
      </c>
      <c r="C1034">
        <v>245.65</v>
      </c>
      <c r="D1034">
        <v>93.78</v>
      </c>
      <c r="E1034">
        <v>37.36</v>
      </c>
      <c r="F1034">
        <v>6.81</v>
      </c>
      <c r="G1034">
        <v>6.8</v>
      </c>
      <c r="H1034">
        <v>28785</v>
      </c>
      <c r="I1034">
        <v>6.58</v>
      </c>
      <c r="J1034">
        <v>1049.48</v>
      </c>
      <c r="K1034" t="s">
        <v>1324</v>
      </c>
    </row>
    <row r="1035" spans="1:11">
      <c r="A1035" t="str">
        <f>"002545"</f>
        <v>002545</v>
      </c>
      <c r="B1035" t="s">
        <v>1325</v>
      </c>
      <c r="C1035">
        <v>234.96</v>
      </c>
      <c r="D1035">
        <v>139.9</v>
      </c>
      <c r="E1035">
        <v>94.44</v>
      </c>
      <c r="F1035">
        <v>12.44</v>
      </c>
      <c r="G1035">
        <v>11.3</v>
      </c>
      <c r="H1035">
        <v>20418</v>
      </c>
      <c r="I1035">
        <v>2.74</v>
      </c>
      <c r="J1035">
        <v>23.43</v>
      </c>
      <c r="K1035" t="s">
        <v>138</v>
      </c>
    </row>
    <row r="1036" spans="1:11">
      <c r="A1036" t="str">
        <f>"002546"</f>
        <v>002546</v>
      </c>
      <c r="B1036" t="s">
        <v>1326</v>
      </c>
      <c r="C1036">
        <v>57.05</v>
      </c>
      <c r="D1036">
        <v>41.23</v>
      </c>
      <c r="E1036">
        <v>37.5</v>
      </c>
      <c r="F1036">
        <v>8.34</v>
      </c>
      <c r="G1036">
        <v>8.01</v>
      </c>
      <c r="H1036">
        <v>52000</v>
      </c>
      <c r="I1036">
        <v>1.58</v>
      </c>
      <c r="J1036">
        <v>8.33</v>
      </c>
      <c r="K1036" t="s">
        <v>888</v>
      </c>
    </row>
    <row r="1037" spans="1:11">
      <c r="A1037" t="str">
        <f>"002547"</f>
        <v>002547</v>
      </c>
      <c r="B1037" t="s">
        <v>1327</v>
      </c>
      <c r="C1037">
        <v>52.48</v>
      </c>
      <c r="D1037">
        <v>47.55</v>
      </c>
      <c r="E1037">
        <v>-1.52</v>
      </c>
      <c r="F1037">
        <v>11.28</v>
      </c>
      <c r="G1037">
        <v>11.05</v>
      </c>
      <c r="H1037">
        <v>155318</v>
      </c>
      <c r="I1037">
        <v>-35.19</v>
      </c>
      <c r="J1037" t="s">
        <v>14</v>
      </c>
      <c r="K1037" t="s">
        <v>517</v>
      </c>
    </row>
    <row r="1038" spans="1:11">
      <c r="A1038" t="str">
        <f>"002548"</f>
        <v>002548</v>
      </c>
      <c r="B1038" t="s">
        <v>1328</v>
      </c>
      <c r="C1038">
        <v>51.49</v>
      </c>
      <c r="D1038">
        <v>54.51</v>
      </c>
      <c r="E1038">
        <v>14.25</v>
      </c>
      <c r="F1038">
        <v>8.28</v>
      </c>
      <c r="G1038">
        <v>8.04</v>
      </c>
      <c r="H1038">
        <v>37534</v>
      </c>
      <c r="I1038">
        <v>3.72</v>
      </c>
      <c r="J1038" t="s">
        <v>14</v>
      </c>
      <c r="K1038" t="s">
        <v>359</v>
      </c>
    </row>
    <row r="1039" spans="1:11">
      <c r="A1039" t="str">
        <f>"002549"</f>
        <v>002549</v>
      </c>
      <c r="B1039" t="s">
        <v>1329</v>
      </c>
      <c r="C1039">
        <v>152.46</v>
      </c>
      <c r="D1039">
        <v>28.8</v>
      </c>
      <c r="E1039">
        <v>20.68</v>
      </c>
      <c r="F1039">
        <v>6.95</v>
      </c>
      <c r="G1039">
        <v>6.92</v>
      </c>
      <c r="H1039">
        <v>192708</v>
      </c>
      <c r="I1039">
        <v>7.4</v>
      </c>
      <c r="J1039">
        <v>152.31</v>
      </c>
      <c r="K1039" t="s">
        <v>1330</v>
      </c>
    </row>
    <row r="1040" spans="1:11">
      <c r="A1040" t="str">
        <f>"002550"</f>
        <v>002550</v>
      </c>
      <c r="B1040" t="s">
        <v>1331</v>
      </c>
      <c r="C1040">
        <v>77.75</v>
      </c>
      <c r="D1040">
        <v>30.15</v>
      </c>
      <c r="E1040">
        <v>27.51</v>
      </c>
      <c r="F1040">
        <v>12.8</v>
      </c>
      <c r="G1040">
        <v>9.41</v>
      </c>
      <c r="H1040">
        <v>73615</v>
      </c>
      <c r="I1040">
        <v>3.84</v>
      </c>
      <c r="J1040">
        <v>20.69</v>
      </c>
      <c r="K1040" t="s">
        <v>210</v>
      </c>
    </row>
    <row r="1041" spans="1:11">
      <c r="A1041" t="str">
        <f>"002551"</f>
        <v>002551</v>
      </c>
      <c r="B1041" t="s">
        <v>1332</v>
      </c>
      <c r="C1041">
        <v>24.02</v>
      </c>
      <c r="D1041">
        <v>35.6</v>
      </c>
      <c r="E1041">
        <v>25.92</v>
      </c>
      <c r="F1041">
        <v>8.45</v>
      </c>
      <c r="G1041">
        <v>6.11</v>
      </c>
      <c r="H1041">
        <v>65472</v>
      </c>
      <c r="I1041">
        <v>1.28</v>
      </c>
      <c r="J1041" t="s">
        <v>14</v>
      </c>
      <c r="K1041" t="s">
        <v>170</v>
      </c>
    </row>
    <row r="1042" spans="1:11">
      <c r="A1042" t="str">
        <f>"002552"</f>
        <v>002552</v>
      </c>
      <c r="B1042" t="s">
        <v>1333</v>
      </c>
      <c r="C1042">
        <v>67.44</v>
      </c>
      <c r="D1042">
        <v>49.02</v>
      </c>
      <c r="E1042">
        <v>14.26</v>
      </c>
      <c r="F1042">
        <v>3.88</v>
      </c>
      <c r="G1042">
        <v>3.69</v>
      </c>
      <c r="H1042">
        <v>18562</v>
      </c>
      <c r="I1042">
        <v>4.98</v>
      </c>
      <c r="J1042">
        <v>102.77</v>
      </c>
      <c r="K1042" t="s">
        <v>472</v>
      </c>
    </row>
    <row r="1043" spans="1:11">
      <c r="A1043" t="str">
        <f>"002553"</f>
        <v>002553</v>
      </c>
      <c r="B1043" t="s">
        <v>1334</v>
      </c>
      <c r="C1043">
        <v>68.07</v>
      </c>
      <c r="D1043">
        <v>18.05</v>
      </c>
      <c r="E1043">
        <v>14.64</v>
      </c>
      <c r="F1043">
        <v>3.53</v>
      </c>
      <c r="G1043">
        <v>2.51</v>
      </c>
      <c r="H1043">
        <v>93523</v>
      </c>
      <c r="I1043">
        <v>6.45</v>
      </c>
      <c r="J1043">
        <v>19.63</v>
      </c>
      <c r="K1043" t="s">
        <v>51</v>
      </c>
    </row>
    <row r="1044" spans="1:11">
      <c r="A1044" t="str">
        <f>"002554"</f>
        <v>002554</v>
      </c>
      <c r="B1044" t="s">
        <v>1335</v>
      </c>
      <c r="C1044">
        <v>47.34</v>
      </c>
      <c r="D1044">
        <v>57.59</v>
      </c>
      <c r="E1044">
        <v>23.68</v>
      </c>
      <c r="F1044">
        <v>13.34</v>
      </c>
      <c r="G1044">
        <v>13.33</v>
      </c>
      <c r="H1044">
        <v>44540</v>
      </c>
      <c r="I1044">
        <v>2</v>
      </c>
      <c r="J1044">
        <v>337.34</v>
      </c>
      <c r="K1044" t="s">
        <v>1336</v>
      </c>
    </row>
    <row r="1045" spans="1:11">
      <c r="A1045" t="str">
        <f>"002555"</f>
        <v>002555</v>
      </c>
      <c r="B1045" t="s">
        <v>1337</v>
      </c>
      <c r="C1045">
        <v>472.81</v>
      </c>
      <c r="D1045">
        <v>213.37</v>
      </c>
      <c r="E1045">
        <v>134.58</v>
      </c>
      <c r="F1045">
        <v>22.12</v>
      </c>
      <c r="G1045">
        <v>15.99</v>
      </c>
      <c r="H1045">
        <v>159346</v>
      </c>
      <c r="I1045">
        <v>4.86</v>
      </c>
      <c r="J1045">
        <v>20.92</v>
      </c>
      <c r="K1045" t="s">
        <v>950</v>
      </c>
    </row>
    <row r="1046" spans="1:11">
      <c r="A1046" t="str">
        <f>"002556"</f>
        <v>002556</v>
      </c>
      <c r="B1046" t="s">
        <v>1338</v>
      </c>
      <c r="C1046">
        <v>57.4</v>
      </c>
      <c r="D1046">
        <v>109.86</v>
      </c>
      <c r="E1046">
        <v>36.18</v>
      </c>
      <c r="F1046">
        <v>9.47</v>
      </c>
      <c r="G1046">
        <v>9.46</v>
      </c>
      <c r="H1046">
        <v>41064</v>
      </c>
      <c r="I1046">
        <v>1.59</v>
      </c>
      <c r="J1046">
        <v>26.16</v>
      </c>
      <c r="K1046" t="s">
        <v>532</v>
      </c>
    </row>
    <row r="1047" spans="1:11">
      <c r="A1047" t="str">
        <f>"002557"</f>
        <v>002557</v>
      </c>
      <c r="B1047" t="s">
        <v>1339</v>
      </c>
      <c r="C1047">
        <v>115.49</v>
      </c>
      <c r="D1047">
        <v>86.88</v>
      </c>
      <c r="E1047">
        <v>52.7</v>
      </c>
      <c r="F1047">
        <v>5.06</v>
      </c>
      <c r="G1047">
        <v>5.05</v>
      </c>
      <c r="H1047">
        <v>54289</v>
      </c>
      <c r="I1047">
        <v>2.23</v>
      </c>
      <c r="J1047">
        <v>51.67</v>
      </c>
      <c r="K1047" t="s">
        <v>1340</v>
      </c>
    </row>
    <row r="1048" spans="1:11">
      <c r="A1048" t="str">
        <f>"002558"</f>
        <v>002558</v>
      </c>
      <c r="B1048" t="s">
        <v>1341</v>
      </c>
      <c r="C1048">
        <v>909.72</v>
      </c>
      <c r="D1048">
        <v>181.9</v>
      </c>
      <c r="E1048">
        <v>151.71</v>
      </c>
      <c r="F1048">
        <v>19.35</v>
      </c>
      <c r="G1048">
        <v>19.35</v>
      </c>
      <c r="H1048">
        <v>60989</v>
      </c>
      <c r="I1048">
        <v>6</v>
      </c>
      <c r="J1048">
        <v>48.16</v>
      </c>
      <c r="K1048" t="s">
        <v>950</v>
      </c>
    </row>
    <row r="1049" spans="1:11">
      <c r="A1049" t="str">
        <f>"002559"</f>
        <v>002559</v>
      </c>
      <c r="B1049" t="s">
        <v>1342</v>
      </c>
      <c r="C1049">
        <v>51.99</v>
      </c>
      <c r="D1049">
        <v>47.31</v>
      </c>
      <c r="E1049">
        <v>17.69</v>
      </c>
      <c r="F1049">
        <v>5.5</v>
      </c>
      <c r="G1049">
        <v>5</v>
      </c>
      <c r="H1049">
        <v>71036</v>
      </c>
      <c r="I1049">
        <v>3.23</v>
      </c>
      <c r="J1049">
        <v>41.96</v>
      </c>
      <c r="K1049" t="s">
        <v>141</v>
      </c>
    </row>
    <row r="1050" spans="1:11">
      <c r="A1050" t="str">
        <f>"002560"</f>
        <v>002560</v>
      </c>
      <c r="B1050" t="s">
        <v>1343</v>
      </c>
      <c r="C1050">
        <v>47.11</v>
      </c>
      <c r="D1050">
        <v>53.77</v>
      </c>
      <c r="E1050">
        <v>26.79</v>
      </c>
      <c r="F1050">
        <v>5.26</v>
      </c>
      <c r="G1050">
        <v>4.53</v>
      </c>
      <c r="H1050">
        <v>56840</v>
      </c>
      <c r="I1050">
        <v>2.04</v>
      </c>
      <c r="J1050">
        <v>31.07</v>
      </c>
      <c r="K1050" t="s">
        <v>383</v>
      </c>
    </row>
    <row r="1051" spans="1:11">
      <c r="A1051" t="str">
        <f>"002561"</f>
        <v>002561</v>
      </c>
      <c r="B1051" t="s">
        <v>1344</v>
      </c>
      <c r="C1051">
        <v>39.33</v>
      </c>
      <c r="D1051">
        <v>26.18</v>
      </c>
      <c r="E1051">
        <v>21.82</v>
      </c>
      <c r="F1051">
        <v>4.16</v>
      </c>
      <c r="G1051">
        <v>4.14</v>
      </c>
      <c r="H1051">
        <v>40000</v>
      </c>
      <c r="I1051">
        <v>1.81</v>
      </c>
      <c r="J1051" t="s">
        <v>14</v>
      </c>
      <c r="K1051" t="s">
        <v>146</v>
      </c>
    </row>
    <row r="1052" spans="1:11">
      <c r="A1052" t="str">
        <f>"002562"</f>
        <v>002562</v>
      </c>
      <c r="B1052" t="s">
        <v>1345</v>
      </c>
      <c r="C1052">
        <v>47.07</v>
      </c>
      <c r="D1052">
        <v>64.25</v>
      </c>
      <c r="E1052">
        <v>36.8</v>
      </c>
      <c r="F1052">
        <v>11.43</v>
      </c>
      <c r="G1052">
        <v>7.02</v>
      </c>
      <c r="H1052">
        <v>101582</v>
      </c>
      <c r="I1052">
        <v>1.94</v>
      </c>
      <c r="J1052">
        <v>56.7</v>
      </c>
      <c r="K1052" t="s">
        <v>752</v>
      </c>
    </row>
    <row r="1053" spans="1:11">
      <c r="A1053" t="str">
        <f>"002563"</f>
        <v>002563</v>
      </c>
      <c r="B1053" t="s">
        <v>1346</v>
      </c>
      <c r="C1053">
        <v>119.7</v>
      </c>
      <c r="D1053">
        <v>181.55</v>
      </c>
      <c r="E1053">
        <v>114.57</v>
      </c>
      <c r="F1053">
        <v>26.94</v>
      </c>
      <c r="G1053">
        <v>22.08</v>
      </c>
      <c r="H1053">
        <v>49853</v>
      </c>
      <c r="I1053">
        <v>1.27</v>
      </c>
      <c r="J1053">
        <v>20.4</v>
      </c>
      <c r="K1053" t="s">
        <v>622</v>
      </c>
    </row>
    <row r="1054" spans="1:11">
      <c r="A1054" t="str">
        <f>"002564"</f>
        <v>002564</v>
      </c>
      <c r="B1054" t="s">
        <v>1347</v>
      </c>
      <c r="C1054">
        <v>67.08</v>
      </c>
      <c r="D1054">
        <v>54.8</v>
      </c>
      <c r="E1054">
        <v>1.97</v>
      </c>
      <c r="F1054">
        <v>8.59</v>
      </c>
      <c r="G1054">
        <v>8.59</v>
      </c>
      <c r="H1054">
        <v>44798</v>
      </c>
      <c r="I1054">
        <v>34.1</v>
      </c>
      <c r="J1054">
        <v>87.3</v>
      </c>
      <c r="K1054" t="s">
        <v>493</v>
      </c>
    </row>
    <row r="1055" spans="1:11">
      <c r="A1055" t="str">
        <f>"002565"</f>
        <v>002565</v>
      </c>
      <c r="B1055" t="s">
        <v>1348</v>
      </c>
      <c r="C1055">
        <v>196.51</v>
      </c>
      <c r="D1055">
        <v>26.38</v>
      </c>
      <c r="E1055">
        <v>18.65</v>
      </c>
      <c r="F1055">
        <v>10.6</v>
      </c>
      <c r="G1055">
        <v>10.6</v>
      </c>
      <c r="H1055">
        <v>43939</v>
      </c>
      <c r="I1055">
        <v>10.54</v>
      </c>
      <c r="J1055">
        <v>218.94</v>
      </c>
      <c r="K1055" t="s">
        <v>460</v>
      </c>
    </row>
    <row r="1056" spans="1:11">
      <c r="A1056" t="str">
        <f>"002566"</f>
        <v>002566</v>
      </c>
      <c r="B1056" t="s">
        <v>1349</v>
      </c>
      <c r="C1056">
        <v>18.47</v>
      </c>
      <c r="D1056">
        <v>29.84</v>
      </c>
      <c r="E1056">
        <v>22.27</v>
      </c>
      <c r="F1056">
        <v>3.31</v>
      </c>
      <c r="G1056">
        <v>2.32</v>
      </c>
      <c r="H1056">
        <v>23263</v>
      </c>
      <c r="I1056">
        <v>1.18</v>
      </c>
      <c r="J1056">
        <v>81.99</v>
      </c>
      <c r="K1056" t="s">
        <v>155</v>
      </c>
    </row>
    <row r="1057" spans="1:11">
      <c r="A1057" t="str">
        <f>"002567"</f>
        <v>002567</v>
      </c>
      <c r="B1057" t="s">
        <v>1350</v>
      </c>
      <c r="C1057">
        <v>63.13</v>
      </c>
      <c r="D1057">
        <v>179.01</v>
      </c>
      <c r="E1057">
        <v>54.85</v>
      </c>
      <c r="F1057">
        <v>14.33</v>
      </c>
      <c r="G1057">
        <v>14.31</v>
      </c>
      <c r="H1057">
        <v>73687</v>
      </c>
      <c r="I1057">
        <v>1.15</v>
      </c>
      <c r="J1057" t="s">
        <v>14</v>
      </c>
      <c r="K1057" t="s">
        <v>359</v>
      </c>
    </row>
    <row r="1058" spans="1:11">
      <c r="A1058" t="str">
        <f>"002568"</f>
        <v>002568</v>
      </c>
      <c r="B1058" t="s">
        <v>1351</v>
      </c>
      <c r="C1058">
        <v>158.5</v>
      </c>
      <c r="D1058">
        <v>83.7</v>
      </c>
      <c r="E1058">
        <v>48.84</v>
      </c>
      <c r="F1058">
        <v>10.49</v>
      </c>
      <c r="G1058">
        <v>7.23</v>
      </c>
      <c r="H1058">
        <v>41668</v>
      </c>
      <c r="I1058">
        <v>4.84</v>
      </c>
      <c r="J1058">
        <v>31.4</v>
      </c>
      <c r="K1058" t="s">
        <v>1352</v>
      </c>
    </row>
    <row r="1059" spans="1:11">
      <c r="A1059" t="str">
        <f>"002569"</f>
        <v>002569</v>
      </c>
      <c r="B1059" t="s">
        <v>1353</v>
      </c>
      <c r="C1059">
        <v>21.76</v>
      </c>
      <c r="D1059">
        <v>1.98</v>
      </c>
      <c r="E1059">
        <v>0.29</v>
      </c>
      <c r="F1059">
        <v>1.44</v>
      </c>
      <c r="G1059">
        <v>1.4</v>
      </c>
      <c r="H1059">
        <v>4807</v>
      </c>
      <c r="I1059">
        <v>77.75</v>
      </c>
      <c r="J1059" t="s">
        <v>14</v>
      </c>
      <c r="K1059" t="s">
        <v>622</v>
      </c>
    </row>
    <row r="1060" spans="1:11">
      <c r="A1060" t="str">
        <f>"002570"</f>
        <v>002570</v>
      </c>
      <c r="B1060" t="s">
        <v>1354</v>
      </c>
      <c r="C1060">
        <v>66.35</v>
      </c>
      <c r="D1060">
        <v>40.39</v>
      </c>
      <c r="E1060">
        <v>17.2</v>
      </c>
      <c r="F1060">
        <v>10.8</v>
      </c>
      <c r="G1060">
        <v>10.51</v>
      </c>
      <c r="H1060">
        <v>147904</v>
      </c>
      <c r="I1060">
        <v>3.96</v>
      </c>
      <c r="J1060">
        <v>48.08</v>
      </c>
      <c r="K1060" t="s">
        <v>699</v>
      </c>
    </row>
    <row r="1061" spans="1:11">
      <c r="A1061" t="str">
        <f>"002571"</f>
        <v>002571</v>
      </c>
      <c r="B1061" t="s">
        <v>1355</v>
      </c>
      <c r="C1061">
        <v>37.05</v>
      </c>
      <c r="D1061">
        <v>30.77</v>
      </c>
      <c r="E1061">
        <v>9.76</v>
      </c>
      <c r="F1061">
        <v>3.92</v>
      </c>
      <c r="G1061">
        <v>2.98</v>
      </c>
      <c r="H1061">
        <v>16567</v>
      </c>
      <c r="I1061">
        <v>4.99</v>
      </c>
      <c r="J1061" t="s">
        <v>14</v>
      </c>
      <c r="K1061" t="s">
        <v>625</v>
      </c>
    </row>
    <row r="1062" spans="1:11">
      <c r="A1062" t="str">
        <f>"002572"</f>
        <v>002572</v>
      </c>
      <c r="B1062" t="s">
        <v>1356</v>
      </c>
      <c r="C1062">
        <v>87.88</v>
      </c>
      <c r="D1062">
        <v>137.44</v>
      </c>
      <c r="E1062">
        <v>72.05</v>
      </c>
      <c r="F1062">
        <v>9.63</v>
      </c>
      <c r="G1062">
        <v>6.51</v>
      </c>
      <c r="H1062">
        <v>48958</v>
      </c>
      <c r="I1062">
        <v>1.8</v>
      </c>
      <c r="J1062">
        <v>14.3</v>
      </c>
      <c r="K1062" t="s">
        <v>540</v>
      </c>
    </row>
    <row r="1063" spans="1:11">
      <c r="A1063" t="str">
        <f>"002573"</f>
        <v>002573</v>
      </c>
      <c r="B1063" t="s">
        <v>1357</v>
      </c>
      <c r="C1063">
        <v>54.53</v>
      </c>
      <c r="D1063">
        <v>242.63</v>
      </c>
      <c r="E1063">
        <v>59.42</v>
      </c>
      <c r="F1063">
        <v>14.15</v>
      </c>
      <c r="G1063">
        <v>14.13</v>
      </c>
      <c r="H1063">
        <v>43590</v>
      </c>
      <c r="I1063">
        <v>0.92</v>
      </c>
      <c r="J1063">
        <v>209.83</v>
      </c>
      <c r="K1063" t="s">
        <v>90</v>
      </c>
    </row>
    <row r="1064" spans="1:11">
      <c r="A1064" t="str">
        <f>"002574"</f>
        <v>002574</v>
      </c>
      <c r="B1064" t="s">
        <v>1358</v>
      </c>
      <c r="C1064">
        <v>40.6</v>
      </c>
      <c r="D1064">
        <v>70.28</v>
      </c>
      <c r="E1064">
        <v>29.78</v>
      </c>
      <c r="F1064">
        <v>5.28</v>
      </c>
      <c r="G1064">
        <v>5.28</v>
      </c>
      <c r="H1064">
        <v>31500</v>
      </c>
      <c r="I1064">
        <v>1.36</v>
      </c>
      <c r="J1064" t="s">
        <v>14</v>
      </c>
      <c r="K1064" t="s">
        <v>35</v>
      </c>
    </row>
    <row r="1065" spans="1:11">
      <c r="A1065" t="str">
        <f>"002575"</f>
        <v>002575</v>
      </c>
      <c r="B1065" t="s">
        <v>1359</v>
      </c>
      <c r="C1065">
        <v>38.99</v>
      </c>
      <c r="D1065">
        <v>9.29</v>
      </c>
      <c r="E1065">
        <v>8.29</v>
      </c>
      <c r="F1065">
        <v>6.17</v>
      </c>
      <c r="G1065">
        <v>5.85</v>
      </c>
      <c r="H1065">
        <v>40241</v>
      </c>
      <c r="I1065">
        <v>4.95</v>
      </c>
      <c r="J1065" t="s">
        <v>14</v>
      </c>
      <c r="K1065" t="s">
        <v>43</v>
      </c>
    </row>
    <row r="1066" spans="1:11">
      <c r="A1066" t="str">
        <f>"002576"</f>
        <v>002576</v>
      </c>
      <c r="B1066" t="s">
        <v>1360</v>
      </c>
      <c r="C1066">
        <v>28.19</v>
      </c>
      <c r="D1066">
        <v>21.45</v>
      </c>
      <c r="E1066">
        <v>13.06</v>
      </c>
      <c r="F1066">
        <v>1.65</v>
      </c>
      <c r="G1066">
        <v>1.62</v>
      </c>
      <c r="H1066">
        <v>27253</v>
      </c>
      <c r="I1066">
        <v>2.2</v>
      </c>
      <c r="J1066">
        <v>34.52</v>
      </c>
      <c r="K1066" t="s">
        <v>552</v>
      </c>
    </row>
    <row r="1067" spans="1:11">
      <c r="A1067" t="str">
        <f>"002577"</f>
        <v>002577</v>
      </c>
      <c r="B1067" t="s">
        <v>1361</v>
      </c>
      <c r="C1067">
        <v>52.99</v>
      </c>
      <c r="D1067">
        <v>13.58</v>
      </c>
      <c r="E1067">
        <v>11.83</v>
      </c>
      <c r="F1067">
        <v>2.81</v>
      </c>
      <c r="G1067">
        <v>2.81</v>
      </c>
      <c r="H1067">
        <v>34903</v>
      </c>
      <c r="I1067">
        <v>4.5</v>
      </c>
      <c r="J1067">
        <v>485.17</v>
      </c>
      <c r="K1067" t="s">
        <v>88</v>
      </c>
    </row>
    <row r="1068" spans="1:11">
      <c r="A1068" t="str">
        <f>"002578"</f>
        <v>002578</v>
      </c>
      <c r="B1068" t="s">
        <v>1362</v>
      </c>
      <c r="C1068">
        <v>37.98</v>
      </c>
      <c r="D1068">
        <v>25.08</v>
      </c>
      <c r="E1068">
        <v>15.18</v>
      </c>
      <c r="F1068">
        <v>9.39</v>
      </c>
      <c r="G1068">
        <v>8.61</v>
      </c>
      <c r="H1068">
        <v>35936</v>
      </c>
      <c r="I1068">
        <v>2.73</v>
      </c>
      <c r="J1068" t="s">
        <v>14</v>
      </c>
      <c r="K1068" t="s">
        <v>288</v>
      </c>
    </row>
    <row r="1069" spans="1:11">
      <c r="A1069" t="str">
        <f>"002579"</f>
        <v>002579</v>
      </c>
      <c r="B1069" t="s">
        <v>1363</v>
      </c>
      <c r="C1069">
        <v>71.06</v>
      </c>
      <c r="D1069">
        <v>65.93</v>
      </c>
      <c r="E1069">
        <v>24.19</v>
      </c>
      <c r="F1069">
        <v>6.13</v>
      </c>
      <c r="G1069">
        <v>5.83</v>
      </c>
      <c r="H1069">
        <v>112423</v>
      </c>
      <c r="I1069">
        <v>3.08</v>
      </c>
      <c r="J1069">
        <v>218.51</v>
      </c>
      <c r="K1069" t="s">
        <v>472</v>
      </c>
    </row>
    <row r="1070" spans="1:11">
      <c r="A1070" t="str">
        <f>"002580"</f>
        <v>002580</v>
      </c>
      <c r="B1070" t="s">
        <v>1364</v>
      </c>
      <c r="C1070">
        <v>58.98</v>
      </c>
      <c r="D1070">
        <v>40.38</v>
      </c>
      <c r="E1070">
        <v>23.27</v>
      </c>
      <c r="F1070">
        <v>4.54</v>
      </c>
      <c r="G1070">
        <v>4.52</v>
      </c>
      <c r="H1070">
        <v>59607</v>
      </c>
      <c r="I1070">
        <v>2.54</v>
      </c>
      <c r="J1070">
        <v>27.72</v>
      </c>
      <c r="K1070" t="s">
        <v>1365</v>
      </c>
    </row>
    <row r="1071" spans="1:11">
      <c r="A1071" t="str">
        <f>"002581"</f>
        <v>002581</v>
      </c>
      <c r="B1071" t="s">
        <v>1366</v>
      </c>
      <c r="C1071">
        <v>31.1</v>
      </c>
      <c r="D1071">
        <v>22.15</v>
      </c>
      <c r="E1071">
        <v>18.69</v>
      </c>
      <c r="F1071">
        <v>6.6</v>
      </c>
      <c r="G1071">
        <v>4.01</v>
      </c>
      <c r="H1071">
        <v>27278</v>
      </c>
      <c r="I1071">
        <v>2.74</v>
      </c>
      <c r="J1071" t="s">
        <v>14</v>
      </c>
      <c r="K1071" t="s">
        <v>210</v>
      </c>
    </row>
    <row r="1072" spans="1:11">
      <c r="A1072" t="str">
        <f>"002582"</f>
        <v>002582</v>
      </c>
      <c r="B1072" t="s">
        <v>1367</v>
      </c>
      <c r="C1072">
        <v>45.65</v>
      </c>
      <c r="D1072">
        <v>44.95</v>
      </c>
      <c r="E1072">
        <v>31.23</v>
      </c>
      <c r="F1072">
        <v>4.48</v>
      </c>
      <c r="G1072">
        <v>3.44</v>
      </c>
      <c r="H1072">
        <v>46316</v>
      </c>
      <c r="I1072">
        <v>1.9</v>
      </c>
      <c r="J1072" t="s">
        <v>14</v>
      </c>
      <c r="K1072" t="s">
        <v>1340</v>
      </c>
    </row>
    <row r="1073" spans="1:11">
      <c r="A1073" t="str">
        <f>"002583"</f>
        <v>002583</v>
      </c>
      <c r="B1073" t="s">
        <v>1368</v>
      </c>
      <c r="C1073">
        <v>154.31</v>
      </c>
      <c r="D1073">
        <v>106.81</v>
      </c>
      <c r="E1073">
        <v>25.55</v>
      </c>
      <c r="F1073">
        <v>18.19</v>
      </c>
      <c r="G1073">
        <v>12.83</v>
      </c>
      <c r="H1073">
        <v>257203</v>
      </c>
      <c r="I1073">
        <v>8.56</v>
      </c>
      <c r="J1073">
        <v>88.17</v>
      </c>
      <c r="K1073" t="s">
        <v>933</v>
      </c>
    </row>
    <row r="1074" spans="1:11">
      <c r="A1074" t="str">
        <f>"002584"</f>
        <v>002584</v>
      </c>
      <c r="B1074" t="s">
        <v>1369</v>
      </c>
      <c r="C1074">
        <v>43.52</v>
      </c>
      <c r="D1074">
        <v>51.44</v>
      </c>
      <c r="E1074">
        <v>22.42</v>
      </c>
      <c r="F1074">
        <v>5.85</v>
      </c>
      <c r="G1074">
        <v>4.68</v>
      </c>
      <c r="H1074">
        <v>85108</v>
      </c>
      <c r="I1074">
        <v>2.42</v>
      </c>
      <c r="J1074" t="s">
        <v>14</v>
      </c>
      <c r="K1074" t="s">
        <v>511</v>
      </c>
    </row>
    <row r="1075" spans="1:11">
      <c r="A1075" t="str">
        <f>"002585"</f>
        <v>002585</v>
      </c>
      <c r="B1075" t="s">
        <v>1370</v>
      </c>
      <c r="C1075">
        <v>62.96</v>
      </c>
      <c r="D1075">
        <v>125.15</v>
      </c>
      <c r="E1075">
        <v>86.25</v>
      </c>
      <c r="F1075">
        <v>11.41</v>
      </c>
      <c r="G1075">
        <v>8.87</v>
      </c>
      <c r="H1075">
        <v>65884</v>
      </c>
      <c r="I1075">
        <v>0.94</v>
      </c>
      <c r="J1075" t="s">
        <v>14</v>
      </c>
      <c r="K1075" t="s">
        <v>496</v>
      </c>
    </row>
    <row r="1076" spans="1:11">
      <c r="A1076" t="str">
        <f>"002586"</f>
        <v>002586</v>
      </c>
      <c r="B1076" t="s">
        <v>1371</v>
      </c>
      <c r="C1076">
        <v>46.22</v>
      </c>
      <c r="D1076">
        <v>65.86</v>
      </c>
      <c r="E1076">
        <v>29.8</v>
      </c>
      <c r="F1076">
        <v>11.44</v>
      </c>
      <c r="G1076">
        <v>10.88</v>
      </c>
      <c r="H1076">
        <v>9990</v>
      </c>
      <c r="I1076">
        <v>1.63</v>
      </c>
      <c r="J1076">
        <v>97.2</v>
      </c>
      <c r="K1076" t="s">
        <v>100</v>
      </c>
    </row>
    <row r="1077" spans="1:11">
      <c r="A1077" t="str">
        <f>"002587"</f>
        <v>002587</v>
      </c>
      <c r="B1077" t="s">
        <v>1372</v>
      </c>
      <c r="C1077">
        <v>36.48</v>
      </c>
      <c r="D1077">
        <v>19.55</v>
      </c>
      <c r="E1077">
        <v>13.3</v>
      </c>
      <c r="F1077">
        <v>6.52</v>
      </c>
      <c r="G1077">
        <v>5.23</v>
      </c>
      <c r="H1077">
        <v>49739</v>
      </c>
      <c r="I1077">
        <v>3.41</v>
      </c>
      <c r="J1077">
        <v>215.03</v>
      </c>
      <c r="K1077" t="s">
        <v>216</v>
      </c>
    </row>
    <row r="1078" spans="1:11">
      <c r="A1078" t="str">
        <f>"002588"</f>
        <v>002588</v>
      </c>
      <c r="B1078" t="s">
        <v>1373</v>
      </c>
      <c r="C1078">
        <v>83.46</v>
      </c>
      <c r="D1078">
        <v>150.95</v>
      </c>
      <c r="E1078">
        <v>73.23</v>
      </c>
      <c r="F1078">
        <v>11.52</v>
      </c>
      <c r="G1078">
        <v>8.59</v>
      </c>
      <c r="H1078">
        <v>33103</v>
      </c>
      <c r="I1078">
        <v>1.53</v>
      </c>
      <c r="J1078">
        <v>10.3</v>
      </c>
      <c r="K1078" t="s">
        <v>532</v>
      </c>
    </row>
    <row r="1079" spans="1:11">
      <c r="A1079" t="str">
        <f>"002589"</f>
        <v>002589</v>
      </c>
      <c r="B1079" t="s">
        <v>1374</v>
      </c>
      <c r="C1079">
        <v>53.67</v>
      </c>
      <c r="D1079">
        <v>153.29</v>
      </c>
      <c r="E1079">
        <v>53.49</v>
      </c>
      <c r="F1079">
        <v>15.05</v>
      </c>
      <c r="G1079">
        <v>13.66</v>
      </c>
      <c r="H1079">
        <v>72333</v>
      </c>
      <c r="I1079">
        <v>1.11</v>
      </c>
      <c r="J1079">
        <v>365.43</v>
      </c>
      <c r="K1079" t="s">
        <v>48</v>
      </c>
    </row>
    <row r="1080" spans="1:11">
      <c r="A1080" t="str">
        <f>"002590"</f>
        <v>002590</v>
      </c>
      <c r="B1080" t="s">
        <v>1375</v>
      </c>
      <c r="C1080">
        <v>75.13</v>
      </c>
      <c r="D1080">
        <v>60.08</v>
      </c>
      <c r="E1080">
        <v>30.03</v>
      </c>
      <c r="F1080">
        <v>5.19</v>
      </c>
      <c r="G1080">
        <v>4.95</v>
      </c>
      <c r="H1080">
        <v>44099</v>
      </c>
      <c r="I1080">
        <v>2.62</v>
      </c>
      <c r="J1080">
        <v>39.92</v>
      </c>
      <c r="K1080" t="s">
        <v>51</v>
      </c>
    </row>
    <row r="1081" spans="1:11">
      <c r="A1081" t="str">
        <f>"002591"</f>
        <v>002591</v>
      </c>
      <c r="B1081" t="s">
        <v>1376</v>
      </c>
      <c r="C1081">
        <v>16.29</v>
      </c>
      <c r="D1081">
        <v>8.82</v>
      </c>
      <c r="E1081">
        <v>6.59</v>
      </c>
      <c r="F1081">
        <v>3</v>
      </c>
      <c r="G1081">
        <v>2.24</v>
      </c>
      <c r="H1081">
        <v>20908</v>
      </c>
      <c r="I1081">
        <v>3.32</v>
      </c>
      <c r="J1081" t="s">
        <v>14</v>
      </c>
      <c r="K1081" t="s">
        <v>228</v>
      </c>
    </row>
    <row r="1082" spans="1:11">
      <c r="A1082" t="str">
        <f>"002592"</f>
        <v>002592</v>
      </c>
      <c r="B1082" t="s">
        <v>1377</v>
      </c>
      <c r="C1082">
        <v>23.93</v>
      </c>
      <c r="D1082">
        <v>13.02</v>
      </c>
      <c r="E1082">
        <v>9.81</v>
      </c>
      <c r="F1082">
        <v>2.83</v>
      </c>
      <c r="G1082">
        <v>2.63</v>
      </c>
      <c r="H1082">
        <v>13239</v>
      </c>
      <c r="I1082">
        <v>2.63</v>
      </c>
      <c r="J1082">
        <v>20.72</v>
      </c>
      <c r="K1082" t="s">
        <v>356</v>
      </c>
    </row>
    <row r="1083" spans="1:11">
      <c r="A1083" t="str">
        <f>"002593"</f>
        <v>002593</v>
      </c>
      <c r="B1083" t="s">
        <v>1378</v>
      </c>
      <c r="C1083">
        <v>32.25</v>
      </c>
      <c r="D1083">
        <v>47.08</v>
      </c>
      <c r="E1083">
        <v>24.2</v>
      </c>
      <c r="F1083">
        <v>8.04</v>
      </c>
      <c r="G1083">
        <v>5.59</v>
      </c>
      <c r="H1083">
        <v>55360</v>
      </c>
      <c r="I1083">
        <v>1.92</v>
      </c>
      <c r="J1083">
        <v>44.51</v>
      </c>
      <c r="K1083" t="s">
        <v>904</v>
      </c>
    </row>
    <row r="1084" spans="1:11">
      <c r="A1084" t="str">
        <f>"002594"</f>
        <v>002594</v>
      </c>
      <c r="B1084" t="s">
        <v>1379</v>
      </c>
      <c r="C1084">
        <v>3351.24</v>
      </c>
      <c r="D1084">
        <v>9019.25</v>
      </c>
      <c r="E1084">
        <v>2455.15</v>
      </c>
      <c r="F1084">
        <v>91.17</v>
      </c>
      <c r="G1084">
        <v>34.87</v>
      </c>
      <c r="H1084">
        <v>642600</v>
      </c>
      <c r="I1084">
        <v>3.99</v>
      </c>
      <c r="J1084">
        <v>28.16</v>
      </c>
      <c r="K1084" t="s">
        <v>1380</v>
      </c>
    </row>
    <row r="1085" spans="1:11">
      <c r="A1085" t="str">
        <f>"002595"</f>
        <v>002595</v>
      </c>
      <c r="B1085" t="s">
        <v>1381</v>
      </c>
      <c r="C1085">
        <v>666.24</v>
      </c>
      <c r="D1085">
        <v>137.38</v>
      </c>
      <c r="E1085">
        <v>113.87</v>
      </c>
      <c r="F1085">
        <v>8</v>
      </c>
      <c r="G1085">
        <v>7.95</v>
      </c>
      <c r="H1085">
        <v>18120</v>
      </c>
      <c r="I1085">
        <v>5.89</v>
      </c>
      <c r="J1085">
        <v>28.13</v>
      </c>
      <c r="K1085" t="s">
        <v>493</v>
      </c>
    </row>
    <row r="1086" spans="1:11">
      <c r="A1086" t="str">
        <f>"002596"</f>
        <v>002596</v>
      </c>
      <c r="B1086" t="s">
        <v>1382</v>
      </c>
      <c r="C1086">
        <v>54.69</v>
      </c>
      <c r="D1086">
        <v>32.17</v>
      </c>
      <c r="E1086">
        <v>6.68</v>
      </c>
      <c r="F1086">
        <v>11.48</v>
      </c>
      <c r="G1086">
        <v>11.47</v>
      </c>
      <c r="H1086">
        <v>64779</v>
      </c>
      <c r="I1086">
        <v>8.2</v>
      </c>
      <c r="J1086" t="s">
        <v>14</v>
      </c>
      <c r="K1086" t="s">
        <v>1089</v>
      </c>
    </row>
    <row r="1087" spans="1:11">
      <c r="A1087" t="str">
        <f>"002597"</f>
        <v>002597</v>
      </c>
      <c r="B1087" t="s">
        <v>1383</v>
      </c>
      <c r="C1087">
        <v>122.32</v>
      </c>
      <c r="D1087">
        <v>102.76</v>
      </c>
      <c r="E1087">
        <v>75.68</v>
      </c>
      <c r="F1087">
        <v>5.68</v>
      </c>
      <c r="G1087">
        <v>5.67</v>
      </c>
      <c r="H1087">
        <v>39047</v>
      </c>
      <c r="I1087">
        <v>1.62</v>
      </c>
      <c r="J1087">
        <v>23.52</v>
      </c>
      <c r="K1087" t="s">
        <v>752</v>
      </c>
    </row>
    <row r="1088" spans="1:11">
      <c r="A1088" t="str">
        <f>"002598"</f>
        <v>002598</v>
      </c>
      <c r="B1088" t="s">
        <v>1384</v>
      </c>
      <c r="C1088">
        <v>26.91</v>
      </c>
      <c r="D1088">
        <v>31.73</v>
      </c>
      <c r="E1088">
        <v>13.07</v>
      </c>
      <c r="F1088">
        <v>3.12</v>
      </c>
      <c r="G1088">
        <v>2.81</v>
      </c>
      <c r="H1088">
        <v>41522</v>
      </c>
      <c r="I1088">
        <v>2.43</v>
      </c>
      <c r="J1088">
        <v>36.11</v>
      </c>
      <c r="K1088" t="s">
        <v>744</v>
      </c>
    </row>
    <row r="1089" spans="1:11">
      <c r="A1089" t="str">
        <f>"002599"</f>
        <v>002599</v>
      </c>
      <c r="B1089" t="s">
        <v>1385</v>
      </c>
      <c r="C1089">
        <v>36.46</v>
      </c>
      <c r="D1089">
        <v>21.38</v>
      </c>
      <c r="E1089">
        <v>12.38</v>
      </c>
      <c r="F1089">
        <v>5.33</v>
      </c>
      <c r="G1089">
        <v>3.98</v>
      </c>
      <c r="H1089">
        <v>68095</v>
      </c>
      <c r="I1089">
        <v>3.94</v>
      </c>
      <c r="J1089">
        <v>421.89</v>
      </c>
      <c r="K1089" t="s">
        <v>672</v>
      </c>
    </row>
    <row r="1090" spans="1:11">
      <c r="A1090" t="str">
        <f>"002600"</f>
        <v>002600</v>
      </c>
      <c r="B1090" t="s">
        <v>1386</v>
      </c>
      <c r="C1090">
        <v>1175.36</v>
      </c>
      <c r="D1090">
        <v>517.58</v>
      </c>
      <c r="E1090">
        <v>231.85</v>
      </c>
      <c r="F1090">
        <v>73.06</v>
      </c>
      <c r="G1090">
        <v>71.98</v>
      </c>
      <c r="H1090">
        <v>539120</v>
      </c>
      <c r="I1090">
        <v>5.13</v>
      </c>
      <c r="J1090">
        <v>46.09</v>
      </c>
      <c r="K1090" t="s">
        <v>41</v>
      </c>
    </row>
    <row r="1091" spans="1:11">
      <c r="A1091" t="str">
        <f>"002601"</f>
        <v>002601</v>
      </c>
      <c r="B1091" t="s">
        <v>1387</v>
      </c>
      <c r="C1091">
        <v>392.35</v>
      </c>
      <c r="D1091">
        <v>640.49</v>
      </c>
      <c r="E1091">
        <v>234.87</v>
      </c>
      <c r="F1091">
        <v>23.84</v>
      </c>
      <c r="G1091">
        <v>19.88</v>
      </c>
      <c r="H1091">
        <v>80577</v>
      </c>
      <c r="I1091">
        <v>2.01</v>
      </c>
      <c r="J1091">
        <v>21.08</v>
      </c>
      <c r="K1091" t="s">
        <v>220</v>
      </c>
    </row>
    <row r="1092" spans="1:11">
      <c r="A1092" t="str">
        <f>"002602"</f>
        <v>002602</v>
      </c>
      <c r="B1092" t="s">
        <v>1388</v>
      </c>
      <c r="C1092">
        <v>1311.79</v>
      </c>
      <c r="D1092">
        <v>432.27</v>
      </c>
      <c r="E1092">
        <v>292.49</v>
      </c>
      <c r="F1092">
        <v>73.71</v>
      </c>
      <c r="G1092">
        <v>67.97</v>
      </c>
      <c r="H1092">
        <v>159127</v>
      </c>
      <c r="I1092">
        <v>4.78</v>
      </c>
      <c r="J1092">
        <v>24.48</v>
      </c>
      <c r="K1092" t="s">
        <v>950</v>
      </c>
    </row>
    <row r="1093" spans="1:11">
      <c r="A1093" t="str">
        <f>"002603"</f>
        <v>002603</v>
      </c>
      <c r="B1093" t="s">
        <v>1389</v>
      </c>
      <c r="C1093">
        <v>245.08</v>
      </c>
      <c r="D1093">
        <v>142.2</v>
      </c>
      <c r="E1093">
        <v>107.04</v>
      </c>
      <c r="F1093">
        <v>16.71</v>
      </c>
      <c r="G1093">
        <v>13.77</v>
      </c>
      <c r="H1093">
        <v>152746</v>
      </c>
      <c r="I1093">
        <v>2.78</v>
      </c>
      <c r="J1093">
        <v>22.29</v>
      </c>
      <c r="K1093" t="s">
        <v>155</v>
      </c>
    </row>
    <row r="1094" spans="1:11">
      <c r="A1094" t="str">
        <f>"002605"</f>
        <v>002605</v>
      </c>
      <c r="B1094" t="s">
        <v>1390</v>
      </c>
      <c r="C1094">
        <v>100.36</v>
      </c>
      <c r="D1094">
        <v>52.49</v>
      </c>
      <c r="E1094">
        <v>37.46</v>
      </c>
      <c r="F1094">
        <v>4.18</v>
      </c>
      <c r="G1094">
        <v>3.37</v>
      </c>
      <c r="H1094">
        <v>48272</v>
      </c>
      <c r="I1094">
        <v>3.38</v>
      </c>
      <c r="J1094">
        <v>23.89</v>
      </c>
      <c r="K1094" t="s">
        <v>950</v>
      </c>
    </row>
    <row r="1095" spans="1:11">
      <c r="A1095" t="str">
        <f>"002606"</f>
        <v>002606</v>
      </c>
      <c r="B1095" t="s">
        <v>1391</v>
      </c>
      <c r="C1095">
        <v>38.91</v>
      </c>
      <c r="D1095">
        <v>32.01</v>
      </c>
      <c r="E1095">
        <v>18.2</v>
      </c>
      <c r="F1095">
        <v>4.39</v>
      </c>
      <c r="G1095">
        <v>4.21</v>
      </c>
      <c r="H1095">
        <v>32688</v>
      </c>
      <c r="I1095">
        <v>2.23</v>
      </c>
      <c r="J1095">
        <v>26.37</v>
      </c>
      <c r="K1095" t="s">
        <v>383</v>
      </c>
    </row>
    <row r="1096" spans="1:11">
      <c r="A1096" t="str">
        <f>"002607"</f>
        <v>002607</v>
      </c>
      <c r="B1096" t="s">
        <v>1392</v>
      </c>
      <c r="C1096">
        <v>183</v>
      </c>
      <c r="D1096">
        <v>59.84</v>
      </c>
      <c r="E1096">
        <v>8.16</v>
      </c>
      <c r="F1096">
        <v>61.67</v>
      </c>
      <c r="G1096">
        <v>54.95</v>
      </c>
      <c r="H1096">
        <v>277402</v>
      </c>
      <c r="I1096">
        <v>25.23</v>
      </c>
      <c r="J1096">
        <v>167.49</v>
      </c>
      <c r="K1096" t="s">
        <v>198</v>
      </c>
    </row>
    <row r="1097" spans="1:11">
      <c r="A1097" t="str">
        <f>"002608"</f>
        <v>002608</v>
      </c>
      <c r="B1097" t="s">
        <v>1393</v>
      </c>
      <c r="C1097">
        <v>282.98</v>
      </c>
      <c r="D1097">
        <v>1002.91</v>
      </c>
      <c r="E1097">
        <v>353.65</v>
      </c>
      <c r="F1097">
        <v>37.78</v>
      </c>
      <c r="G1097">
        <v>37.78</v>
      </c>
      <c r="H1097">
        <v>33732</v>
      </c>
      <c r="I1097">
        <v>0.81</v>
      </c>
      <c r="J1097">
        <v>6.58</v>
      </c>
      <c r="K1097" t="s">
        <v>46</v>
      </c>
    </row>
    <row r="1098" spans="1:11">
      <c r="A1098" t="str">
        <f>"002609"</f>
        <v>002609</v>
      </c>
      <c r="B1098" t="s">
        <v>1394</v>
      </c>
      <c r="C1098">
        <v>55.63</v>
      </c>
      <c r="D1098">
        <v>39.91</v>
      </c>
      <c r="E1098">
        <v>24.05</v>
      </c>
      <c r="F1098">
        <v>6.43</v>
      </c>
      <c r="G1098">
        <v>4.59</v>
      </c>
      <c r="H1098">
        <v>36415</v>
      </c>
      <c r="I1098">
        <v>3.24</v>
      </c>
      <c r="J1098">
        <v>81.63</v>
      </c>
      <c r="K1098" t="s">
        <v>117</v>
      </c>
    </row>
    <row r="1099" spans="1:11">
      <c r="A1099" t="str">
        <f>"002611"</f>
        <v>002611</v>
      </c>
      <c r="B1099" t="s">
        <v>1395</v>
      </c>
      <c r="C1099">
        <v>193.93</v>
      </c>
      <c r="D1099">
        <v>85.6</v>
      </c>
      <c r="E1099">
        <v>54.56</v>
      </c>
      <c r="F1099">
        <v>12.17</v>
      </c>
      <c r="G1099">
        <v>10.02</v>
      </c>
      <c r="H1099">
        <v>201571</v>
      </c>
      <c r="I1099">
        <v>4.32</v>
      </c>
      <c r="J1099">
        <v>34.61</v>
      </c>
      <c r="K1099" t="s">
        <v>657</v>
      </c>
    </row>
    <row r="1100" spans="1:11">
      <c r="A1100" t="str">
        <f>"002612"</f>
        <v>002612</v>
      </c>
      <c r="B1100" t="s">
        <v>1396</v>
      </c>
      <c r="C1100">
        <v>52.32</v>
      </c>
      <c r="D1100">
        <v>86.17</v>
      </c>
      <c r="E1100">
        <v>34.13</v>
      </c>
      <c r="F1100">
        <v>4.42</v>
      </c>
      <c r="G1100">
        <v>2.55</v>
      </c>
      <c r="H1100">
        <v>51387</v>
      </c>
      <c r="I1100">
        <v>2.66</v>
      </c>
      <c r="J1100">
        <v>6.89</v>
      </c>
      <c r="K1100" t="s">
        <v>622</v>
      </c>
    </row>
    <row r="1101" spans="1:11">
      <c r="A1101" t="str">
        <f>"002613"</f>
        <v>002613</v>
      </c>
      <c r="B1101" t="s">
        <v>1397</v>
      </c>
      <c r="C1101">
        <v>28.96</v>
      </c>
      <c r="D1101">
        <v>29.54</v>
      </c>
      <c r="E1101">
        <v>21.84</v>
      </c>
      <c r="F1101">
        <v>11.01</v>
      </c>
      <c r="G1101">
        <v>7.72</v>
      </c>
      <c r="H1101">
        <v>57010</v>
      </c>
      <c r="I1101">
        <v>1.89</v>
      </c>
      <c r="J1101">
        <v>291.35</v>
      </c>
      <c r="K1101" t="s">
        <v>493</v>
      </c>
    </row>
    <row r="1102" spans="1:11">
      <c r="A1102" t="str">
        <f>"002614"</f>
        <v>002614</v>
      </c>
      <c r="B1102" t="s">
        <v>1398</v>
      </c>
      <c r="C1102">
        <v>32.33</v>
      </c>
      <c r="D1102">
        <v>76.11</v>
      </c>
      <c r="E1102">
        <v>43.96</v>
      </c>
      <c r="F1102">
        <v>6.23</v>
      </c>
      <c r="G1102">
        <v>4.41</v>
      </c>
      <c r="H1102">
        <v>34349</v>
      </c>
      <c r="I1102">
        <v>1.06</v>
      </c>
      <c r="J1102">
        <v>62.01</v>
      </c>
      <c r="K1102" t="s">
        <v>1399</v>
      </c>
    </row>
    <row r="1103" spans="1:11">
      <c r="A1103" t="str">
        <f>"002615"</f>
        <v>002615</v>
      </c>
      <c r="B1103" t="s">
        <v>1400</v>
      </c>
      <c r="C1103">
        <v>23.72</v>
      </c>
      <c r="D1103">
        <v>37.92</v>
      </c>
      <c r="E1103">
        <v>17.01</v>
      </c>
      <c r="F1103">
        <v>4.66</v>
      </c>
      <c r="G1103">
        <v>3.06</v>
      </c>
      <c r="H1103">
        <v>30163</v>
      </c>
      <c r="I1103">
        <v>2.12</v>
      </c>
      <c r="J1103">
        <v>27.07</v>
      </c>
      <c r="K1103" t="s">
        <v>625</v>
      </c>
    </row>
    <row r="1104" spans="1:11">
      <c r="A1104" t="str">
        <f>"002616"</f>
        <v>002616</v>
      </c>
      <c r="B1104" t="s">
        <v>1401</v>
      </c>
      <c r="C1104">
        <v>32.37</v>
      </c>
      <c r="D1104">
        <v>104.66</v>
      </c>
      <c r="E1104">
        <v>29.53</v>
      </c>
      <c r="F1104">
        <v>8.59</v>
      </c>
      <c r="G1104">
        <v>5.87</v>
      </c>
      <c r="H1104">
        <v>21753</v>
      </c>
      <c r="I1104">
        <v>1.45</v>
      </c>
      <c r="J1104">
        <v>17.6</v>
      </c>
      <c r="K1104" t="s">
        <v>505</v>
      </c>
    </row>
    <row r="1105" spans="1:11">
      <c r="A1105" t="str">
        <f>"002617"</f>
        <v>002617</v>
      </c>
      <c r="B1105" t="s">
        <v>1402</v>
      </c>
      <c r="C1105">
        <v>155.29</v>
      </c>
      <c r="D1105">
        <v>106.97</v>
      </c>
      <c r="E1105">
        <v>63.86</v>
      </c>
      <c r="F1105">
        <v>19.23</v>
      </c>
      <c r="G1105">
        <v>18.91</v>
      </c>
      <c r="H1105">
        <v>221372</v>
      </c>
      <c r="I1105">
        <v>2.47</v>
      </c>
      <c r="J1105">
        <v>48.1</v>
      </c>
      <c r="K1105" t="s">
        <v>383</v>
      </c>
    </row>
    <row r="1106" spans="1:11">
      <c r="A1106" t="str">
        <f>"002620"</f>
        <v>002620</v>
      </c>
      <c r="B1106" t="s">
        <v>1403</v>
      </c>
      <c r="C1106">
        <v>18.67</v>
      </c>
      <c r="D1106">
        <v>31.36</v>
      </c>
      <c r="E1106">
        <v>-0.22</v>
      </c>
      <c r="F1106">
        <v>3.77</v>
      </c>
      <c r="G1106">
        <v>3.15</v>
      </c>
      <c r="H1106">
        <v>12000</v>
      </c>
      <c r="I1106">
        <v>-102.07</v>
      </c>
      <c r="J1106" t="s">
        <v>14</v>
      </c>
      <c r="K1106" t="s">
        <v>804</v>
      </c>
    </row>
    <row r="1107" spans="1:11">
      <c r="A1107" t="str">
        <f>"002622"</f>
        <v>002622</v>
      </c>
      <c r="B1107" t="s">
        <v>1404</v>
      </c>
      <c r="C1107">
        <v>27.05</v>
      </c>
      <c r="D1107">
        <v>14.54</v>
      </c>
      <c r="E1107">
        <v>3.64</v>
      </c>
      <c r="F1107">
        <v>8.4</v>
      </c>
      <c r="G1107">
        <v>8.4</v>
      </c>
      <c r="H1107">
        <v>46198</v>
      </c>
      <c r="I1107">
        <v>7.42</v>
      </c>
      <c r="J1107" t="s">
        <v>14</v>
      </c>
      <c r="K1107" t="s">
        <v>181</v>
      </c>
    </row>
    <row r="1108" spans="1:11">
      <c r="A1108" t="str">
        <f>"002623"</f>
        <v>002623</v>
      </c>
      <c r="B1108" t="s">
        <v>1405</v>
      </c>
      <c r="C1108">
        <v>36.79</v>
      </c>
      <c r="D1108">
        <v>57.47</v>
      </c>
      <c r="E1108">
        <v>28.33</v>
      </c>
      <c r="F1108">
        <v>1.99</v>
      </c>
      <c r="G1108">
        <v>1.99</v>
      </c>
      <c r="H1108">
        <v>31487</v>
      </c>
      <c r="I1108">
        <v>1.3</v>
      </c>
      <c r="J1108" t="s">
        <v>14</v>
      </c>
      <c r="K1108" t="s">
        <v>667</v>
      </c>
    </row>
    <row r="1109" spans="1:11">
      <c r="A1109" t="str">
        <f>"002624"</f>
        <v>002624</v>
      </c>
      <c r="B1109" t="s">
        <v>1406</v>
      </c>
      <c r="C1109">
        <v>336.49</v>
      </c>
      <c r="D1109">
        <v>108.29</v>
      </c>
      <c r="E1109">
        <v>70.83</v>
      </c>
      <c r="F1109">
        <v>19.4</v>
      </c>
      <c r="G1109">
        <v>18.28</v>
      </c>
      <c r="H1109">
        <v>91573</v>
      </c>
      <c r="I1109">
        <v>5.04</v>
      </c>
      <c r="J1109">
        <v>40.25</v>
      </c>
      <c r="K1109" t="s">
        <v>950</v>
      </c>
    </row>
    <row r="1110" spans="1:11">
      <c r="A1110" t="str">
        <f>"002625"</f>
        <v>002625</v>
      </c>
      <c r="B1110" t="s">
        <v>1407</v>
      </c>
      <c r="C1110">
        <v>1132.45</v>
      </c>
      <c r="D1110">
        <v>113.77</v>
      </c>
      <c r="E1110">
        <v>95.42</v>
      </c>
      <c r="F1110">
        <v>21.55</v>
      </c>
      <c r="G1110">
        <v>21.55</v>
      </c>
      <c r="H1110">
        <v>122560</v>
      </c>
      <c r="I1110">
        <v>11.87</v>
      </c>
      <c r="J1110">
        <v>140.19</v>
      </c>
      <c r="K1110" t="s">
        <v>353</v>
      </c>
    </row>
    <row r="1111" spans="1:11">
      <c r="A1111" t="str">
        <f>"002626"</f>
        <v>002626</v>
      </c>
      <c r="B1111" t="s">
        <v>1408</v>
      </c>
      <c r="C1111">
        <v>121.36</v>
      </c>
      <c r="D1111">
        <v>83.82</v>
      </c>
      <c r="E1111">
        <v>45.37</v>
      </c>
      <c r="F1111">
        <v>6.1</v>
      </c>
      <c r="G1111">
        <v>6.1</v>
      </c>
      <c r="H1111">
        <v>36262</v>
      </c>
      <c r="I1111">
        <v>2.74</v>
      </c>
      <c r="J1111">
        <v>25.23</v>
      </c>
      <c r="K1111" t="s">
        <v>1409</v>
      </c>
    </row>
    <row r="1112" spans="1:11">
      <c r="A1112" t="str">
        <f>"002627"</f>
        <v>002627</v>
      </c>
      <c r="B1112" t="s">
        <v>1410</v>
      </c>
      <c r="C1112">
        <v>54.93</v>
      </c>
      <c r="D1112">
        <v>40.79</v>
      </c>
      <c r="E1112">
        <v>30.99</v>
      </c>
      <c r="F1112">
        <v>7.25</v>
      </c>
      <c r="G1112">
        <v>7.17</v>
      </c>
      <c r="H1112">
        <v>20949</v>
      </c>
      <c r="I1112">
        <v>1.79</v>
      </c>
      <c r="J1112">
        <v>48.48</v>
      </c>
      <c r="K1112" t="s">
        <v>163</v>
      </c>
    </row>
    <row r="1113" spans="1:11">
      <c r="A1113" t="str">
        <f>"002628"</f>
        <v>002628</v>
      </c>
      <c r="B1113" t="s">
        <v>1411</v>
      </c>
      <c r="C1113">
        <v>31.28</v>
      </c>
      <c r="D1113">
        <v>69.68</v>
      </c>
      <c r="E1113">
        <v>28.65</v>
      </c>
      <c r="F1113">
        <v>7.57</v>
      </c>
      <c r="G1113">
        <v>7.54</v>
      </c>
      <c r="H1113">
        <v>63144</v>
      </c>
      <c r="I1113">
        <v>1.1</v>
      </c>
      <c r="J1113" t="s">
        <v>14</v>
      </c>
      <c r="K1113" t="s">
        <v>100</v>
      </c>
    </row>
    <row r="1114" spans="1:11">
      <c r="A1114" t="str">
        <f>"002629"</f>
        <v>002629</v>
      </c>
      <c r="B1114" t="s">
        <v>1412</v>
      </c>
      <c r="C1114">
        <v>28.28</v>
      </c>
      <c r="D1114">
        <v>2.7</v>
      </c>
      <c r="E1114">
        <v>0.36</v>
      </c>
      <c r="F1114">
        <v>4.26</v>
      </c>
      <c r="G1114">
        <v>4.23</v>
      </c>
      <c r="H1114">
        <v>19830</v>
      </c>
      <c r="I1114">
        <v>79.52</v>
      </c>
      <c r="J1114" t="s">
        <v>14</v>
      </c>
      <c r="K1114" t="s">
        <v>988</v>
      </c>
    </row>
    <row r="1115" spans="1:11">
      <c r="A1115" t="str">
        <f>"002630"</f>
        <v>002630</v>
      </c>
      <c r="B1115" t="s">
        <v>1413</v>
      </c>
      <c r="C1115">
        <v>26.68</v>
      </c>
      <c r="D1115">
        <v>94.72</v>
      </c>
      <c r="E1115">
        <v>2.41</v>
      </c>
      <c r="F1115">
        <v>11.81</v>
      </c>
      <c r="G1115">
        <v>10.3</v>
      </c>
      <c r="H1115">
        <v>49326</v>
      </c>
      <c r="I1115">
        <v>12.7</v>
      </c>
      <c r="J1115">
        <v>61.45</v>
      </c>
      <c r="K1115" t="s">
        <v>1010</v>
      </c>
    </row>
    <row r="1116" spans="1:11">
      <c r="A1116" t="str">
        <f>"002631"</f>
        <v>002631</v>
      </c>
      <c r="B1116" t="s">
        <v>1414</v>
      </c>
      <c r="C1116">
        <v>46.34</v>
      </c>
      <c r="D1116">
        <v>32.84</v>
      </c>
      <c r="E1116">
        <v>21.87</v>
      </c>
      <c r="F1116">
        <v>7.97</v>
      </c>
      <c r="G1116">
        <v>7.94</v>
      </c>
      <c r="H1116">
        <v>35209</v>
      </c>
      <c r="I1116">
        <v>2.13</v>
      </c>
      <c r="J1116" t="s">
        <v>14</v>
      </c>
      <c r="K1116" t="s">
        <v>540</v>
      </c>
    </row>
    <row r="1117" spans="1:11">
      <c r="A1117" t="str">
        <f>"002632"</f>
        <v>002632</v>
      </c>
      <c r="B1117" t="s">
        <v>1415</v>
      </c>
      <c r="C1117">
        <v>75.7</v>
      </c>
      <c r="D1117">
        <v>30.14</v>
      </c>
      <c r="E1117">
        <v>21.44</v>
      </c>
      <c r="F1117">
        <v>6.25</v>
      </c>
      <c r="G1117">
        <v>5.82</v>
      </c>
      <c r="H1117">
        <v>40513</v>
      </c>
      <c r="I1117">
        <v>3.79</v>
      </c>
      <c r="J1117">
        <v>33.95</v>
      </c>
      <c r="K1117" t="s">
        <v>496</v>
      </c>
    </row>
    <row r="1118" spans="1:11">
      <c r="A1118" t="str">
        <f>"002633"</f>
        <v>002633</v>
      </c>
      <c r="B1118" t="s">
        <v>1416</v>
      </c>
      <c r="C1118">
        <v>24.28</v>
      </c>
      <c r="D1118">
        <v>6.48</v>
      </c>
      <c r="E1118">
        <v>4.26</v>
      </c>
      <c r="F1118">
        <v>1.5</v>
      </c>
      <c r="G1118">
        <v>1.49</v>
      </c>
      <c r="H1118">
        <v>10066</v>
      </c>
      <c r="I1118">
        <v>5.73</v>
      </c>
      <c r="J1118">
        <v>297.49</v>
      </c>
      <c r="K1118" t="s">
        <v>424</v>
      </c>
    </row>
    <row r="1119" spans="1:11">
      <c r="A1119" t="str">
        <f>"002634"</f>
        <v>002634</v>
      </c>
      <c r="B1119" t="s">
        <v>1417</v>
      </c>
      <c r="C1119">
        <v>26.79</v>
      </c>
      <c r="D1119">
        <v>21.6</v>
      </c>
      <c r="E1119">
        <v>-6.07</v>
      </c>
      <c r="F1119">
        <v>4.59</v>
      </c>
      <c r="G1119">
        <v>4.47</v>
      </c>
      <c r="H1119">
        <v>15794</v>
      </c>
      <c r="I1119">
        <v>-4.54</v>
      </c>
      <c r="J1119" t="s">
        <v>14</v>
      </c>
      <c r="K1119" t="s">
        <v>1418</v>
      </c>
    </row>
    <row r="1120" spans="1:11">
      <c r="A1120" t="str">
        <f>"002635"</f>
        <v>002635</v>
      </c>
      <c r="B1120" t="s">
        <v>1419</v>
      </c>
      <c r="C1120">
        <v>55.67</v>
      </c>
      <c r="D1120">
        <v>83.27</v>
      </c>
      <c r="E1120">
        <v>58.32</v>
      </c>
      <c r="F1120">
        <v>6.6</v>
      </c>
      <c r="G1120">
        <v>3.95</v>
      </c>
      <c r="H1120">
        <v>50800</v>
      </c>
      <c r="I1120">
        <v>1.59</v>
      </c>
      <c r="J1120">
        <v>69.31</v>
      </c>
      <c r="K1120" t="s">
        <v>41</v>
      </c>
    </row>
    <row r="1121" spans="1:11">
      <c r="A1121" t="str">
        <f>"002636"</f>
        <v>002636</v>
      </c>
      <c r="B1121" t="s">
        <v>1420</v>
      </c>
      <c r="C1121">
        <v>118.79</v>
      </c>
      <c r="D1121">
        <v>62.95</v>
      </c>
      <c r="E1121">
        <v>34.84</v>
      </c>
      <c r="F1121">
        <v>7.28</v>
      </c>
      <c r="G1121">
        <v>7.24</v>
      </c>
      <c r="H1121">
        <v>61884</v>
      </c>
      <c r="I1121">
        <v>3.43</v>
      </c>
      <c r="J1121">
        <v>51.78</v>
      </c>
      <c r="K1121" t="s">
        <v>472</v>
      </c>
    </row>
    <row r="1122" spans="1:11">
      <c r="A1122" t="str">
        <f>"002637"</f>
        <v>002637</v>
      </c>
      <c r="B1122" t="s">
        <v>1421</v>
      </c>
      <c r="C1122">
        <v>47.99</v>
      </c>
      <c r="D1122">
        <v>83.94</v>
      </c>
      <c r="E1122">
        <v>37.75</v>
      </c>
      <c r="F1122">
        <v>4.7</v>
      </c>
      <c r="G1122">
        <v>4.43</v>
      </c>
      <c r="H1122">
        <v>21007</v>
      </c>
      <c r="I1122">
        <v>1.35</v>
      </c>
      <c r="J1122">
        <v>25.37</v>
      </c>
      <c r="K1122" t="s">
        <v>708</v>
      </c>
    </row>
    <row r="1123" spans="1:11">
      <c r="A1123" t="str">
        <f>"002638"</f>
        <v>002638</v>
      </c>
      <c r="B1123" t="s">
        <v>1422</v>
      </c>
      <c r="C1123">
        <v>40.14</v>
      </c>
      <c r="D1123">
        <v>23.28</v>
      </c>
      <c r="E1123">
        <v>20.61</v>
      </c>
      <c r="F1123">
        <v>14.37</v>
      </c>
      <c r="G1123">
        <v>13.47</v>
      </c>
      <c r="H1123">
        <v>36628</v>
      </c>
      <c r="I1123">
        <v>2.08</v>
      </c>
      <c r="J1123" t="s">
        <v>14</v>
      </c>
      <c r="K1123" t="s">
        <v>216</v>
      </c>
    </row>
    <row r="1124" spans="1:11">
      <c r="A1124" t="str">
        <f>"002639"</f>
        <v>002639</v>
      </c>
      <c r="B1124" t="s">
        <v>1423</v>
      </c>
      <c r="C1124">
        <v>175.15</v>
      </c>
      <c r="D1124">
        <v>49.36</v>
      </c>
      <c r="E1124">
        <v>25.06</v>
      </c>
      <c r="F1124">
        <v>7.73</v>
      </c>
      <c r="G1124">
        <v>6.51</v>
      </c>
      <c r="H1124">
        <v>245020</v>
      </c>
      <c r="I1124">
        <v>8.3</v>
      </c>
      <c r="J1124">
        <v>398.28</v>
      </c>
      <c r="K1124" t="s">
        <v>203</v>
      </c>
    </row>
    <row r="1125" spans="1:11">
      <c r="A1125" t="str">
        <f>"002640"</f>
        <v>002640</v>
      </c>
      <c r="B1125" t="s">
        <v>1424</v>
      </c>
      <c r="C1125">
        <v>78.03</v>
      </c>
      <c r="D1125">
        <v>35.07</v>
      </c>
      <c r="E1125">
        <v>8.53</v>
      </c>
      <c r="F1125">
        <v>15.58</v>
      </c>
      <c r="G1125">
        <v>15.48</v>
      </c>
      <c r="H1125">
        <v>220444</v>
      </c>
      <c r="I1125">
        <v>9.2</v>
      </c>
      <c r="J1125" t="s">
        <v>14</v>
      </c>
      <c r="K1125" t="s">
        <v>1102</v>
      </c>
    </row>
    <row r="1126" spans="1:11">
      <c r="A1126" t="str">
        <f>"002641"</f>
        <v>002641</v>
      </c>
      <c r="B1126" t="s">
        <v>1425</v>
      </c>
      <c r="C1126">
        <v>50.46</v>
      </c>
      <c r="D1126">
        <v>83.11</v>
      </c>
      <c r="E1126">
        <v>54.52</v>
      </c>
      <c r="F1126">
        <v>12.29</v>
      </c>
      <c r="G1126">
        <v>11.34</v>
      </c>
      <c r="H1126">
        <v>34441</v>
      </c>
      <c r="I1126">
        <v>1</v>
      </c>
      <c r="J1126">
        <v>90.61</v>
      </c>
      <c r="K1126" t="s">
        <v>874</v>
      </c>
    </row>
    <row r="1127" spans="1:11">
      <c r="A1127" t="str">
        <f>"002642"</f>
        <v>002642</v>
      </c>
      <c r="B1127" t="s">
        <v>1426</v>
      </c>
      <c r="C1127">
        <v>59.28</v>
      </c>
      <c r="D1127">
        <v>25.6</v>
      </c>
      <c r="E1127">
        <v>11.75</v>
      </c>
      <c r="F1127">
        <v>6.62</v>
      </c>
      <c r="G1127">
        <v>6.62</v>
      </c>
      <c r="H1127">
        <v>101702</v>
      </c>
      <c r="I1127">
        <v>5.05</v>
      </c>
      <c r="J1127">
        <v>694.2</v>
      </c>
      <c r="K1127" t="s">
        <v>117</v>
      </c>
    </row>
    <row r="1128" spans="1:11">
      <c r="A1128" t="str">
        <f>"002643"</f>
        <v>002643</v>
      </c>
      <c r="B1128" t="s">
        <v>1427</v>
      </c>
      <c r="C1128">
        <v>149.76</v>
      </c>
      <c r="D1128">
        <v>108.52</v>
      </c>
      <c r="E1128">
        <v>71.99</v>
      </c>
      <c r="F1128">
        <v>9.23</v>
      </c>
      <c r="G1128">
        <v>9.09</v>
      </c>
      <c r="H1128">
        <v>42145</v>
      </c>
      <c r="I1128">
        <v>2.11</v>
      </c>
      <c r="J1128">
        <v>37.3</v>
      </c>
      <c r="K1128" t="s">
        <v>884</v>
      </c>
    </row>
    <row r="1129" spans="1:11">
      <c r="A1129" t="str">
        <f>"002644"</f>
        <v>002644</v>
      </c>
      <c r="B1129" t="s">
        <v>1428</v>
      </c>
      <c r="C1129">
        <v>45.91</v>
      </c>
      <c r="D1129">
        <v>25.24</v>
      </c>
      <c r="E1129">
        <v>18.22</v>
      </c>
      <c r="F1129">
        <v>5.11</v>
      </c>
      <c r="G1129">
        <v>5.11</v>
      </c>
      <c r="H1129">
        <v>33288</v>
      </c>
      <c r="I1129">
        <v>2.52</v>
      </c>
      <c r="J1129">
        <v>90.41</v>
      </c>
      <c r="K1129" t="s">
        <v>155</v>
      </c>
    </row>
    <row r="1130" spans="1:11">
      <c r="A1130" t="str">
        <f>"002645"</f>
        <v>002645</v>
      </c>
      <c r="B1130" t="s">
        <v>1429</v>
      </c>
      <c r="C1130">
        <v>84.29</v>
      </c>
      <c r="D1130">
        <v>67.08</v>
      </c>
      <c r="E1130">
        <v>39.92</v>
      </c>
      <c r="F1130">
        <v>6.28</v>
      </c>
      <c r="G1130">
        <v>5.59</v>
      </c>
      <c r="H1130">
        <v>64361</v>
      </c>
      <c r="I1130">
        <v>2.37</v>
      </c>
      <c r="J1130">
        <v>36.12</v>
      </c>
      <c r="K1130" t="s">
        <v>228</v>
      </c>
    </row>
    <row r="1131" spans="1:11">
      <c r="A1131" t="str">
        <f>"002646"</f>
        <v>002646</v>
      </c>
      <c r="B1131" t="s">
        <v>1430</v>
      </c>
      <c r="C1131">
        <v>41.98</v>
      </c>
      <c r="D1131">
        <v>32.9</v>
      </c>
      <c r="E1131">
        <v>28.62</v>
      </c>
      <c r="F1131">
        <v>4.79</v>
      </c>
      <c r="G1131">
        <v>4.76</v>
      </c>
      <c r="H1131">
        <v>49800</v>
      </c>
      <c r="I1131">
        <v>1.48</v>
      </c>
      <c r="J1131">
        <v>145.29</v>
      </c>
      <c r="K1131" t="s">
        <v>251</v>
      </c>
    </row>
    <row r="1132" spans="1:11">
      <c r="A1132" t="str">
        <f>"002647"</f>
        <v>002647</v>
      </c>
      <c r="B1132" t="s">
        <v>1431</v>
      </c>
      <c r="C1132">
        <v>63.1</v>
      </c>
      <c r="D1132">
        <v>51.6</v>
      </c>
      <c r="E1132">
        <v>6.56</v>
      </c>
      <c r="F1132">
        <v>11.3</v>
      </c>
      <c r="G1132">
        <v>6.78</v>
      </c>
      <c r="H1132">
        <v>40320</v>
      </c>
      <c r="I1132">
        <v>16.05</v>
      </c>
      <c r="J1132">
        <v>21.53</v>
      </c>
      <c r="K1132" t="s">
        <v>249</v>
      </c>
    </row>
    <row r="1133" spans="1:11">
      <c r="A1133" t="str">
        <f>"002648"</f>
        <v>002648</v>
      </c>
      <c r="B1133" t="s">
        <v>1432</v>
      </c>
      <c r="C1133">
        <v>638.96</v>
      </c>
      <c r="D1133">
        <v>697.19</v>
      </c>
      <c r="E1133">
        <v>320.4</v>
      </c>
      <c r="F1133">
        <v>33.69</v>
      </c>
      <c r="G1133">
        <v>33.66</v>
      </c>
      <c r="H1133">
        <v>89384</v>
      </c>
      <c r="I1133">
        <v>2</v>
      </c>
      <c r="J1133">
        <v>12.77</v>
      </c>
      <c r="K1133" t="s">
        <v>1201</v>
      </c>
    </row>
    <row r="1134" spans="1:11">
      <c r="A1134" t="str">
        <f>"002649"</f>
        <v>002649</v>
      </c>
      <c r="B1134" t="s">
        <v>1433</v>
      </c>
      <c r="C1134">
        <v>86.78</v>
      </c>
      <c r="D1134">
        <v>56.08</v>
      </c>
      <c r="E1134">
        <v>42.47</v>
      </c>
      <c r="F1134">
        <v>5.85</v>
      </c>
      <c r="G1134">
        <v>5.49</v>
      </c>
      <c r="H1134">
        <v>56566</v>
      </c>
      <c r="I1134">
        <v>2.18</v>
      </c>
      <c r="J1134">
        <v>37.92</v>
      </c>
      <c r="K1134" t="s">
        <v>117</v>
      </c>
    </row>
    <row r="1135" spans="1:11">
      <c r="A1135" t="str">
        <f>"002650"</f>
        <v>002650</v>
      </c>
      <c r="B1135" t="s">
        <v>1434</v>
      </c>
      <c r="C1135">
        <v>71.07</v>
      </c>
      <c r="D1135">
        <v>21.73</v>
      </c>
      <c r="E1135">
        <v>18.53</v>
      </c>
      <c r="F1135">
        <v>11.07</v>
      </c>
      <c r="G1135">
        <v>11.07</v>
      </c>
      <c r="H1135">
        <v>16901</v>
      </c>
      <c r="I1135">
        <v>3.99</v>
      </c>
      <c r="J1135" t="s">
        <v>14</v>
      </c>
      <c r="K1135" t="s">
        <v>1281</v>
      </c>
    </row>
    <row r="1136" spans="1:11">
      <c r="A1136" t="str">
        <f>"002651"</f>
        <v>002651</v>
      </c>
      <c r="B1136" t="s">
        <v>1435</v>
      </c>
      <c r="C1136">
        <v>67.91</v>
      </c>
      <c r="D1136">
        <v>34.84</v>
      </c>
      <c r="E1136">
        <v>28.05</v>
      </c>
      <c r="F1136">
        <v>10.33</v>
      </c>
      <c r="G1136">
        <v>5.65</v>
      </c>
      <c r="H1136">
        <v>96097</v>
      </c>
      <c r="I1136">
        <v>4.43</v>
      </c>
      <c r="J1136">
        <v>106.79</v>
      </c>
      <c r="K1136" t="s">
        <v>353</v>
      </c>
    </row>
    <row r="1137" spans="1:11">
      <c r="A1137" t="str">
        <f>"002652"</f>
        <v>002652</v>
      </c>
      <c r="B1137" t="s">
        <v>1436</v>
      </c>
      <c r="C1137">
        <v>20.38</v>
      </c>
      <c r="D1137">
        <v>4.48</v>
      </c>
      <c r="E1137">
        <v>2.51</v>
      </c>
      <c r="F1137">
        <v>5.12</v>
      </c>
      <c r="G1137">
        <v>5.12</v>
      </c>
      <c r="H1137">
        <v>21108</v>
      </c>
      <c r="I1137">
        <v>8.12</v>
      </c>
      <c r="J1137" t="s">
        <v>14</v>
      </c>
      <c r="K1137" t="s">
        <v>73</v>
      </c>
    </row>
    <row r="1138" spans="1:11">
      <c r="A1138" t="str">
        <f>"002653"</f>
        <v>002653</v>
      </c>
      <c r="B1138" t="s">
        <v>1437</v>
      </c>
      <c r="C1138">
        <v>259.69</v>
      </c>
      <c r="D1138">
        <v>72.14</v>
      </c>
      <c r="E1138">
        <v>42.27</v>
      </c>
      <c r="F1138">
        <v>11.2</v>
      </c>
      <c r="G1138">
        <v>4.83</v>
      </c>
      <c r="H1138">
        <v>12894</v>
      </c>
      <c r="I1138">
        <v>14.24</v>
      </c>
      <c r="J1138">
        <v>152.86</v>
      </c>
      <c r="K1138" t="s">
        <v>109</v>
      </c>
    </row>
    <row r="1139" spans="1:11">
      <c r="A1139" t="str">
        <f>"002654"</f>
        <v>002654</v>
      </c>
      <c r="B1139" t="s">
        <v>1438</v>
      </c>
      <c r="C1139">
        <v>128.9</v>
      </c>
      <c r="D1139">
        <v>46.41</v>
      </c>
      <c r="E1139">
        <v>15.65</v>
      </c>
      <c r="F1139">
        <v>8.45</v>
      </c>
      <c r="G1139">
        <v>8.45</v>
      </c>
      <c r="H1139">
        <v>139806</v>
      </c>
      <c r="I1139">
        <v>8.24</v>
      </c>
      <c r="J1139">
        <v>348.29</v>
      </c>
      <c r="K1139" t="s">
        <v>283</v>
      </c>
    </row>
    <row r="1140" spans="1:11">
      <c r="A1140" t="str">
        <f>"002655"</f>
        <v>002655</v>
      </c>
      <c r="B1140" t="s">
        <v>1439</v>
      </c>
      <c r="C1140">
        <v>47</v>
      </c>
      <c r="D1140">
        <v>20.02</v>
      </c>
      <c r="E1140">
        <v>7.33</v>
      </c>
      <c r="F1140">
        <v>3.62</v>
      </c>
      <c r="G1140">
        <v>3.62</v>
      </c>
      <c r="H1140">
        <v>42534</v>
      </c>
      <c r="I1140">
        <v>6.4</v>
      </c>
      <c r="J1140">
        <v>55.86</v>
      </c>
      <c r="K1140" t="s">
        <v>41</v>
      </c>
    </row>
    <row r="1141" spans="1:11">
      <c r="A1141" t="str">
        <f>"002656"</f>
        <v>002656</v>
      </c>
      <c r="B1141" t="s">
        <v>1440</v>
      </c>
      <c r="C1141">
        <v>18.13</v>
      </c>
      <c r="D1141">
        <v>7.44</v>
      </c>
      <c r="E1141">
        <v>4.25</v>
      </c>
      <c r="F1141">
        <v>7.13</v>
      </c>
      <c r="G1141">
        <v>6.77</v>
      </c>
      <c r="H1141">
        <v>9397</v>
      </c>
      <c r="I1141">
        <v>4.5</v>
      </c>
      <c r="J1141" t="s">
        <v>14</v>
      </c>
      <c r="K1141" t="s">
        <v>622</v>
      </c>
    </row>
    <row r="1142" spans="1:11">
      <c r="A1142" t="str">
        <f>"002657"</f>
        <v>002657</v>
      </c>
      <c r="B1142" t="s">
        <v>1441</v>
      </c>
      <c r="C1142">
        <v>108.46</v>
      </c>
      <c r="D1142">
        <v>22.68</v>
      </c>
      <c r="E1142">
        <v>17.39</v>
      </c>
      <c r="F1142">
        <v>3.4</v>
      </c>
      <c r="G1142">
        <v>3.36</v>
      </c>
      <c r="H1142">
        <v>101316</v>
      </c>
      <c r="I1142">
        <v>6.31</v>
      </c>
      <c r="J1142" t="s">
        <v>14</v>
      </c>
      <c r="K1142" t="s">
        <v>117</v>
      </c>
    </row>
    <row r="1143" spans="1:11">
      <c r="A1143" t="str">
        <f>"002658"</f>
        <v>002658</v>
      </c>
      <c r="B1143" t="s">
        <v>1442</v>
      </c>
      <c r="C1143">
        <v>32.85</v>
      </c>
      <c r="D1143">
        <v>30.78</v>
      </c>
      <c r="E1143">
        <v>25.98</v>
      </c>
      <c r="F1143">
        <v>6.36</v>
      </c>
      <c r="G1143">
        <v>3.59</v>
      </c>
      <c r="H1143">
        <v>49511</v>
      </c>
      <c r="I1143">
        <v>2.24</v>
      </c>
      <c r="J1143">
        <v>37.86</v>
      </c>
      <c r="K1143" t="s">
        <v>1443</v>
      </c>
    </row>
    <row r="1144" spans="1:11">
      <c r="A1144" t="str">
        <f>"002659"</f>
        <v>002659</v>
      </c>
      <c r="B1144" t="s">
        <v>1444</v>
      </c>
      <c r="C1144">
        <v>43.02</v>
      </c>
      <c r="D1144">
        <v>30.12</v>
      </c>
      <c r="E1144">
        <v>21.65</v>
      </c>
      <c r="F1144">
        <v>5.98</v>
      </c>
      <c r="G1144">
        <v>5.98</v>
      </c>
      <c r="H1144">
        <v>24177</v>
      </c>
      <c r="I1144">
        <v>1.99</v>
      </c>
      <c r="J1144">
        <v>3372.95</v>
      </c>
      <c r="K1144" t="s">
        <v>198</v>
      </c>
    </row>
    <row r="1145" spans="1:11">
      <c r="A1145" t="str">
        <f>"002660"</f>
        <v>002660</v>
      </c>
      <c r="B1145" t="s">
        <v>1445</v>
      </c>
      <c r="C1145">
        <v>32.76</v>
      </c>
      <c r="D1145">
        <v>19.56</v>
      </c>
      <c r="E1145">
        <v>12.02</v>
      </c>
      <c r="F1145">
        <v>3.57</v>
      </c>
      <c r="G1145">
        <v>3.43</v>
      </c>
      <c r="H1145">
        <v>30000</v>
      </c>
      <c r="I1145">
        <v>2.83</v>
      </c>
      <c r="J1145" t="s">
        <v>14</v>
      </c>
      <c r="K1145" t="s">
        <v>41</v>
      </c>
    </row>
    <row r="1146" spans="1:11">
      <c r="A1146" t="str">
        <f>"002661"</f>
        <v>002661</v>
      </c>
      <c r="B1146" t="s">
        <v>1446</v>
      </c>
      <c r="C1146">
        <v>28.85</v>
      </c>
      <c r="D1146">
        <v>61.36</v>
      </c>
      <c r="E1146">
        <v>23.28</v>
      </c>
      <c r="F1146">
        <v>3.33</v>
      </c>
      <c r="G1146">
        <v>3.15</v>
      </c>
      <c r="H1146">
        <v>26230</v>
      </c>
      <c r="I1146">
        <v>1.31</v>
      </c>
      <c r="J1146">
        <v>18.52</v>
      </c>
      <c r="K1146" t="s">
        <v>560</v>
      </c>
    </row>
    <row r="1147" spans="1:11">
      <c r="A1147" t="str">
        <f>"002662"</f>
        <v>002662</v>
      </c>
      <c r="B1147" t="s">
        <v>1447</v>
      </c>
      <c r="C1147">
        <v>59.85</v>
      </c>
      <c r="D1147">
        <v>57.62</v>
      </c>
      <c r="E1147">
        <v>44.03</v>
      </c>
      <c r="F1147">
        <v>15</v>
      </c>
      <c r="G1147">
        <v>15</v>
      </c>
      <c r="H1147">
        <v>43468</v>
      </c>
      <c r="I1147">
        <v>1.36</v>
      </c>
      <c r="J1147">
        <v>22.04</v>
      </c>
      <c r="K1147" t="s">
        <v>356</v>
      </c>
    </row>
    <row r="1148" spans="1:11">
      <c r="A1148" t="str">
        <f>"002663"</f>
        <v>002663</v>
      </c>
      <c r="B1148" t="s">
        <v>1448</v>
      </c>
      <c r="C1148">
        <v>34.14</v>
      </c>
      <c r="D1148">
        <v>45.49</v>
      </c>
      <c r="E1148">
        <v>23.67</v>
      </c>
      <c r="F1148">
        <v>17.23</v>
      </c>
      <c r="G1148">
        <v>17.07</v>
      </c>
      <c r="H1148">
        <v>61436</v>
      </c>
      <c r="I1148">
        <v>1.46</v>
      </c>
      <c r="J1148" t="s">
        <v>14</v>
      </c>
      <c r="K1148" t="s">
        <v>26</v>
      </c>
    </row>
    <row r="1149" spans="1:11">
      <c r="A1149" t="str">
        <f>"002664"</f>
        <v>002664</v>
      </c>
      <c r="B1149" t="s">
        <v>1449</v>
      </c>
      <c r="C1149">
        <v>97.75</v>
      </c>
      <c r="D1149">
        <v>109.7</v>
      </c>
      <c r="E1149">
        <v>35.29</v>
      </c>
      <c r="F1149">
        <v>4.08</v>
      </c>
      <c r="G1149">
        <v>4.03</v>
      </c>
      <c r="H1149">
        <v>23351</v>
      </c>
      <c r="I1149">
        <v>2.81</v>
      </c>
      <c r="J1149">
        <v>61.18</v>
      </c>
      <c r="K1149" t="s">
        <v>530</v>
      </c>
    </row>
    <row r="1150" spans="1:11">
      <c r="A1150" t="str">
        <f>"002666"</f>
        <v>002666</v>
      </c>
      <c r="B1150" t="s">
        <v>1450</v>
      </c>
      <c r="C1150">
        <v>26.94</v>
      </c>
      <c r="D1150">
        <v>52.98</v>
      </c>
      <c r="E1150">
        <v>36.05</v>
      </c>
      <c r="F1150">
        <v>7.88</v>
      </c>
      <c r="G1150">
        <v>5.01</v>
      </c>
      <c r="H1150">
        <v>34205</v>
      </c>
      <c r="I1150">
        <v>1.18</v>
      </c>
      <c r="J1150">
        <v>39.72</v>
      </c>
      <c r="K1150" t="s">
        <v>511</v>
      </c>
    </row>
    <row r="1151" spans="1:11">
      <c r="A1151" t="str">
        <f>"002667"</f>
        <v>002667</v>
      </c>
      <c r="B1151" t="s">
        <v>1451</v>
      </c>
      <c r="C1151">
        <v>33.69</v>
      </c>
      <c r="D1151">
        <v>25.77</v>
      </c>
      <c r="E1151">
        <v>3.51</v>
      </c>
      <c r="F1151">
        <v>2.61</v>
      </c>
      <c r="G1151">
        <v>2.37</v>
      </c>
      <c r="H1151">
        <v>23932</v>
      </c>
      <c r="I1151">
        <v>9.83</v>
      </c>
      <c r="J1151" t="s">
        <v>14</v>
      </c>
      <c r="K1151" t="s">
        <v>418</v>
      </c>
    </row>
    <row r="1152" spans="1:11">
      <c r="A1152" t="str">
        <f>"002668"</f>
        <v>002668</v>
      </c>
      <c r="B1152" t="s">
        <v>1452</v>
      </c>
      <c r="C1152">
        <v>109.28</v>
      </c>
      <c r="D1152">
        <v>156.37</v>
      </c>
      <c r="E1152">
        <v>34.01</v>
      </c>
      <c r="F1152">
        <v>10.84</v>
      </c>
      <c r="G1152">
        <v>10.84</v>
      </c>
      <c r="H1152">
        <v>36172</v>
      </c>
      <c r="I1152">
        <v>3.21</v>
      </c>
      <c r="J1152">
        <v>8.39</v>
      </c>
      <c r="K1152" t="s">
        <v>190</v>
      </c>
    </row>
    <row r="1153" spans="1:11">
      <c r="A1153" t="str">
        <f>"002669"</f>
        <v>002669</v>
      </c>
      <c r="B1153" t="s">
        <v>1453</v>
      </c>
      <c r="C1153">
        <v>44.26</v>
      </c>
      <c r="D1153">
        <v>84.97</v>
      </c>
      <c r="E1153">
        <v>27.14</v>
      </c>
      <c r="F1153">
        <v>3.03</v>
      </c>
      <c r="G1153">
        <v>3.02</v>
      </c>
      <c r="H1153">
        <v>28279</v>
      </c>
      <c r="I1153">
        <v>1.64</v>
      </c>
      <c r="J1153">
        <v>39.69</v>
      </c>
      <c r="K1153" t="s">
        <v>1454</v>
      </c>
    </row>
    <row r="1154" spans="1:11">
      <c r="A1154" t="str">
        <f>"002670"</f>
        <v>002670</v>
      </c>
      <c r="B1154" t="s">
        <v>1455</v>
      </c>
      <c r="C1154">
        <v>278.57</v>
      </c>
      <c r="D1154">
        <v>487.9</v>
      </c>
      <c r="E1154">
        <v>113.04</v>
      </c>
      <c r="F1154">
        <v>19.35</v>
      </c>
      <c r="G1154">
        <v>16.23</v>
      </c>
      <c r="H1154">
        <v>104401</v>
      </c>
      <c r="I1154">
        <v>2.94</v>
      </c>
      <c r="J1154">
        <v>102.89</v>
      </c>
      <c r="K1154" t="s">
        <v>120</v>
      </c>
    </row>
    <row r="1155" spans="1:11">
      <c r="A1155" t="str">
        <f>"002671"</f>
        <v>002671</v>
      </c>
      <c r="B1155" t="s">
        <v>1456</v>
      </c>
      <c r="C1155">
        <v>30.03</v>
      </c>
      <c r="D1155">
        <v>31.99</v>
      </c>
      <c r="E1155">
        <v>17.81</v>
      </c>
      <c r="F1155">
        <v>5.63</v>
      </c>
      <c r="G1155">
        <v>5.51</v>
      </c>
      <c r="H1155">
        <v>26196</v>
      </c>
      <c r="I1155">
        <v>1.73</v>
      </c>
      <c r="J1155">
        <v>18.88</v>
      </c>
      <c r="K1155" t="s">
        <v>1089</v>
      </c>
    </row>
    <row r="1156" spans="1:11">
      <c r="A1156" t="str">
        <f>"002672"</f>
        <v>002672</v>
      </c>
      <c r="B1156" t="s">
        <v>1457</v>
      </c>
      <c r="C1156">
        <v>42.63</v>
      </c>
      <c r="D1156">
        <v>107.56</v>
      </c>
      <c r="E1156">
        <v>30.45</v>
      </c>
      <c r="F1156">
        <v>11.05</v>
      </c>
      <c r="G1156">
        <v>9.05</v>
      </c>
      <c r="H1156">
        <v>31767</v>
      </c>
      <c r="I1156">
        <v>1.71</v>
      </c>
      <c r="J1156" t="s">
        <v>14</v>
      </c>
      <c r="K1156" t="s">
        <v>59</v>
      </c>
    </row>
    <row r="1157" spans="1:11">
      <c r="A1157" t="str">
        <f>"002673"</f>
        <v>002673</v>
      </c>
      <c r="B1157" t="s">
        <v>1458</v>
      </c>
      <c r="C1157">
        <v>334.08</v>
      </c>
      <c r="D1157">
        <v>1105.83</v>
      </c>
      <c r="E1157">
        <v>296.81</v>
      </c>
      <c r="F1157">
        <v>44.7</v>
      </c>
      <c r="G1157">
        <v>41.09</v>
      </c>
      <c r="H1157">
        <v>185778</v>
      </c>
      <c r="I1157">
        <v>1.22</v>
      </c>
      <c r="J1157">
        <v>21.92</v>
      </c>
      <c r="K1157" t="s">
        <v>120</v>
      </c>
    </row>
    <row r="1158" spans="1:11">
      <c r="A1158" t="str">
        <f>"002674"</f>
        <v>002674</v>
      </c>
      <c r="B1158" t="s">
        <v>1459</v>
      </c>
      <c r="C1158">
        <v>44.56</v>
      </c>
      <c r="D1158">
        <v>47.71</v>
      </c>
      <c r="E1158">
        <v>24.01</v>
      </c>
      <c r="F1158">
        <v>2.96</v>
      </c>
      <c r="G1158">
        <v>2.93</v>
      </c>
      <c r="H1158">
        <v>16595</v>
      </c>
      <c r="I1158">
        <v>1.87</v>
      </c>
      <c r="J1158">
        <v>85.13</v>
      </c>
      <c r="K1158" t="s">
        <v>754</v>
      </c>
    </row>
    <row r="1159" spans="1:11">
      <c r="A1159" t="str">
        <f>"002675"</f>
        <v>002675</v>
      </c>
      <c r="B1159" t="s">
        <v>1460</v>
      </c>
      <c r="C1159">
        <v>109.72</v>
      </c>
      <c r="D1159">
        <v>92.85</v>
      </c>
      <c r="E1159">
        <v>43.73</v>
      </c>
      <c r="F1159">
        <v>8.25</v>
      </c>
      <c r="G1159">
        <v>7.43</v>
      </c>
      <c r="H1159">
        <v>24622</v>
      </c>
      <c r="I1159">
        <v>2.78</v>
      </c>
      <c r="J1159">
        <v>61.22</v>
      </c>
      <c r="K1159" t="s">
        <v>109</v>
      </c>
    </row>
    <row r="1160" spans="1:11">
      <c r="A1160" t="str">
        <f>"002676"</f>
        <v>002676</v>
      </c>
      <c r="B1160" t="s">
        <v>1461</v>
      </c>
      <c r="C1160">
        <v>61.05</v>
      </c>
      <c r="D1160">
        <v>37.35</v>
      </c>
      <c r="E1160">
        <v>13.04</v>
      </c>
      <c r="F1160">
        <v>7.2</v>
      </c>
      <c r="G1160">
        <v>7.2</v>
      </c>
      <c r="H1160">
        <v>37802</v>
      </c>
      <c r="I1160">
        <v>4.68</v>
      </c>
      <c r="J1160">
        <v>77.96</v>
      </c>
      <c r="K1160" t="s">
        <v>134</v>
      </c>
    </row>
    <row r="1161" spans="1:11">
      <c r="A1161" t="str">
        <f>"002677"</f>
        <v>002677</v>
      </c>
      <c r="B1161" t="s">
        <v>1462</v>
      </c>
      <c r="C1161">
        <v>53.65</v>
      </c>
      <c r="D1161">
        <v>16.19</v>
      </c>
      <c r="E1161">
        <v>14.76</v>
      </c>
      <c r="F1161">
        <v>6.46</v>
      </c>
      <c r="G1161">
        <v>5.35</v>
      </c>
      <c r="H1161">
        <v>58856</v>
      </c>
      <c r="I1161">
        <v>4.39</v>
      </c>
      <c r="J1161">
        <v>271.59</v>
      </c>
      <c r="K1161" t="s">
        <v>790</v>
      </c>
    </row>
    <row r="1162" spans="1:11">
      <c r="A1162" t="str">
        <f>"002678"</f>
        <v>002678</v>
      </c>
      <c r="B1162" t="s">
        <v>1463</v>
      </c>
      <c r="C1162">
        <v>73.44</v>
      </c>
      <c r="D1162">
        <v>38.55</v>
      </c>
      <c r="E1162">
        <v>32.44</v>
      </c>
      <c r="F1162">
        <v>13.58</v>
      </c>
      <c r="G1162">
        <v>13.58</v>
      </c>
      <c r="H1162">
        <v>20774</v>
      </c>
      <c r="I1162">
        <v>2.27</v>
      </c>
      <c r="J1162" t="s">
        <v>14</v>
      </c>
      <c r="K1162" t="s">
        <v>637</v>
      </c>
    </row>
    <row r="1163" spans="1:11">
      <c r="A1163" t="str">
        <f>"002679"</f>
        <v>002679</v>
      </c>
      <c r="B1163" t="s">
        <v>1464</v>
      </c>
      <c r="C1163">
        <v>27.49</v>
      </c>
      <c r="D1163">
        <v>19.5</v>
      </c>
      <c r="E1163">
        <v>7.33</v>
      </c>
      <c r="F1163">
        <v>2.36</v>
      </c>
      <c r="G1163">
        <v>2.36</v>
      </c>
      <c r="H1163">
        <v>22603</v>
      </c>
      <c r="I1163">
        <v>3.75</v>
      </c>
      <c r="J1163" t="s">
        <v>14</v>
      </c>
      <c r="K1163" t="s">
        <v>268</v>
      </c>
    </row>
    <row r="1164" spans="1:11">
      <c r="A1164" t="str">
        <f>"002681"</f>
        <v>002681</v>
      </c>
      <c r="B1164" t="s">
        <v>1465</v>
      </c>
      <c r="C1164">
        <v>108.67</v>
      </c>
      <c r="D1164">
        <v>45.83</v>
      </c>
      <c r="E1164">
        <v>22.78</v>
      </c>
      <c r="F1164">
        <v>17.95</v>
      </c>
      <c r="G1164">
        <v>15.33</v>
      </c>
      <c r="H1164">
        <v>224972</v>
      </c>
      <c r="I1164">
        <v>5.58</v>
      </c>
      <c r="J1164">
        <v>746.46</v>
      </c>
      <c r="K1164" t="s">
        <v>41</v>
      </c>
    </row>
    <row r="1165" spans="1:11">
      <c r="A1165" t="str">
        <f>"002682"</f>
        <v>002682</v>
      </c>
      <c r="B1165" t="s">
        <v>1466</v>
      </c>
      <c r="C1165">
        <v>43.02</v>
      </c>
      <c r="D1165">
        <v>57.73</v>
      </c>
      <c r="E1165">
        <v>10.77</v>
      </c>
      <c r="F1165">
        <v>5.62</v>
      </c>
      <c r="G1165">
        <v>5.62</v>
      </c>
      <c r="H1165">
        <v>50374</v>
      </c>
      <c r="I1165">
        <v>3.99</v>
      </c>
      <c r="J1165" t="s">
        <v>14</v>
      </c>
      <c r="K1165" t="s">
        <v>536</v>
      </c>
    </row>
    <row r="1166" spans="1:11">
      <c r="A1166" t="str">
        <f>"002683"</f>
        <v>002683</v>
      </c>
      <c r="B1166" t="s">
        <v>1467</v>
      </c>
      <c r="C1166">
        <v>336.97</v>
      </c>
      <c r="D1166">
        <v>315.64</v>
      </c>
      <c r="E1166">
        <v>66.65</v>
      </c>
      <c r="F1166">
        <v>7.6</v>
      </c>
      <c r="G1166">
        <v>6.65</v>
      </c>
      <c r="H1166">
        <v>23592</v>
      </c>
      <c r="I1166">
        <v>5.78</v>
      </c>
      <c r="J1166">
        <v>44.23</v>
      </c>
      <c r="K1166" t="s">
        <v>793</v>
      </c>
    </row>
    <row r="1167" spans="1:11">
      <c r="A1167" t="str">
        <f>"002685"</f>
        <v>002685</v>
      </c>
      <c r="B1167" t="s">
        <v>1468</v>
      </c>
      <c r="C1167">
        <v>77.38</v>
      </c>
      <c r="D1167">
        <v>27.18</v>
      </c>
      <c r="E1167">
        <v>15.71</v>
      </c>
      <c r="F1167">
        <v>10.08</v>
      </c>
      <c r="G1167">
        <v>10.08</v>
      </c>
      <c r="H1167">
        <v>90092</v>
      </c>
      <c r="I1167">
        <v>4.93</v>
      </c>
      <c r="J1167">
        <v>145.08</v>
      </c>
      <c r="K1167" t="s">
        <v>141</v>
      </c>
    </row>
    <row r="1168" spans="1:11">
      <c r="A1168" t="str">
        <f>"002686"</f>
        <v>002686</v>
      </c>
      <c r="B1168" t="s">
        <v>1469</v>
      </c>
      <c r="C1168">
        <v>34.97</v>
      </c>
      <c r="D1168">
        <v>30.44</v>
      </c>
      <c r="E1168">
        <v>16.41</v>
      </c>
      <c r="F1168">
        <v>5.66</v>
      </c>
      <c r="G1168">
        <v>5.23</v>
      </c>
      <c r="H1168">
        <v>30596</v>
      </c>
      <c r="I1168">
        <v>2.31</v>
      </c>
      <c r="J1168">
        <v>78.94</v>
      </c>
      <c r="K1168" t="s">
        <v>744</v>
      </c>
    </row>
    <row r="1169" spans="1:11">
      <c r="A1169" t="str">
        <f>"002687"</f>
        <v>002687</v>
      </c>
      <c r="B1169" t="s">
        <v>1470</v>
      </c>
      <c r="C1169">
        <v>19.8</v>
      </c>
      <c r="D1169">
        <v>20.52</v>
      </c>
      <c r="E1169">
        <v>14.92</v>
      </c>
      <c r="F1169">
        <v>5.05</v>
      </c>
      <c r="G1169">
        <v>4.13</v>
      </c>
      <c r="H1169">
        <v>16170</v>
      </c>
      <c r="I1169">
        <v>1.62</v>
      </c>
      <c r="J1169">
        <v>76.01</v>
      </c>
      <c r="K1169" t="s">
        <v>622</v>
      </c>
    </row>
    <row r="1170" spans="1:11">
      <c r="A1170" t="str">
        <f>"002688"</f>
        <v>002688</v>
      </c>
      <c r="B1170" t="s">
        <v>1471</v>
      </c>
      <c r="C1170">
        <v>46.79</v>
      </c>
      <c r="D1170">
        <v>55.85</v>
      </c>
      <c r="E1170">
        <v>23.5</v>
      </c>
      <c r="F1170">
        <v>7.72</v>
      </c>
      <c r="G1170">
        <v>7.47</v>
      </c>
      <c r="H1170">
        <v>50527</v>
      </c>
      <c r="I1170">
        <v>2.06</v>
      </c>
      <c r="J1170">
        <v>26.05</v>
      </c>
      <c r="K1170" t="s">
        <v>912</v>
      </c>
    </row>
    <row r="1171" spans="1:11">
      <c r="A1171" t="str">
        <f>"002689"</f>
        <v>002689</v>
      </c>
      <c r="B1171" t="s">
        <v>1472</v>
      </c>
      <c r="C1171">
        <v>34.31</v>
      </c>
      <c r="D1171">
        <v>19</v>
      </c>
      <c r="E1171">
        <v>12.2</v>
      </c>
      <c r="F1171">
        <v>10.43</v>
      </c>
      <c r="G1171">
        <v>10.43</v>
      </c>
      <c r="H1171">
        <v>68863</v>
      </c>
      <c r="I1171">
        <v>2.81</v>
      </c>
      <c r="J1171">
        <v>61.56</v>
      </c>
      <c r="K1171" t="s">
        <v>1155</v>
      </c>
    </row>
    <row r="1172" spans="1:11">
      <c r="A1172" t="str">
        <f>"002690"</f>
        <v>002690</v>
      </c>
      <c r="B1172" t="s">
        <v>1473</v>
      </c>
      <c r="C1172">
        <v>93.26</v>
      </c>
      <c r="D1172">
        <v>34.11</v>
      </c>
      <c r="E1172">
        <v>27.25</v>
      </c>
      <c r="F1172">
        <v>8.82</v>
      </c>
      <c r="G1172">
        <v>4.34</v>
      </c>
      <c r="H1172">
        <v>26516</v>
      </c>
      <c r="I1172">
        <v>6.96</v>
      </c>
      <c r="J1172">
        <v>27.41</v>
      </c>
      <c r="K1172" t="s">
        <v>493</v>
      </c>
    </row>
    <row r="1173" spans="1:11">
      <c r="A1173" t="str">
        <f>"002691"</f>
        <v>002691</v>
      </c>
      <c r="B1173" t="s">
        <v>1474</v>
      </c>
      <c r="C1173">
        <v>30.1</v>
      </c>
      <c r="D1173">
        <v>11.18</v>
      </c>
      <c r="E1173">
        <v>8.49</v>
      </c>
      <c r="F1173">
        <v>3.4</v>
      </c>
      <c r="G1173">
        <v>3.36</v>
      </c>
      <c r="H1173">
        <v>23984</v>
      </c>
      <c r="I1173">
        <v>3.59</v>
      </c>
      <c r="J1173" t="s">
        <v>14</v>
      </c>
      <c r="K1173" t="s">
        <v>491</v>
      </c>
    </row>
    <row r="1174" spans="1:11">
      <c r="A1174" t="str">
        <f>"002692"</f>
        <v>002692</v>
      </c>
      <c r="B1174" t="s">
        <v>1475</v>
      </c>
      <c r="C1174">
        <v>38.18</v>
      </c>
      <c r="D1174">
        <v>31.53</v>
      </c>
      <c r="E1174">
        <v>12.15</v>
      </c>
      <c r="F1174">
        <v>7.18</v>
      </c>
      <c r="G1174">
        <v>7.18</v>
      </c>
      <c r="H1174">
        <v>31720</v>
      </c>
      <c r="I1174">
        <v>3.15</v>
      </c>
      <c r="J1174">
        <v>58.02</v>
      </c>
      <c r="K1174" t="s">
        <v>383</v>
      </c>
    </row>
    <row r="1175" spans="1:11">
      <c r="A1175" t="str">
        <f>"002693"</f>
        <v>002693</v>
      </c>
      <c r="B1175" t="s">
        <v>1476</v>
      </c>
      <c r="C1175">
        <v>30.62</v>
      </c>
      <c r="D1175">
        <v>7.98</v>
      </c>
      <c r="E1175">
        <v>3.91</v>
      </c>
      <c r="F1175">
        <v>4.15</v>
      </c>
      <c r="G1175">
        <v>4.11</v>
      </c>
      <c r="H1175">
        <v>44166</v>
      </c>
      <c r="I1175">
        <v>7.9</v>
      </c>
      <c r="J1175" t="s">
        <v>14</v>
      </c>
      <c r="K1175" t="s">
        <v>210</v>
      </c>
    </row>
    <row r="1176" spans="1:11">
      <c r="A1176" t="str">
        <f>"002694"</f>
        <v>002694</v>
      </c>
      <c r="B1176" t="s">
        <v>1477</v>
      </c>
      <c r="C1176">
        <v>26.95</v>
      </c>
      <c r="D1176">
        <v>12.29</v>
      </c>
      <c r="E1176">
        <v>1.05</v>
      </c>
      <c r="F1176">
        <v>7.63</v>
      </c>
      <c r="G1176">
        <v>7.19</v>
      </c>
      <c r="H1176">
        <v>17320</v>
      </c>
      <c r="I1176">
        <v>27.17</v>
      </c>
      <c r="J1176" t="s">
        <v>14</v>
      </c>
      <c r="K1176" t="s">
        <v>874</v>
      </c>
    </row>
    <row r="1177" spans="1:11">
      <c r="A1177" t="str">
        <f>"002695"</f>
        <v>002695</v>
      </c>
      <c r="B1177" t="s">
        <v>1478</v>
      </c>
      <c r="C1177">
        <v>61.37</v>
      </c>
      <c r="D1177">
        <v>38.45</v>
      </c>
      <c r="E1177">
        <v>28.06</v>
      </c>
      <c r="F1177">
        <v>5.6</v>
      </c>
      <c r="G1177">
        <v>5.11</v>
      </c>
      <c r="H1177">
        <v>32302</v>
      </c>
      <c r="I1177">
        <v>2.39</v>
      </c>
      <c r="J1177">
        <v>49.85</v>
      </c>
      <c r="K1177" t="s">
        <v>1479</v>
      </c>
    </row>
    <row r="1178" spans="1:11">
      <c r="A1178" t="str">
        <f>"002696"</f>
        <v>002696</v>
      </c>
      <c r="B1178" t="s">
        <v>1480</v>
      </c>
      <c r="C1178">
        <v>24.95</v>
      </c>
      <c r="D1178">
        <v>37.04</v>
      </c>
      <c r="E1178">
        <v>13.72</v>
      </c>
      <c r="F1178">
        <v>3.46</v>
      </c>
      <c r="G1178">
        <v>3.34</v>
      </c>
      <c r="H1178">
        <v>15924</v>
      </c>
      <c r="I1178">
        <v>1.88</v>
      </c>
      <c r="J1178">
        <v>53.64</v>
      </c>
      <c r="K1178" t="s">
        <v>694</v>
      </c>
    </row>
    <row r="1179" spans="1:11">
      <c r="A1179" t="str">
        <f>"002697"</f>
        <v>002697</v>
      </c>
      <c r="B1179" t="s">
        <v>1481</v>
      </c>
      <c r="C1179">
        <v>74.42</v>
      </c>
      <c r="D1179">
        <v>84.35</v>
      </c>
      <c r="E1179">
        <v>46.89</v>
      </c>
      <c r="F1179">
        <v>13.6</v>
      </c>
      <c r="G1179">
        <v>11.45</v>
      </c>
      <c r="H1179">
        <v>68558</v>
      </c>
      <c r="I1179">
        <v>1.89</v>
      </c>
      <c r="J1179">
        <v>17.33</v>
      </c>
      <c r="K1179" t="s">
        <v>415</v>
      </c>
    </row>
    <row r="1180" spans="1:11">
      <c r="A1180" t="str">
        <f>"002698"</f>
        <v>002698</v>
      </c>
      <c r="B1180" t="s">
        <v>1482</v>
      </c>
      <c r="C1180">
        <v>150.12</v>
      </c>
      <c r="D1180">
        <v>68.04</v>
      </c>
      <c r="E1180">
        <v>39.96</v>
      </c>
      <c r="F1180">
        <v>10.23</v>
      </c>
      <c r="G1180">
        <v>8.41</v>
      </c>
      <c r="H1180">
        <v>45451</v>
      </c>
      <c r="I1180">
        <v>4.6</v>
      </c>
      <c r="J1180">
        <v>32.18</v>
      </c>
      <c r="K1180" t="s">
        <v>493</v>
      </c>
    </row>
    <row r="1181" spans="1:11">
      <c r="A1181" t="str">
        <f>"002700"</f>
        <v>002700</v>
      </c>
      <c r="B1181" t="s">
        <v>1483</v>
      </c>
      <c r="C1181">
        <v>18.44</v>
      </c>
      <c r="D1181">
        <v>15.75</v>
      </c>
      <c r="E1181">
        <v>13.68</v>
      </c>
      <c r="F1181">
        <v>4.14</v>
      </c>
      <c r="G1181">
        <v>2.63</v>
      </c>
      <c r="H1181">
        <v>19612</v>
      </c>
      <c r="I1181">
        <v>2.12</v>
      </c>
      <c r="J1181">
        <v>34.22</v>
      </c>
      <c r="K1181" t="s">
        <v>136</v>
      </c>
    </row>
    <row r="1182" spans="1:11">
      <c r="A1182" t="str">
        <f>"002701"</f>
        <v>002701</v>
      </c>
      <c r="B1182" t="s">
        <v>1484</v>
      </c>
      <c r="C1182">
        <v>150.89</v>
      </c>
      <c r="D1182">
        <v>315.48</v>
      </c>
      <c r="E1182">
        <v>97.84</v>
      </c>
      <c r="F1182">
        <v>25.6</v>
      </c>
      <c r="G1182">
        <v>25.57</v>
      </c>
      <c r="H1182">
        <v>45827</v>
      </c>
      <c r="I1182">
        <v>1.54</v>
      </c>
      <c r="J1182">
        <v>10.52</v>
      </c>
      <c r="K1182" t="s">
        <v>1164</v>
      </c>
    </row>
    <row r="1183" spans="1:11">
      <c r="A1183" t="str">
        <f>"002702"</f>
        <v>002702</v>
      </c>
      <c r="B1183" t="s">
        <v>1485</v>
      </c>
      <c r="C1183">
        <v>32.34</v>
      </c>
      <c r="D1183">
        <v>19.7</v>
      </c>
      <c r="E1183">
        <v>10.46</v>
      </c>
      <c r="F1183">
        <v>5.56</v>
      </c>
      <c r="G1183">
        <v>4.59</v>
      </c>
      <c r="H1183">
        <v>42553</v>
      </c>
      <c r="I1183">
        <v>3.75</v>
      </c>
      <c r="J1183" t="s">
        <v>14</v>
      </c>
      <c r="K1183" t="s">
        <v>629</v>
      </c>
    </row>
    <row r="1184" spans="1:11">
      <c r="A1184" t="str">
        <f>"002703"</f>
        <v>002703</v>
      </c>
      <c r="B1184" t="s">
        <v>1486</v>
      </c>
      <c r="C1184">
        <v>152.31</v>
      </c>
      <c r="D1184">
        <v>36.73</v>
      </c>
      <c r="E1184">
        <v>20.43</v>
      </c>
      <c r="F1184">
        <v>8.23</v>
      </c>
      <c r="G1184">
        <v>5.86</v>
      </c>
      <c r="H1184">
        <v>66613</v>
      </c>
      <c r="I1184">
        <v>10.46</v>
      </c>
      <c r="J1184">
        <v>107.13</v>
      </c>
      <c r="K1184" t="s">
        <v>51</v>
      </c>
    </row>
    <row r="1185" spans="1:11">
      <c r="A1185" t="str">
        <f>"002705"</f>
        <v>002705</v>
      </c>
      <c r="B1185" t="s">
        <v>1487</v>
      </c>
      <c r="C1185">
        <v>117.09</v>
      </c>
      <c r="D1185">
        <v>154.51</v>
      </c>
      <c r="E1185">
        <v>84.88</v>
      </c>
      <c r="F1185">
        <v>8.12</v>
      </c>
      <c r="G1185">
        <v>8.08</v>
      </c>
      <c r="H1185">
        <v>28343</v>
      </c>
      <c r="I1185">
        <v>1.39</v>
      </c>
      <c r="J1185">
        <v>10.49</v>
      </c>
      <c r="K1185" t="s">
        <v>660</v>
      </c>
    </row>
    <row r="1186" spans="1:11">
      <c r="A1186" t="str">
        <f>"002706"</f>
        <v>002706</v>
      </c>
      <c r="B1186" t="s">
        <v>1488</v>
      </c>
      <c r="C1186">
        <v>104.95</v>
      </c>
      <c r="D1186">
        <v>60.59</v>
      </c>
      <c r="E1186">
        <v>40.7</v>
      </c>
      <c r="F1186">
        <v>11.23</v>
      </c>
      <c r="G1186">
        <v>9.15</v>
      </c>
      <c r="H1186">
        <v>39362</v>
      </c>
      <c r="I1186">
        <v>3.17</v>
      </c>
      <c r="J1186">
        <v>31.76</v>
      </c>
      <c r="K1186" t="s">
        <v>943</v>
      </c>
    </row>
    <row r="1187" spans="1:11">
      <c r="A1187" t="str">
        <f>"002707"</f>
        <v>002707</v>
      </c>
      <c r="B1187" t="s">
        <v>1489</v>
      </c>
      <c r="C1187">
        <v>68.16</v>
      </c>
      <c r="D1187">
        <v>28.7</v>
      </c>
      <c r="E1187">
        <v>9.27</v>
      </c>
      <c r="F1187">
        <v>9.83</v>
      </c>
      <c r="G1187">
        <v>8.25</v>
      </c>
      <c r="H1187">
        <v>65337</v>
      </c>
      <c r="I1187">
        <v>8.76</v>
      </c>
      <c r="J1187">
        <v>90.84</v>
      </c>
      <c r="K1187" t="s">
        <v>194</v>
      </c>
    </row>
    <row r="1188" spans="1:11">
      <c r="A1188" t="str">
        <f>"002708"</f>
        <v>002708</v>
      </c>
      <c r="B1188" t="s">
        <v>1490</v>
      </c>
      <c r="C1188">
        <v>72.83</v>
      </c>
      <c r="D1188">
        <v>37.36</v>
      </c>
      <c r="E1188">
        <v>16.93</v>
      </c>
      <c r="F1188">
        <v>5.62</v>
      </c>
      <c r="G1188">
        <v>5.14</v>
      </c>
      <c r="H1188">
        <v>58681</v>
      </c>
      <c r="I1188">
        <v>4.7</v>
      </c>
      <c r="J1188">
        <v>93.94</v>
      </c>
      <c r="K1188" t="s">
        <v>51</v>
      </c>
    </row>
    <row r="1189" spans="1:11">
      <c r="A1189" t="str">
        <f>"002709"</f>
        <v>002709</v>
      </c>
      <c r="B1189" t="s">
        <v>1491</v>
      </c>
      <c r="C1189">
        <v>647.66</v>
      </c>
      <c r="D1189">
        <v>251.24</v>
      </c>
      <c r="E1189">
        <v>133.21</v>
      </c>
      <c r="F1189">
        <v>20.34</v>
      </c>
      <c r="G1189">
        <v>15.04</v>
      </c>
      <c r="H1189">
        <v>305798</v>
      </c>
      <c r="I1189">
        <v>6.28</v>
      </c>
      <c r="J1189">
        <v>156.13</v>
      </c>
      <c r="K1189" t="s">
        <v>24</v>
      </c>
    </row>
    <row r="1190" spans="1:11">
      <c r="A1190" t="str">
        <f>"002712"</f>
        <v>002712</v>
      </c>
      <c r="B1190" t="s">
        <v>1492</v>
      </c>
      <c r="C1190">
        <v>39</v>
      </c>
      <c r="D1190">
        <v>30.5</v>
      </c>
      <c r="E1190">
        <v>13.63</v>
      </c>
      <c r="F1190">
        <v>5.44</v>
      </c>
      <c r="G1190">
        <v>5.41</v>
      </c>
      <c r="H1190">
        <v>27045</v>
      </c>
      <c r="I1190">
        <v>2.88</v>
      </c>
      <c r="J1190" t="s">
        <v>14</v>
      </c>
      <c r="K1190" t="s">
        <v>333</v>
      </c>
    </row>
    <row r="1191" spans="1:11">
      <c r="A1191" t="str">
        <f>"002713"</f>
        <v>002713</v>
      </c>
      <c r="B1191" t="s">
        <v>1493</v>
      </c>
      <c r="C1191">
        <v>57.23</v>
      </c>
      <c r="D1191">
        <v>14.21</v>
      </c>
      <c r="E1191">
        <v>-11.65</v>
      </c>
      <c r="F1191">
        <v>9.51</v>
      </c>
      <c r="G1191">
        <v>5.27</v>
      </c>
      <c r="H1191">
        <v>25500</v>
      </c>
      <c r="I1191">
        <v>-3.91</v>
      </c>
      <c r="J1191" t="s">
        <v>14</v>
      </c>
      <c r="K1191" t="s">
        <v>804</v>
      </c>
    </row>
    <row r="1192" spans="1:11">
      <c r="A1192" t="str">
        <f>"002714"</f>
        <v>002714</v>
      </c>
      <c r="B1192" t="s">
        <v>1494</v>
      </c>
      <c r="C1192">
        <v>1843.46</v>
      </c>
      <c r="D1192">
        <v>1807.56</v>
      </c>
      <c r="E1192">
        <v>768.7</v>
      </c>
      <c r="F1192">
        <v>54.63</v>
      </c>
      <c r="G1192">
        <v>38.09</v>
      </c>
      <c r="H1192">
        <v>185571</v>
      </c>
      <c r="I1192">
        <v>3.49</v>
      </c>
      <c r="J1192">
        <v>13.42</v>
      </c>
      <c r="K1192" t="s">
        <v>68</v>
      </c>
    </row>
    <row r="1193" spans="1:11">
      <c r="A1193" t="str">
        <f>"002715"</f>
        <v>002715</v>
      </c>
      <c r="B1193" t="s">
        <v>1495</v>
      </c>
      <c r="C1193">
        <v>23.28</v>
      </c>
      <c r="D1193">
        <v>8.41</v>
      </c>
      <c r="E1193">
        <v>4.72</v>
      </c>
      <c r="F1193">
        <v>1.38</v>
      </c>
      <c r="G1193">
        <v>1.38</v>
      </c>
      <c r="H1193">
        <v>11614</v>
      </c>
      <c r="I1193">
        <v>4.94</v>
      </c>
      <c r="J1193" t="s">
        <v>14</v>
      </c>
      <c r="K1193" t="s">
        <v>51</v>
      </c>
    </row>
    <row r="1194" spans="1:11">
      <c r="A1194" t="str">
        <f>"002716"</f>
        <v>002716</v>
      </c>
      <c r="B1194" t="s">
        <v>1496</v>
      </c>
      <c r="C1194">
        <v>230.63</v>
      </c>
      <c r="D1194">
        <v>72.87</v>
      </c>
      <c r="E1194">
        <v>33.67</v>
      </c>
      <c r="F1194">
        <v>28.23</v>
      </c>
      <c r="G1194">
        <v>23.25</v>
      </c>
      <c r="H1194">
        <v>153409</v>
      </c>
      <c r="I1194">
        <v>8.32</v>
      </c>
      <c r="J1194">
        <v>132.47</v>
      </c>
      <c r="K1194" t="s">
        <v>280</v>
      </c>
    </row>
    <row r="1195" spans="1:11">
      <c r="A1195" t="str">
        <f>"002717"</f>
        <v>002717</v>
      </c>
      <c r="B1195" t="s">
        <v>1497</v>
      </c>
      <c r="C1195">
        <v>25.68</v>
      </c>
      <c r="D1195">
        <v>136.24</v>
      </c>
      <c r="E1195">
        <v>8.58</v>
      </c>
      <c r="F1195">
        <v>18.2</v>
      </c>
      <c r="G1195">
        <v>16.15</v>
      </c>
      <c r="H1195">
        <v>118970</v>
      </c>
      <c r="I1195">
        <v>3.37</v>
      </c>
      <c r="J1195" t="s">
        <v>14</v>
      </c>
      <c r="K1195" t="s">
        <v>370</v>
      </c>
    </row>
    <row r="1196" spans="1:11">
      <c r="A1196" t="str">
        <f>"002718"</f>
        <v>002718</v>
      </c>
      <c r="B1196" t="s">
        <v>1498</v>
      </c>
      <c r="C1196">
        <v>37.37</v>
      </c>
      <c r="D1196">
        <v>12.34</v>
      </c>
      <c r="E1196">
        <v>9.18</v>
      </c>
      <c r="F1196">
        <v>1.29</v>
      </c>
      <c r="G1196">
        <v>0.55</v>
      </c>
      <c r="H1196">
        <v>6716</v>
      </c>
      <c r="I1196">
        <v>9.81</v>
      </c>
      <c r="J1196">
        <v>588.02</v>
      </c>
      <c r="K1196" t="s">
        <v>73</v>
      </c>
    </row>
    <row r="1197" spans="1:11">
      <c r="A1197" t="str">
        <f>"002719"</f>
        <v>002719</v>
      </c>
      <c r="B1197" t="s">
        <v>1499</v>
      </c>
      <c r="C1197">
        <v>14.18</v>
      </c>
      <c r="D1197">
        <v>10.9</v>
      </c>
      <c r="E1197">
        <v>1.92</v>
      </c>
      <c r="F1197">
        <v>1.74</v>
      </c>
      <c r="G1197">
        <v>1.62</v>
      </c>
      <c r="H1197">
        <v>20173</v>
      </c>
      <c r="I1197">
        <v>7.93</v>
      </c>
      <c r="J1197" t="s">
        <v>14</v>
      </c>
      <c r="K1197" t="s">
        <v>699</v>
      </c>
    </row>
    <row r="1198" spans="1:11">
      <c r="A1198" t="str">
        <f>"002721"</f>
        <v>002721</v>
      </c>
      <c r="B1198" t="s">
        <v>1500</v>
      </c>
      <c r="C1198">
        <v>89.89</v>
      </c>
      <c r="D1198">
        <v>25.99</v>
      </c>
      <c r="E1198">
        <v>20.52</v>
      </c>
      <c r="F1198">
        <v>26.59</v>
      </c>
      <c r="G1198">
        <v>26.59</v>
      </c>
      <c r="H1198">
        <v>72699</v>
      </c>
      <c r="I1198">
        <v>4.38</v>
      </c>
      <c r="J1198" t="s">
        <v>14</v>
      </c>
      <c r="K1198" t="s">
        <v>35</v>
      </c>
    </row>
    <row r="1199" spans="1:11">
      <c r="A1199" t="str">
        <f>"002722"</f>
        <v>002722</v>
      </c>
      <c r="B1199" t="s">
        <v>1501</v>
      </c>
      <c r="C1199">
        <v>30.4</v>
      </c>
      <c r="D1199">
        <v>35.32</v>
      </c>
      <c r="E1199">
        <v>27.89</v>
      </c>
      <c r="F1199">
        <v>2.22</v>
      </c>
      <c r="G1199">
        <v>1.91</v>
      </c>
      <c r="H1199">
        <v>28360</v>
      </c>
      <c r="I1199">
        <v>1.24</v>
      </c>
      <c r="J1199">
        <v>27.13</v>
      </c>
      <c r="K1199" t="s">
        <v>63</v>
      </c>
    </row>
    <row r="1200" spans="1:11">
      <c r="A1200" t="str">
        <f>"002723"</f>
        <v>002723</v>
      </c>
      <c r="B1200" t="s">
        <v>1502</v>
      </c>
      <c r="C1200">
        <v>28.16</v>
      </c>
      <c r="D1200">
        <v>25.66</v>
      </c>
      <c r="E1200">
        <v>9.42</v>
      </c>
      <c r="F1200">
        <v>3.32</v>
      </c>
      <c r="G1200">
        <v>3.17</v>
      </c>
      <c r="H1200">
        <v>18159</v>
      </c>
      <c r="I1200">
        <v>3.13</v>
      </c>
      <c r="J1200" t="s">
        <v>14</v>
      </c>
      <c r="K1200" t="s">
        <v>1399</v>
      </c>
    </row>
    <row r="1201" spans="1:11">
      <c r="A1201" t="str">
        <f>"002724"</f>
        <v>002724</v>
      </c>
      <c r="B1201" t="s">
        <v>1503</v>
      </c>
      <c r="C1201">
        <v>39.29</v>
      </c>
      <c r="D1201">
        <v>33.36</v>
      </c>
      <c r="E1201">
        <v>27.13</v>
      </c>
      <c r="F1201">
        <v>7.71</v>
      </c>
      <c r="G1201">
        <v>5.68</v>
      </c>
      <c r="H1201">
        <v>32970</v>
      </c>
      <c r="I1201">
        <v>1.97</v>
      </c>
      <c r="J1201">
        <v>73.08</v>
      </c>
      <c r="K1201" t="s">
        <v>216</v>
      </c>
    </row>
    <row r="1202" spans="1:11">
      <c r="A1202" t="str">
        <f>"002725"</f>
        <v>002725</v>
      </c>
      <c r="B1202" t="s">
        <v>1504</v>
      </c>
      <c r="C1202">
        <v>33.88</v>
      </c>
      <c r="D1202">
        <v>13.29</v>
      </c>
      <c r="E1202">
        <v>10.3</v>
      </c>
      <c r="F1202">
        <v>2.56</v>
      </c>
      <c r="G1202">
        <v>2.12</v>
      </c>
      <c r="H1202">
        <v>43240</v>
      </c>
      <c r="I1202">
        <v>3.97</v>
      </c>
      <c r="J1202">
        <v>155.12</v>
      </c>
      <c r="K1202" t="s">
        <v>263</v>
      </c>
    </row>
    <row r="1203" spans="1:11">
      <c r="A1203" t="str">
        <f>"002726"</f>
        <v>002726</v>
      </c>
      <c r="B1203" t="s">
        <v>1505</v>
      </c>
      <c r="C1203">
        <v>45.4</v>
      </c>
      <c r="D1203">
        <v>54.63</v>
      </c>
      <c r="E1203">
        <v>13.21</v>
      </c>
      <c r="F1203">
        <v>10.79</v>
      </c>
      <c r="G1203">
        <v>10.78</v>
      </c>
      <c r="H1203">
        <v>44191</v>
      </c>
      <c r="I1203">
        <v>3.95</v>
      </c>
      <c r="J1203" t="s">
        <v>14</v>
      </c>
      <c r="K1203" t="s">
        <v>201</v>
      </c>
    </row>
    <row r="1204" spans="1:11">
      <c r="A1204" t="str">
        <f>"002727"</f>
        <v>002727</v>
      </c>
      <c r="B1204" t="s">
        <v>1506</v>
      </c>
      <c r="C1204">
        <v>54.11</v>
      </c>
      <c r="D1204">
        <v>158.41</v>
      </c>
      <c r="E1204">
        <v>73.17</v>
      </c>
      <c r="F1204">
        <v>5.86</v>
      </c>
      <c r="G1204">
        <v>3.97</v>
      </c>
      <c r="H1204">
        <v>37494</v>
      </c>
      <c r="I1204">
        <v>1.09</v>
      </c>
      <c r="J1204">
        <v>22.27</v>
      </c>
      <c r="K1204" t="s">
        <v>1507</v>
      </c>
    </row>
    <row r="1205" spans="1:11">
      <c r="A1205" t="str">
        <f>"002728"</f>
        <v>002728</v>
      </c>
      <c r="B1205" t="s">
        <v>1508</v>
      </c>
      <c r="C1205">
        <v>44.01</v>
      </c>
      <c r="D1205">
        <v>22.21</v>
      </c>
      <c r="E1205">
        <v>18.03</v>
      </c>
      <c r="F1205">
        <v>5.13</v>
      </c>
      <c r="G1205">
        <v>3.77</v>
      </c>
      <c r="H1205">
        <v>58139</v>
      </c>
      <c r="I1205">
        <v>3.32</v>
      </c>
      <c r="J1205">
        <v>68.91</v>
      </c>
      <c r="K1205" t="s">
        <v>155</v>
      </c>
    </row>
    <row r="1206" spans="1:11">
      <c r="A1206" t="str">
        <f>"002729"</f>
        <v>002729</v>
      </c>
      <c r="B1206" t="s">
        <v>1509</v>
      </c>
      <c r="C1206">
        <v>32.99</v>
      </c>
      <c r="D1206">
        <v>6.57</v>
      </c>
      <c r="E1206">
        <v>5.54</v>
      </c>
      <c r="F1206">
        <v>1.83</v>
      </c>
      <c r="G1206">
        <v>1.75</v>
      </c>
      <c r="H1206">
        <v>21993</v>
      </c>
      <c r="I1206">
        <v>6.21</v>
      </c>
      <c r="J1206">
        <v>66.17</v>
      </c>
      <c r="K1206" t="s">
        <v>82</v>
      </c>
    </row>
    <row r="1207" spans="1:11">
      <c r="A1207" t="str">
        <f>"002730"</f>
        <v>002730</v>
      </c>
      <c r="B1207" t="s">
        <v>1510</v>
      </c>
      <c r="C1207">
        <v>54.22</v>
      </c>
      <c r="D1207">
        <v>29.19</v>
      </c>
      <c r="E1207">
        <v>16.29</v>
      </c>
      <c r="F1207">
        <v>3.62</v>
      </c>
      <c r="G1207">
        <v>3.46</v>
      </c>
      <c r="H1207">
        <v>48905</v>
      </c>
      <c r="I1207">
        <v>3.48</v>
      </c>
      <c r="J1207">
        <v>62.49</v>
      </c>
      <c r="K1207" t="s">
        <v>491</v>
      </c>
    </row>
    <row r="1208" spans="1:11">
      <c r="A1208" t="str">
        <f>"002731"</f>
        <v>002731</v>
      </c>
      <c r="B1208" t="s">
        <v>1511</v>
      </c>
      <c r="C1208">
        <v>30.22</v>
      </c>
      <c r="D1208">
        <v>62.63</v>
      </c>
      <c r="E1208">
        <v>18.7</v>
      </c>
      <c r="F1208">
        <v>2.56</v>
      </c>
      <c r="G1208">
        <v>2.3</v>
      </c>
      <c r="H1208">
        <v>24283</v>
      </c>
      <c r="I1208">
        <v>1.8</v>
      </c>
      <c r="J1208">
        <v>14.54</v>
      </c>
      <c r="K1208" t="s">
        <v>35</v>
      </c>
    </row>
    <row r="1209" spans="1:11">
      <c r="A1209" t="str">
        <f>"002732"</f>
        <v>002732</v>
      </c>
      <c r="B1209" t="s">
        <v>1512</v>
      </c>
      <c r="C1209">
        <v>26.96</v>
      </c>
      <c r="D1209">
        <v>19.95</v>
      </c>
      <c r="E1209">
        <v>15.04</v>
      </c>
      <c r="F1209">
        <v>1.57</v>
      </c>
      <c r="G1209">
        <v>1.56</v>
      </c>
      <c r="H1209">
        <v>17017</v>
      </c>
      <c r="I1209">
        <v>1.8</v>
      </c>
      <c r="J1209">
        <v>38.14</v>
      </c>
      <c r="K1209" t="s">
        <v>699</v>
      </c>
    </row>
    <row r="1210" spans="1:11">
      <c r="A1210" t="str">
        <f>"002733"</f>
        <v>002733</v>
      </c>
      <c r="B1210" t="s">
        <v>1513</v>
      </c>
      <c r="C1210">
        <v>76.13</v>
      </c>
      <c r="D1210">
        <v>54.27</v>
      </c>
      <c r="E1210">
        <v>27.48</v>
      </c>
      <c r="F1210">
        <v>3.84</v>
      </c>
      <c r="G1210">
        <v>3.69</v>
      </c>
      <c r="H1210">
        <v>52245</v>
      </c>
      <c r="I1210">
        <v>2.89</v>
      </c>
      <c r="J1210">
        <v>55.91</v>
      </c>
      <c r="K1210" t="s">
        <v>1514</v>
      </c>
    </row>
    <row r="1211" spans="1:11">
      <c r="A1211" t="str">
        <f>"002734"</f>
        <v>002734</v>
      </c>
      <c r="B1211" t="s">
        <v>1515</v>
      </c>
      <c r="C1211">
        <v>72.8</v>
      </c>
      <c r="D1211">
        <v>67.59</v>
      </c>
      <c r="E1211">
        <v>36.24</v>
      </c>
      <c r="F1211">
        <v>4.76</v>
      </c>
      <c r="G1211">
        <v>4.34</v>
      </c>
      <c r="H1211">
        <v>56060</v>
      </c>
      <c r="I1211">
        <v>2.08</v>
      </c>
      <c r="J1211">
        <v>15.34</v>
      </c>
      <c r="K1211" t="s">
        <v>196</v>
      </c>
    </row>
    <row r="1212" spans="1:11">
      <c r="A1212" t="str">
        <f>"002735"</f>
        <v>002735</v>
      </c>
      <c r="B1212" t="s">
        <v>1516</v>
      </c>
      <c r="C1212">
        <v>58.56</v>
      </c>
      <c r="D1212">
        <v>32.96</v>
      </c>
      <c r="E1212">
        <v>17.3</v>
      </c>
      <c r="F1212">
        <v>3.82</v>
      </c>
      <c r="G1212">
        <v>2.8</v>
      </c>
      <c r="H1212">
        <v>64262</v>
      </c>
      <c r="I1212">
        <v>4.61</v>
      </c>
      <c r="J1212">
        <v>338.05</v>
      </c>
      <c r="K1212" t="s">
        <v>324</v>
      </c>
    </row>
    <row r="1213" spans="1:11">
      <c r="A1213" t="str">
        <f>"002736"</f>
        <v>002736</v>
      </c>
      <c r="B1213" t="s">
        <v>1517</v>
      </c>
      <c r="C1213">
        <v>1277.49</v>
      </c>
      <c r="D1213">
        <v>5610.87</v>
      </c>
      <c r="E1213">
        <v>1271.54</v>
      </c>
      <c r="F1213">
        <v>102.42</v>
      </c>
      <c r="G1213">
        <v>96.12</v>
      </c>
      <c r="H1213">
        <v>111087</v>
      </c>
      <c r="I1213">
        <v>1.4</v>
      </c>
      <c r="J1213">
        <v>11.17</v>
      </c>
      <c r="K1213" t="s">
        <v>120</v>
      </c>
    </row>
    <row r="1214" spans="1:11">
      <c r="A1214" t="str">
        <f>"002737"</f>
        <v>002737</v>
      </c>
      <c r="B1214" t="s">
        <v>1518</v>
      </c>
      <c r="C1214">
        <v>87.19</v>
      </c>
      <c r="D1214">
        <v>51.23</v>
      </c>
      <c r="E1214">
        <v>40.53</v>
      </c>
      <c r="F1214">
        <v>5.84</v>
      </c>
      <c r="G1214">
        <v>5.84</v>
      </c>
      <c r="H1214">
        <v>48000</v>
      </c>
      <c r="I1214">
        <v>2.15</v>
      </c>
      <c r="J1214" t="s">
        <v>14</v>
      </c>
      <c r="K1214" t="s">
        <v>155</v>
      </c>
    </row>
    <row r="1215" spans="1:11">
      <c r="A1215" t="str">
        <f>"002738"</f>
        <v>002738</v>
      </c>
      <c r="B1215" t="s">
        <v>1519</v>
      </c>
      <c r="C1215">
        <v>590.16</v>
      </c>
      <c r="D1215">
        <v>181.86</v>
      </c>
      <c r="E1215">
        <v>120.14</v>
      </c>
      <c r="F1215">
        <v>7.21</v>
      </c>
      <c r="G1215">
        <v>7.11</v>
      </c>
      <c r="H1215">
        <v>58571</v>
      </c>
      <c r="I1215">
        <v>4.98</v>
      </c>
      <c r="J1215">
        <v>219.92</v>
      </c>
      <c r="K1215" t="s">
        <v>418</v>
      </c>
    </row>
    <row r="1216" spans="1:11">
      <c r="A1216" t="str">
        <f>"002739"</f>
        <v>002739</v>
      </c>
      <c r="B1216" t="s">
        <v>1520</v>
      </c>
      <c r="C1216">
        <v>241.7</v>
      </c>
      <c r="D1216">
        <v>233.09</v>
      </c>
      <c r="E1216">
        <v>76.8</v>
      </c>
      <c r="F1216">
        <v>21.12</v>
      </c>
      <c r="G1216">
        <v>20.85</v>
      </c>
      <c r="H1216">
        <v>106181</v>
      </c>
      <c r="I1216">
        <v>3.19</v>
      </c>
      <c r="J1216">
        <v>25.91</v>
      </c>
      <c r="K1216" t="s">
        <v>710</v>
      </c>
    </row>
    <row r="1217" spans="1:11">
      <c r="A1217" t="str">
        <f>"002741"</f>
        <v>002741</v>
      </c>
      <c r="B1217" t="s">
        <v>1521</v>
      </c>
      <c r="C1217">
        <v>90.64</v>
      </c>
      <c r="D1217">
        <v>36.36</v>
      </c>
      <c r="E1217">
        <v>19.23</v>
      </c>
      <c r="F1217">
        <v>4.65</v>
      </c>
      <c r="G1217">
        <v>4.26</v>
      </c>
      <c r="H1217">
        <v>58481</v>
      </c>
      <c r="I1217">
        <v>5.14</v>
      </c>
      <c r="J1217">
        <v>82.03</v>
      </c>
      <c r="K1217" t="s">
        <v>884</v>
      </c>
    </row>
    <row r="1218" spans="1:11">
      <c r="A1218" t="str">
        <f>"002742"</f>
        <v>002742</v>
      </c>
      <c r="B1218" t="s">
        <v>1522</v>
      </c>
      <c r="C1218">
        <v>22.69</v>
      </c>
      <c r="D1218">
        <v>24.29</v>
      </c>
      <c r="E1218">
        <v>-6.08</v>
      </c>
      <c r="F1218">
        <v>6.84</v>
      </c>
      <c r="G1218">
        <v>5.24</v>
      </c>
      <c r="H1218">
        <v>11713</v>
      </c>
      <c r="I1218">
        <v>-3.08</v>
      </c>
      <c r="J1218" t="s">
        <v>14</v>
      </c>
      <c r="K1218" t="s">
        <v>1089</v>
      </c>
    </row>
    <row r="1219" spans="1:11">
      <c r="A1219" t="str">
        <f>"002743"</f>
        <v>002743</v>
      </c>
      <c r="B1219" t="s">
        <v>1523</v>
      </c>
      <c r="C1219">
        <v>24.38</v>
      </c>
      <c r="D1219">
        <v>100.09</v>
      </c>
      <c r="E1219">
        <v>32.97</v>
      </c>
      <c r="F1219">
        <v>4.35</v>
      </c>
      <c r="G1219">
        <v>4.35</v>
      </c>
      <c r="H1219">
        <v>24362</v>
      </c>
      <c r="I1219">
        <v>0.74</v>
      </c>
      <c r="J1219">
        <v>44.34</v>
      </c>
      <c r="K1219" t="s">
        <v>904</v>
      </c>
    </row>
    <row r="1220" spans="1:11">
      <c r="A1220" t="str">
        <f>"002745"</f>
        <v>002745</v>
      </c>
      <c r="B1220" t="s">
        <v>1524</v>
      </c>
      <c r="C1220">
        <v>102.21</v>
      </c>
      <c r="D1220">
        <v>246.23</v>
      </c>
      <c r="E1220">
        <v>133.08</v>
      </c>
      <c r="F1220">
        <v>14.84</v>
      </c>
      <c r="G1220">
        <v>10.65</v>
      </c>
      <c r="H1220">
        <v>49897</v>
      </c>
      <c r="I1220">
        <v>1.07</v>
      </c>
      <c r="J1220">
        <v>51.08</v>
      </c>
      <c r="K1220" t="s">
        <v>216</v>
      </c>
    </row>
    <row r="1221" spans="1:11">
      <c r="A1221" t="str">
        <f>"002746"</f>
        <v>002746</v>
      </c>
      <c r="B1221" t="s">
        <v>1525</v>
      </c>
      <c r="C1221">
        <v>43.65</v>
      </c>
      <c r="D1221">
        <v>77.69</v>
      </c>
      <c r="E1221">
        <v>45.56</v>
      </c>
      <c r="F1221">
        <v>8.61</v>
      </c>
      <c r="G1221">
        <v>7.1</v>
      </c>
      <c r="H1221">
        <v>28149</v>
      </c>
      <c r="I1221">
        <v>1.16</v>
      </c>
      <c r="J1221">
        <v>20.55</v>
      </c>
      <c r="K1221" t="s">
        <v>1019</v>
      </c>
    </row>
    <row r="1222" spans="1:11">
      <c r="A1222" t="str">
        <f>"002747"</f>
        <v>002747</v>
      </c>
      <c r="B1222" t="s">
        <v>1526</v>
      </c>
      <c r="C1222">
        <v>195.13</v>
      </c>
      <c r="D1222">
        <v>101.93</v>
      </c>
      <c r="E1222">
        <v>19.41</v>
      </c>
      <c r="F1222">
        <v>8.71</v>
      </c>
      <c r="G1222">
        <v>7.82</v>
      </c>
      <c r="H1222">
        <v>114273</v>
      </c>
      <c r="I1222">
        <v>11.19</v>
      </c>
      <c r="J1222">
        <v>561.73</v>
      </c>
      <c r="K1222" t="s">
        <v>1527</v>
      </c>
    </row>
    <row r="1223" spans="1:11">
      <c r="A1223" t="str">
        <f>"002748"</f>
        <v>002748</v>
      </c>
      <c r="B1223" t="s">
        <v>1528</v>
      </c>
      <c r="C1223">
        <v>29.23</v>
      </c>
      <c r="D1223">
        <v>23.68</v>
      </c>
      <c r="E1223">
        <v>13.73</v>
      </c>
      <c r="F1223">
        <v>2.4</v>
      </c>
      <c r="G1223">
        <v>2.4</v>
      </c>
      <c r="H1223">
        <v>18201</v>
      </c>
      <c r="I1223">
        <v>2.13</v>
      </c>
      <c r="J1223">
        <v>54.23</v>
      </c>
      <c r="K1223" t="s">
        <v>1529</v>
      </c>
    </row>
    <row r="1224" spans="1:11">
      <c r="A1224" t="str">
        <f>"002749"</f>
        <v>002749</v>
      </c>
      <c r="B1224" t="s">
        <v>1530</v>
      </c>
      <c r="C1224">
        <v>59.75</v>
      </c>
      <c r="D1224">
        <v>24.54</v>
      </c>
      <c r="E1224">
        <v>19.27</v>
      </c>
      <c r="F1224">
        <v>4.66</v>
      </c>
      <c r="G1224">
        <v>4.54</v>
      </c>
      <c r="H1224">
        <v>10979</v>
      </c>
      <c r="I1224">
        <v>3.19</v>
      </c>
      <c r="J1224">
        <v>16.55</v>
      </c>
      <c r="K1224" t="s">
        <v>196</v>
      </c>
    </row>
    <row r="1225" spans="1:11">
      <c r="A1225" t="str">
        <f>"002752"</f>
        <v>002752</v>
      </c>
      <c r="B1225" t="s">
        <v>1531</v>
      </c>
      <c r="C1225">
        <v>67.49</v>
      </c>
      <c r="D1225">
        <v>82.64</v>
      </c>
      <c r="E1225">
        <v>34.57</v>
      </c>
      <c r="F1225">
        <v>9.77</v>
      </c>
      <c r="G1225">
        <v>9.77</v>
      </c>
      <c r="H1225">
        <v>27930</v>
      </c>
      <c r="I1225">
        <v>1.95</v>
      </c>
      <c r="J1225">
        <v>23.38</v>
      </c>
      <c r="K1225" t="s">
        <v>1164</v>
      </c>
    </row>
    <row r="1226" spans="1:11">
      <c r="A1226" t="str">
        <f>"002753"</f>
        <v>002753</v>
      </c>
      <c r="B1226" t="s">
        <v>1532</v>
      </c>
      <c r="C1226">
        <v>17.65</v>
      </c>
      <c r="D1226">
        <v>33.56</v>
      </c>
      <c r="E1226">
        <v>23.24</v>
      </c>
      <c r="F1226">
        <v>4.29</v>
      </c>
      <c r="G1226">
        <v>2.43</v>
      </c>
      <c r="H1226">
        <v>18928</v>
      </c>
      <c r="I1226">
        <v>1.19</v>
      </c>
      <c r="J1226">
        <v>47.81</v>
      </c>
      <c r="K1226" t="s">
        <v>619</v>
      </c>
    </row>
    <row r="1227" spans="1:11">
      <c r="A1227" t="str">
        <f>"002755"</f>
        <v>002755</v>
      </c>
      <c r="B1227" t="s">
        <v>1533</v>
      </c>
      <c r="C1227">
        <v>173.47</v>
      </c>
      <c r="D1227">
        <v>44.36</v>
      </c>
      <c r="E1227">
        <v>32.05</v>
      </c>
      <c r="F1227">
        <v>9.28</v>
      </c>
      <c r="G1227">
        <v>9.28</v>
      </c>
      <c r="H1227">
        <v>30004</v>
      </c>
      <c r="I1227">
        <v>5.41</v>
      </c>
      <c r="J1227">
        <v>58.26</v>
      </c>
      <c r="K1227" t="s">
        <v>109</v>
      </c>
    </row>
    <row r="1228" spans="1:11">
      <c r="A1228" t="str">
        <f>"002756"</f>
        <v>002756</v>
      </c>
      <c r="B1228" t="s">
        <v>1534</v>
      </c>
      <c r="C1228">
        <v>208.86</v>
      </c>
      <c r="D1228">
        <v>143.89</v>
      </c>
      <c r="E1228">
        <v>125.22</v>
      </c>
      <c r="F1228">
        <v>5.39</v>
      </c>
      <c r="G1228">
        <v>3.89</v>
      </c>
      <c r="H1228">
        <v>52524</v>
      </c>
      <c r="I1228">
        <v>2.31</v>
      </c>
      <c r="J1228">
        <v>40.87</v>
      </c>
      <c r="K1228" t="s">
        <v>418</v>
      </c>
    </row>
    <row r="1229" spans="1:11">
      <c r="A1229" t="str">
        <f>"002757"</f>
        <v>002757</v>
      </c>
      <c r="B1229" t="s">
        <v>1535</v>
      </c>
      <c r="C1229">
        <v>74.52</v>
      </c>
      <c r="D1229">
        <v>35.64</v>
      </c>
      <c r="E1229">
        <v>19.96</v>
      </c>
      <c r="F1229">
        <v>2.95</v>
      </c>
      <c r="G1229">
        <v>2.82</v>
      </c>
      <c r="H1229">
        <v>49266</v>
      </c>
      <c r="I1229">
        <v>3.91</v>
      </c>
      <c r="J1229">
        <v>63.76</v>
      </c>
      <c r="K1229" t="s">
        <v>493</v>
      </c>
    </row>
    <row r="1230" spans="1:11">
      <c r="A1230" t="str">
        <f>"002758"</f>
        <v>002758</v>
      </c>
      <c r="B1230" t="s">
        <v>1536</v>
      </c>
      <c r="C1230">
        <v>51.98</v>
      </c>
      <c r="D1230">
        <v>208.31</v>
      </c>
      <c r="E1230">
        <v>47.96</v>
      </c>
      <c r="F1230">
        <v>5.19</v>
      </c>
      <c r="G1230">
        <v>5.18</v>
      </c>
      <c r="H1230">
        <v>26238</v>
      </c>
      <c r="I1230">
        <v>1.09</v>
      </c>
      <c r="J1230">
        <v>17.91</v>
      </c>
      <c r="K1230" t="s">
        <v>107</v>
      </c>
    </row>
    <row r="1231" spans="1:11">
      <c r="A1231" t="str">
        <f>"002759"</f>
        <v>002759</v>
      </c>
      <c r="B1231" t="s">
        <v>1537</v>
      </c>
      <c r="C1231">
        <v>212.5</v>
      </c>
      <c r="D1231">
        <v>61.53</v>
      </c>
      <c r="E1231">
        <v>30.95</v>
      </c>
      <c r="F1231">
        <v>5.01</v>
      </c>
      <c r="G1231">
        <v>5.01</v>
      </c>
      <c r="H1231">
        <v>169023</v>
      </c>
      <c r="I1231">
        <v>6.87</v>
      </c>
      <c r="J1231" t="s">
        <v>14</v>
      </c>
      <c r="K1231" t="s">
        <v>24</v>
      </c>
    </row>
    <row r="1232" spans="1:11">
      <c r="A1232" t="str">
        <f>"002760"</f>
        <v>002760</v>
      </c>
      <c r="B1232" t="s">
        <v>1538</v>
      </c>
      <c r="C1232">
        <v>23.44</v>
      </c>
      <c r="D1232">
        <v>12.33</v>
      </c>
      <c r="E1232">
        <v>8.27</v>
      </c>
      <c r="F1232">
        <v>1.08</v>
      </c>
      <c r="G1232">
        <v>1.08</v>
      </c>
      <c r="H1232">
        <v>14925</v>
      </c>
      <c r="I1232">
        <v>2.83</v>
      </c>
      <c r="J1232">
        <v>102.9</v>
      </c>
      <c r="K1232" t="s">
        <v>1069</v>
      </c>
    </row>
    <row r="1233" spans="1:11">
      <c r="A1233" t="str">
        <f>"002761"</f>
        <v>002761</v>
      </c>
      <c r="B1233" t="s">
        <v>1539</v>
      </c>
      <c r="C1233">
        <v>93.9</v>
      </c>
      <c r="D1233">
        <v>1191.69</v>
      </c>
      <c r="E1233">
        <v>86.4</v>
      </c>
      <c r="F1233">
        <v>10.82</v>
      </c>
      <c r="G1233">
        <v>10.82</v>
      </c>
      <c r="H1233">
        <v>88960</v>
      </c>
      <c r="I1233">
        <v>1.42</v>
      </c>
      <c r="J1233">
        <v>46.67</v>
      </c>
      <c r="K1233" t="s">
        <v>299</v>
      </c>
    </row>
    <row r="1234" spans="1:11">
      <c r="A1234" t="str">
        <f>"002762"</f>
        <v>002762</v>
      </c>
      <c r="B1234" t="s">
        <v>1540</v>
      </c>
      <c r="C1234">
        <v>14.82</v>
      </c>
      <c r="D1234">
        <v>9.18</v>
      </c>
      <c r="E1234">
        <v>7.72</v>
      </c>
      <c r="F1234">
        <v>3.54</v>
      </c>
      <c r="G1234">
        <v>2.11</v>
      </c>
      <c r="H1234">
        <v>17178</v>
      </c>
      <c r="I1234">
        <v>3.22</v>
      </c>
      <c r="J1234" t="s">
        <v>14</v>
      </c>
      <c r="K1234" t="s">
        <v>622</v>
      </c>
    </row>
    <row r="1235" spans="1:11">
      <c r="A1235" t="str">
        <f>"002763"</f>
        <v>002763</v>
      </c>
      <c r="B1235" t="s">
        <v>1541</v>
      </c>
      <c r="C1235">
        <v>23.89</v>
      </c>
      <c r="D1235">
        <v>26.36</v>
      </c>
      <c r="E1235">
        <v>18.66</v>
      </c>
      <c r="F1235">
        <v>4.1</v>
      </c>
      <c r="G1235">
        <v>3.04</v>
      </c>
      <c r="H1235">
        <v>17477</v>
      </c>
      <c r="I1235">
        <v>1.73</v>
      </c>
      <c r="J1235">
        <v>19.83</v>
      </c>
      <c r="K1235" t="s">
        <v>1418</v>
      </c>
    </row>
    <row r="1236" spans="1:11">
      <c r="A1236" t="str">
        <f>"002765"</f>
        <v>002765</v>
      </c>
      <c r="B1236" t="s">
        <v>1542</v>
      </c>
      <c r="C1236">
        <v>76.27</v>
      </c>
      <c r="D1236">
        <v>59.6</v>
      </c>
      <c r="E1236">
        <v>26.28</v>
      </c>
      <c r="F1236">
        <v>6.52</v>
      </c>
      <c r="G1236">
        <v>5.96</v>
      </c>
      <c r="H1236">
        <v>89932</v>
      </c>
      <c r="I1236">
        <v>3.18</v>
      </c>
      <c r="J1236">
        <v>36.71</v>
      </c>
      <c r="K1236" t="s">
        <v>39</v>
      </c>
    </row>
    <row r="1237" spans="1:11">
      <c r="A1237" t="str">
        <f>"002766"</f>
        <v>002766</v>
      </c>
      <c r="B1237" t="s">
        <v>1543</v>
      </c>
      <c r="C1237">
        <v>59.85</v>
      </c>
      <c r="D1237">
        <v>13.58</v>
      </c>
      <c r="E1237">
        <v>11.51</v>
      </c>
      <c r="F1237">
        <v>8.63</v>
      </c>
      <c r="G1237">
        <v>8.55</v>
      </c>
      <c r="H1237">
        <v>47710</v>
      </c>
      <c r="I1237">
        <v>5.25</v>
      </c>
      <c r="J1237">
        <v>29149.27</v>
      </c>
      <c r="K1237" t="s">
        <v>530</v>
      </c>
    </row>
    <row r="1238" spans="1:11">
      <c r="A1238" t="str">
        <f>"002767"</f>
        <v>002767</v>
      </c>
      <c r="B1238" t="s">
        <v>1544</v>
      </c>
      <c r="C1238">
        <v>29.57</v>
      </c>
      <c r="D1238">
        <v>12.45</v>
      </c>
      <c r="E1238">
        <v>8.51</v>
      </c>
      <c r="F1238">
        <v>1.5</v>
      </c>
      <c r="G1238">
        <v>1.3</v>
      </c>
      <c r="H1238">
        <v>18653</v>
      </c>
      <c r="I1238">
        <v>4</v>
      </c>
      <c r="J1238">
        <v>122.44</v>
      </c>
      <c r="K1238" t="s">
        <v>952</v>
      </c>
    </row>
    <row r="1239" spans="1:11">
      <c r="A1239" t="str">
        <f>"002768"</f>
        <v>002768</v>
      </c>
      <c r="B1239" t="s">
        <v>1545</v>
      </c>
      <c r="C1239">
        <v>98.77</v>
      </c>
      <c r="D1239">
        <v>194.62</v>
      </c>
      <c r="E1239">
        <v>55.07</v>
      </c>
      <c r="F1239">
        <v>2.71</v>
      </c>
      <c r="G1239">
        <v>1.77</v>
      </c>
      <c r="H1239">
        <v>12679</v>
      </c>
      <c r="I1239">
        <v>2.75</v>
      </c>
      <c r="J1239">
        <v>18.48</v>
      </c>
      <c r="K1239" t="s">
        <v>1113</v>
      </c>
    </row>
    <row r="1240" spans="1:11">
      <c r="A1240" t="str">
        <f>"002769"</f>
        <v>002769</v>
      </c>
      <c r="B1240" t="s">
        <v>1546</v>
      </c>
      <c r="C1240">
        <v>53.12</v>
      </c>
      <c r="D1240">
        <v>32.22</v>
      </c>
      <c r="E1240">
        <v>11.83</v>
      </c>
      <c r="F1240">
        <v>3.73</v>
      </c>
      <c r="G1240">
        <v>3.73</v>
      </c>
      <c r="H1240">
        <v>31855</v>
      </c>
      <c r="I1240">
        <v>4.49</v>
      </c>
      <c r="J1240">
        <v>110.78</v>
      </c>
      <c r="K1240" t="s">
        <v>536</v>
      </c>
    </row>
    <row r="1241" spans="1:11">
      <c r="A1241" t="str">
        <f>"002771"</f>
        <v>002771</v>
      </c>
      <c r="B1241" t="s">
        <v>1547</v>
      </c>
      <c r="C1241">
        <v>28.64</v>
      </c>
      <c r="D1241">
        <v>9.2</v>
      </c>
      <c r="E1241">
        <v>6.16</v>
      </c>
      <c r="F1241">
        <v>2.1</v>
      </c>
      <c r="G1241">
        <v>1.75</v>
      </c>
      <c r="H1241">
        <v>45173</v>
      </c>
      <c r="I1241">
        <v>5.59</v>
      </c>
      <c r="J1241" t="s">
        <v>14</v>
      </c>
      <c r="K1241" t="s">
        <v>117</v>
      </c>
    </row>
    <row r="1242" spans="1:11">
      <c r="A1242" t="str">
        <f>"002772"</f>
        <v>002772</v>
      </c>
      <c r="B1242" t="s">
        <v>1548</v>
      </c>
      <c r="C1242">
        <v>59.45</v>
      </c>
      <c r="D1242">
        <v>65.55</v>
      </c>
      <c r="E1242">
        <v>33.91</v>
      </c>
      <c r="F1242">
        <v>3.93</v>
      </c>
      <c r="G1242">
        <v>3.9</v>
      </c>
      <c r="H1242">
        <v>26156</v>
      </c>
      <c r="I1242">
        <v>1.77</v>
      </c>
      <c r="J1242">
        <v>22</v>
      </c>
      <c r="K1242" t="s">
        <v>1549</v>
      </c>
    </row>
    <row r="1243" spans="1:11">
      <c r="A1243" t="str">
        <f>"002773"</f>
        <v>002773</v>
      </c>
      <c r="B1243" t="s">
        <v>1550</v>
      </c>
      <c r="C1243">
        <v>232.84</v>
      </c>
      <c r="D1243">
        <v>98.7</v>
      </c>
      <c r="E1243">
        <v>91.66</v>
      </c>
      <c r="F1243">
        <v>9.21</v>
      </c>
      <c r="G1243">
        <v>6.87</v>
      </c>
      <c r="H1243">
        <v>33118</v>
      </c>
      <c r="I1243">
        <v>3.41</v>
      </c>
      <c r="J1243">
        <v>22.68</v>
      </c>
      <c r="K1243" t="s">
        <v>109</v>
      </c>
    </row>
    <row r="1244" spans="1:11">
      <c r="A1244" t="str">
        <f>"002774"</f>
        <v>002774</v>
      </c>
      <c r="B1244" t="s">
        <v>1551</v>
      </c>
      <c r="C1244">
        <v>33</v>
      </c>
      <c r="D1244">
        <v>20.73</v>
      </c>
      <c r="E1244">
        <v>11.99</v>
      </c>
      <c r="F1244">
        <v>3.37</v>
      </c>
      <c r="G1244">
        <v>2.82</v>
      </c>
      <c r="H1244">
        <v>14524</v>
      </c>
      <c r="I1244">
        <v>3.29</v>
      </c>
      <c r="J1244">
        <v>56.8</v>
      </c>
      <c r="K1244" t="s">
        <v>1155</v>
      </c>
    </row>
    <row r="1245" spans="1:11">
      <c r="A1245" t="str">
        <f>"002775"</f>
        <v>002775</v>
      </c>
      <c r="B1245" t="s">
        <v>1552</v>
      </c>
      <c r="C1245">
        <v>20.55</v>
      </c>
      <c r="D1245">
        <v>65.84</v>
      </c>
      <c r="E1245">
        <v>3.7</v>
      </c>
      <c r="F1245">
        <v>6.36</v>
      </c>
      <c r="G1245">
        <v>4.71</v>
      </c>
      <c r="H1245">
        <v>25999</v>
      </c>
      <c r="I1245">
        <v>10.48</v>
      </c>
      <c r="J1245">
        <v>160.74</v>
      </c>
      <c r="K1245" t="s">
        <v>26</v>
      </c>
    </row>
    <row r="1246" spans="1:11">
      <c r="A1246" t="str">
        <f>"002777"</f>
        <v>002777</v>
      </c>
      <c r="B1246" t="s">
        <v>1553</v>
      </c>
      <c r="C1246">
        <v>93.04</v>
      </c>
      <c r="D1246">
        <v>26.6</v>
      </c>
      <c r="E1246">
        <v>16.53</v>
      </c>
      <c r="F1246">
        <v>4.08</v>
      </c>
      <c r="G1246">
        <v>4.05</v>
      </c>
      <c r="H1246">
        <v>55562</v>
      </c>
      <c r="I1246">
        <v>5.68</v>
      </c>
      <c r="J1246">
        <v>164.57</v>
      </c>
      <c r="K1246" t="s">
        <v>117</v>
      </c>
    </row>
    <row r="1247" spans="1:11">
      <c r="A1247" t="str">
        <f>"002778"</f>
        <v>002778</v>
      </c>
      <c r="B1247" t="s">
        <v>1554</v>
      </c>
      <c r="C1247">
        <v>26.39</v>
      </c>
      <c r="D1247">
        <v>9.05</v>
      </c>
      <c r="E1247">
        <v>3.16</v>
      </c>
      <c r="F1247">
        <v>1.25</v>
      </c>
      <c r="G1247">
        <v>1.23</v>
      </c>
      <c r="H1247">
        <v>12642</v>
      </c>
      <c r="I1247">
        <v>8.44</v>
      </c>
      <c r="J1247">
        <v>31.75</v>
      </c>
      <c r="K1247" t="s">
        <v>90</v>
      </c>
    </row>
    <row r="1248" spans="1:11">
      <c r="A1248" t="str">
        <f>"002779"</f>
        <v>002779</v>
      </c>
      <c r="B1248" t="s">
        <v>1555</v>
      </c>
      <c r="C1248">
        <v>189.29</v>
      </c>
      <c r="D1248">
        <v>12.91</v>
      </c>
      <c r="E1248">
        <v>7.57</v>
      </c>
      <c r="F1248">
        <v>1.85</v>
      </c>
      <c r="G1248">
        <v>1.66</v>
      </c>
      <c r="H1248">
        <v>18534</v>
      </c>
      <c r="I1248">
        <v>27.86</v>
      </c>
      <c r="J1248">
        <v>703.27</v>
      </c>
      <c r="K1248" t="s">
        <v>1556</v>
      </c>
    </row>
    <row r="1249" spans="1:11">
      <c r="A1249" t="str">
        <f>"002780"</f>
        <v>002780</v>
      </c>
      <c r="B1249" t="s">
        <v>1557</v>
      </c>
      <c r="C1249">
        <v>19.38</v>
      </c>
      <c r="D1249">
        <v>11.63</v>
      </c>
      <c r="E1249">
        <v>6.88</v>
      </c>
      <c r="F1249">
        <v>1.65</v>
      </c>
      <c r="G1249">
        <v>1.31</v>
      </c>
      <c r="H1249">
        <v>16643</v>
      </c>
      <c r="I1249">
        <v>3.39</v>
      </c>
      <c r="J1249">
        <v>86.7</v>
      </c>
      <c r="K1249" t="s">
        <v>650</v>
      </c>
    </row>
    <row r="1250" spans="1:11">
      <c r="A1250" t="str">
        <f>"002782"</f>
        <v>002782</v>
      </c>
      <c r="B1250" t="s">
        <v>1558</v>
      </c>
      <c r="C1250">
        <v>93.55</v>
      </c>
      <c r="D1250">
        <v>48.14</v>
      </c>
      <c r="E1250">
        <v>21.44</v>
      </c>
      <c r="F1250">
        <v>4.96</v>
      </c>
      <c r="G1250">
        <v>4.87</v>
      </c>
      <c r="H1250">
        <v>37871</v>
      </c>
      <c r="I1250">
        <v>4.45</v>
      </c>
      <c r="J1250">
        <v>30.79</v>
      </c>
      <c r="K1250" t="s">
        <v>41</v>
      </c>
    </row>
    <row r="1251" spans="1:11">
      <c r="A1251" t="str">
        <f>"002783"</f>
        <v>002783</v>
      </c>
      <c r="B1251" t="s">
        <v>1559</v>
      </c>
      <c r="C1251">
        <v>43.66</v>
      </c>
      <c r="D1251">
        <v>81.97</v>
      </c>
      <c r="E1251">
        <v>26.21</v>
      </c>
      <c r="F1251">
        <v>4.99</v>
      </c>
      <c r="G1251">
        <v>4.56</v>
      </c>
      <c r="H1251">
        <v>41816</v>
      </c>
      <c r="I1251">
        <v>1.83</v>
      </c>
      <c r="J1251">
        <v>26.56</v>
      </c>
      <c r="K1251" t="s">
        <v>793</v>
      </c>
    </row>
    <row r="1252" spans="1:11">
      <c r="A1252" t="str">
        <f>"002785"</f>
        <v>002785</v>
      </c>
      <c r="B1252" t="s">
        <v>1560</v>
      </c>
      <c r="C1252">
        <v>72.43</v>
      </c>
      <c r="D1252">
        <v>16.13</v>
      </c>
      <c r="E1252">
        <v>8.87</v>
      </c>
      <c r="F1252">
        <v>2.27</v>
      </c>
      <c r="G1252">
        <v>1.93</v>
      </c>
      <c r="H1252">
        <v>17341</v>
      </c>
      <c r="I1252">
        <v>9.56</v>
      </c>
      <c r="J1252">
        <v>3162.55</v>
      </c>
      <c r="K1252" t="s">
        <v>73</v>
      </c>
    </row>
    <row r="1253" spans="1:11">
      <c r="A1253" t="str">
        <f>"002786"</f>
        <v>002786</v>
      </c>
      <c r="B1253" t="s">
        <v>1561</v>
      </c>
      <c r="C1253">
        <v>43.73</v>
      </c>
      <c r="D1253">
        <v>36.34</v>
      </c>
      <c r="E1253">
        <v>2.3</v>
      </c>
      <c r="F1253">
        <v>4.96</v>
      </c>
      <c r="G1253">
        <v>4.94</v>
      </c>
      <c r="H1253">
        <v>67148</v>
      </c>
      <c r="I1253">
        <v>19.11</v>
      </c>
      <c r="J1253" t="s">
        <v>14</v>
      </c>
      <c r="K1253" t="s">
        <v>493</v>
      </c>
    </row>
    <row r="1254" spans="1:11">
      <c r="A1254" t="str">
        <f>"002787"</f>
        <v>002787</v>
      </c>
      <c r="B1254" t="s">
        <v>1562</v>
      </c>
      <c r="C1254">
        <v>32.49</v>
      </c>
      <c r="D1254">
        <v>27.11</v>
      </c>
      <c r="E1254">
        <v>18.67</v>
      </c>
      <c r="F1254">
        <v>3.35</v>
      </c>
      <c r="G1254">
        <v>2.51</v>
      </c>
      <c r="H1254">
        <v>18452</v>
      </c>
      <c r="I1254">
        <v>2.33</v>
      </c>
      <c r="J1254">
        <v>38.03</v>
      </c>
      <c r="K1254" t="s">
        <v>1164</v>
      </c>
    </row>
    <row r="1255" spans="1:11">
      <c r="A1255" t="str">
        <f>"002788"</f>
        <v>002788</v>
      </c>
      <c r="B1255" t="s">
        <v>1563</v>
      </c>
      <c r="C1255">
        <v>92.78</v>
      </c>
      <c r="D1255">
        <v>130.42</v>
      </c>
      <c r="E1255">
        <v>32.4</v>
      </c>
      <c r="F1255">
        <v>3.89</v>
      </c>
      <c r="G1255">
        <v>3.82</v>
      </c>
      <c r="H1255">
        <v>22747</v>
      </c>
      <c r="I1255">
        <v>2.91</v>
      </c>
      <c r="J1255">
        <v>32.23</v>
      </c>
      <c r="K1255" t="s">
        <v>48</v>
      </c>
    </row>
    <row r="1256" spans="1:11">
      <c r="A1256" t="str">
        <f>"002789"</f>
        <v>002789</v>
      </c>
      <c r="B1256" t="s">
        <v>1564</v>
      </c>
      <c r="C1256">
        <v>16.55</v>
      </c>
      <c r="D1256">
        <v>89.16</v>
      </c>
      <c r="E1256">
        <v>-11.48</v>
      </c>
      <c r="F1256">
        <v>1.6</v>
      </c>
      <c r="G1256">
        <v>1.56</v>
      </c>
      <c r="H1256">
        <v>7434</v>
      </c>
      <c r="I1256">
        <v>-1.47</v>
      </c>
      <c r="J1256" t="s">
        <v>14</v>
      </c>
      <c r="K1256" t="s">
        <v>804</v>
      </c>
    </row>
    <row r="1257" spans="1:11">
      <c r="A1257" t="str">
        <f>"002790"</f>
        <v>002790</v>
      </c>
      <c r="B1257" t="s">
        <v>1565</v>
      </c>
      <c r="C1257">
        <v>22.76</v>
      </c>
      <c r="D1257">
        <v>25.11</v>
      </c>
      <c r="E1257">
        <v>21.08</v>
      </c>
      <c r="F1257">
        <v>4.18</v>
      </c>
      <c r="G1257">
        <v>2.61</v>
      </c>
      <c r="H1257">
        <v>13414</v>
      </c>
      <c r="I1257">
        <v>1.73</v>
      </c>
      <c r="J1257">
        <v>44.43</v>
      </c>
      <c r="K1257" t="s">
        <v>625</v>
      </c>
    </row>
    <row r="1258" spans="1:11">
      <c r="A1258" t="str">
        <f>"002791"</f>
        <v>002791</v>
      </c>
      <c r="B1258" t="s">
        <v>1566</v>
      </c>
      <c r="C1258">
        <v>41.85</v>
      </c>
      <c r="D1258">
        <v>94.64</v>
      </c>
      <c r="E1258">
        <v>55.61</v>
      </c>
      <c r="F1258">
        <v>3.54</v>
      </c>
      <c r="G1258">
        <v>1.91</v>
      </c>
      <c r="H1258">
        <v>32638</v>
      </c>
      <c r="I1258">
        <v>1.39</v>
      </c>
      <c r="J1258">
        <v>350.67</v>
      </c>
      <c r="K1258" t="s">
        <v>73</v>
      </c>
    </row>
    <row r="1259" spans="1:11">
      <c r="A1259" t="str">
        <f>"002792"</f>
        <v>002792</v>
      </c>
      <c r="B1259" t="s">
        <v>1567</v>
      </c>
      <c r="C1259">
        <v>212.73</v>
      </c>
      <c r="D1259">
        <v>34.86</v>
      </c>
      <c r="E1259">
        <v>27.87</v>
      </c>
      <c r="F1259">
        <v>5.24</v>
      </c>
      <c r="G1259">
        <v>3.38</v>
      </c>
      <c r="H1259">
        <v>53762</v>
      </c>
      <c r="I1259">
        <v>11.86</v>
      </c>
      <c r="J1259">
        <v>978.83</v>
      </c>
      <c r="K1259" t="s">
        <v>972</v>
      </c>
    </row>
    <row r="1260" spans="1:11">
      <c r="A1260" t="str">
        <f>"002793"</f>
        <v>002793</v>
      </c>
      <c r="B1260" t="s">
        <v>1568</v>
      </c>
      <c r="C1260">
        <v>54.3</v>
      </c>
      <c r="D1260">
        <v>39.9</v>
      </c>
      <c r="E1260">
        <v>14.52</v>
      </c>
      <c r="F1260">
        <v>10.88</v>
      </c>
      <c r="G1260">
        <v>10.86</v>
      </c>
      <c r="H1260">
        <v>38283</v>
      </c>
      <c r="I1260">
        <v>3.74</v>
      </c>
      <c r="J1260">
        <v>177.89</v>
      </c>
      <c r="K1260" t="s">
        <v>109</v>
      </c>
    </row>
    <row r="1261" spans="1:11">
      <c r="A1261" t="str">
        <f>"002795"</f>
        <v>002795</v>
      </c>
      <c r="B1261" t="s">
        <v>1569</v>
      </c>
      <c r="C1261">
        <v>30.89</v>
      </c>
      <c r="D1261">
        <v>15.13</v>
      </c>
      <c r="E1261">
        <v>4.58</v>
      </c>
      <c r="F1261">
        <v>4.42</v>
      </c>
      <c r="G1261">
        <v>4.34</v>
      </c>
      <c r="H1261">
        <v>31343</v>
      </c>
      <c r="I1261">
        <v>6.92</v>
      </c>
      <c r="J1261" t="s">
        <v>14</v>
      </c>
      <c r="K1261" t="s">
        <v>424</v>
      </c>
    </row>
    <row r="1262" spans="1:11">
      <c r="A1262" t="str">
        <f>"002796"</f>
        <v>002796</v>
      </c>
      <c r="B1262" t="s">
        <v>1570</v>
      </c>
      <c r="C1262">
        <v>81.77</v>
      </c>
      <c r="D1262">
        <v>14.76</v>
      </c>
      <c r="E1262">
        <v>8.56</v>
      </c>
      <c r="F1262">
        <v>2.52</v>
      </c>
      <c r="G1262">
        <v>2.28</v>
      </c>
      <c r="H1262">
        <v>25061</v>
      </c>
      <c r="I1262">
        <v>10.58</v>
      </c>
      <c r="J1262" t="s">
        <v>14</v>
      </c>
      <c r="K1262" t="s">
        <v>933</v>
      </c>
    </row>
    <row r="1263" spans="1:11">
      <c r="A1263" t="str">
        <f>"002797"</f>
        <v>002797</v>
      </c>
      <c r="B1263" t="s">
        <v>1571</v>
      </c>
      <c r="C1263">
        <v>300.89</v>
      </c>
      <c r="D1263">
        <v>548.98</v>
      </c>
      <c r="E1263">
        <v>170.66</v>
      </c>
      <c r="F1263">
        <v>42.02</v>
      </c>
      <c r="G1263">
        <v>42.02</v>
      </c>
      <c r="H1263">
        <v>228332</v>
      </c>
      <c r="I1263">
        <v>1.76</v>
      </c>
      <c r="J1263">
        <v>29.28</v>
      </c>
      <c r="K1263" t="s">
        <v>120</v>
      </c>
    </row>
    <row r="1264" spans="1:11">
      <c r="A1264" t="str">
        <f>"002798"</f>
        <v>002798</v>
      </c>
      <c r="B1264" t="s">
        <v>1572</v>
      </c>
      <c r="C1264">
        <v>28.51</v>
      </c>
      <c r="D1264">
        <v>56.25</v>
      </c>
      <c r="E1264">
        <v>20.53</v>
      </c>
      <c r="F1264">
        <v>5.13</v>
      </c>
      <c r="G1264">
        <v>4.41</v>
      </c>
      <c r="H1264">
        <v>20326</v>
      </c>
      <c r="I1264">
        <v>1.75</v>
      </c>
      <c r="J1264" t="s">
        <v>14</v>
      </c>
      <c r="K1264" t="s">
        <v>625</v>
      </c>
    </row>
    <row r="1265" spans="1:11">
      <c r="A1265" t="str">
        <f>"002799"</f>
        <v>002799</v>
      </c>
      <c r="B1265" t="s">
        <v>1573</v>
      </c>
      <c r="C1265">
        <v>31.17</v>
      </c>
      <c r="D1265">
        <v>18.96</v>
      </c>
      <c r="E1265">
        <v>12.7</v>
      </c>
      <c r="F1265">
        <v>3.2</v>
      </c>
      <c r="G1265">
        <v>3.2</v>
      </c>
      <c r="H1265">
        <v>23821</v>
      </c>
      <c r="I1265">
        <v>2.45</v>
      </c>
      <c r="J1265" t="s">
        <v>14</v>
      </c>
      <c r="K1265" t="s">
        <v>460</v>
      </c>
    </row>
    <row r="1266" spans="1:11">
      <c r="A1266" t="str">
        <f>"002800"</f>
        <v>002800</v>
      </c>
      <c r="B1266" t="s">
        <v>1574</v>
      </c>
      <c r="C1266">
        <v>23.49</v>
      </c>
      <c r="D1266">
        <v>10.34</v>
      </c>
      <c r="E1266">
        <v>5.02</v>
      </c>
      <c r="F1266">
        <v>1.52</v>
      </c>
      <c r="G1266">
        <v>1.4</v>
      </c>
      <c r="H1266">
        <v>16619</v>
      </c>
      <c r="I1266">
        <v>5.09</v>
      </c>
      <c r="J1266" t="s">
        <v>14</v>
      </c>
      <c r="K1266" t="s">
        <v>536</v>
      </c>
    </row>
    <row r="1267" spans="1:11">
      <c r="A1267" t="str">
        <f>"002801"</f>
        <v>002801</v>
      </c>
      <c r="B1267" t="s">
        <v>1575</v>
      </c>
      <c r="C1267">
        <v>41.61</v>
      </c>
      <c r="D1267">
        <v>21.81</v>
      </c>
      <c r="E1267">
        <v>18.39</v>
      </c>
      <c r="F1267">
        <v>2.3</v>
      </c>
      <c r="G1267">
        <v>1.16</v>
      </c>
      <c r="H1267">
        <v>18273</v>
      </c>
      <c r="I1267">
        <v>4.49</v>
      </c>
      <c r="J1267">
        <v>21.28</v>
      </c>
      <c r="K1267" t="s">
        <v>552</v>
      </c>
    </row>
    <row r="1268" spans="1:11">
      <c r="A1268" t="str">
        <f>"002802"</f>
        <v>002802</v>
      </c>
      <c r="B1268" t="s">
        <v>1576</v>
      </c>
      <c r="C1268">
        <v>23.03</v>
      </c>
      <c r="D1268">
        <v>6.81</v>
      </c>
      <c r="E1268">
        <v>6.33</v>
      </c>
      <c r="F1268">
        <v>1.82</v>
      </c>
      <c r="G1268">
        <v>1.82</v>
      </c>
      <c r="H1268">
        <v>11761</v>
      </c>
      <c r="I1268">
        <v>3.65</v>
      </c>
      <c r="J1268">
        <v>56.34</v>
      </c>
      <c r="K1268" t="s">
        <v>601</v>
      </c>
    </row>
    <row r="1269" spans="1:11">
      <c r="A1269" t="str">
        <f>"002803"</f>
        <v>002803</v>
      </c>
      <c r="B1269" t="s">
        <v>1577</v>
      </c>
      <c r="C1269">
        <v>56.89</v>
      </c>
      <c r="D1269">
        <v>41.09</v>
      </c>
      <c r="E1269">
        <v>26.4</v>
      </c>
      <c r="F1269">
        <v>4.5</v>
      </c>
      <c r="G1269">
        <v>2.89</v>
      </c>
      <c r="H1269">
        <v>40762</v>
      </c>
      <c r="I1269">
        <v>3.36</v>
      </c>
      <c r="J1269">
        <v>30.86</v>
      </c>
      <c r="K1269" t="s">
        <v>1102</v>
      </c>
    </row>
    <row r="1270" spans="1:11">
      <c r="A1270" t="str">
        <f>"002805"</f>
        <v>002805</v>
      </c>
      <c r="B1270" t="s">
        <v>1578</v>
      </c>
      <c r="C1270">
        <v>47.3</v>
      </c>
      <c r="D1270">
        <v>46.31</v>
      </c>
      <c r="E1270">
        <v>9.87</v>
      </c>
      <c r="F1270">
        <v>2.8</v>
      </c>
      <c r="G1270">
        <v>2.79</v>
      </c>
      <c r="H1270">
        <v>42762</v>
      </c>
      <c r="I1270">
        <v>4.82</v>
      </c>
      <c r="J1270" t="s">
        <v>14</v>
      </c>
      <c r="K1270" t="s">
        <v>24</v>
      </c>
    </row>
    <row r="1271" spans="1:11">
      <c r="A1271" t="str">
        <f>"002806"</f>
        <v>002806</v>
      </c>
      <c r="B1271" t="s">
        <v>1579</v>
      </c>
      <c r="C1271">
        <v>21.83</v>
      </c>
      <c r="D1271">
        <v>20.73</v>
      </c>
      <c r="E1271">
        <v>11.52</v>
      </c>
      <c r="F1271">
        <v>2.12</v>
      </c>
      <c r="G1271">
        <v>1.74</v>
      </c>
      <c r="H1271">
        <v>25145</v>
      </c>
      <c r="I1271">
        <v>2.31</v>
      </c>
      <c r="J1271" t="s">
        <v>14</v>
      </c>
      <c r="K1271" t="s">
        <v>517</v>
      </c>
    </row>
    <row r="1272" spans="1:11">
      <c r="A1272" t="str">
        <f>"002807"</f>
        <v>002807</v>
      </c>
      <c r="B1272" t="s">
        <v>1580</v>
      </c>
      <c r="C1272">
        <v>110.86</v>
      </c>
      <c r="D1272">
        <v>2080.42</v>
      </c>
      <c r="E1272">
        <v>191.49</v>
      </c>
      <c r="F1272">
        <v>24.61</v>
      </c>
      <c r="G1272">
        <v>24.58</v>
      </c>
      <c r="H1272">
        <v>47460</v>
      </c>
      <c r="I1272">
        <v>0.58</v>
      </c>
      <c r="J1272">
        <v>6.51</v>
      </c>
      <c r="K1272" t="s">
        <v>1581</v>
      </c>
    </row>
    <row r="1273" spans="1:11">
      <c r="A1273" t="str">
        <f>"002808"</f>
        <v>002808</v>
      </c>
      <c r="B1273" t="s">
        <v>1582</v>
      </c>
      <c r="C1273">
        <v>8.33</v>
      </c>
      <c r="D1273">
        <v>5.56</v>
      </c>
      <c r="E1273">
        <v>2.61</v>
      </c>
      <c r="F1273">
        <v>2.69</v>
      </c>
      <c r="G1273">
        <v>1.65</v>
      </c>
      <c r="H1273">
        <v>11147</v>
      </c>
      <c r="I1273">
        <v>5.21</v>
      </c>
      <c r="J1273" t="s">
        <v>14</v>
      </c>
      <c r="K1273" t="s">
        <v>66</v>
      </c>
    </row>
    <row r="1274" spans="1:11">
      <c r="A1274" t="str">
        <f>"002809"</f>
        <v>002809</v>
      </c>
      <c r="B1274" t="s">
        <v>1583</v>
      </c>
      <c r="C1274">
        <v>15.07</v>
      </c>
      <c r="D1274">
        <v>26.34</v>
      </c>
      <c r="E1274">
        <v>16.14</v>
      </c>
      <c r="F1274">
        <v>2.12</v>
      </c>
      <c r="G1274">
        <v>1.39</v>
      </c>
      <c r="H1274">
        <v>30236</v>
      </c>
      <c r="I1274">
        <v>1.47</v>
      </c>
      <c r="J1274" t="s">
        <v>14</v>
      </c>
      <c r="K1274" t="s">
        <v>511</v>
      </c>
    </row>
    <row r="1275" spans="1:11">
      <c r="A1275" t="str">
        <f>"002810"</f>
        <v>002810</v>
      </c>
      <c r="B1275" t="s">
        <v>1584</v>
      </c>
      <c r="C1275">
        <v>47.6</v>
      </c>
      <c r="D1275">
        <v>40.67</v>
      </c>
      <c r="E1275">
        <v>23.18</v>
      </c>
      <c r="F1275">
        <v>3.49</v>
      </c>
      <c r="G1275">
        <v>3.23</v>
      </c>
      <c r="H1275">
        <v>26049</v>
      </c>
      <c r="I1275">
        <v>2.3</v>
      </c>
      <c r="J1275">
        <v>27.67</v>
      </c>
      <c r="K1275" t="s">
        <v>511</v>
      </c>
    </row>
    <row r="1276" spans="1:11">
      <c r="A1276" t="str">
        <f>"002811"</f>
        <v>002811</v>
      </c>
      <c r="B1276" t="s">
        <v>1585</v>
      </c>
      <c r="C1276">
        <v>45.52</v>
      </c>
      <c r="D1276">
        <v>25.78</v>
      </c>
      <c r="E1276">
        <v>14.04</v>
      </c>
      <c r="F1276">
        <v>3.08</v>
      </c>
      <c r="G1276">
        <v>2.83</v>
      </c>
      <c r="H1276">
        <v>19843</v>
      </c>
      <c r="I1276">
        <v>3.53</v>
      </c>
      <c r="J1276">
        <v>27.41</v>
      </c>
      <c r="K1276" t="s">
        <v>804</v>
      </c>
    </row>
    <row r="1277" spans="1:11">
      <c r="A1277" t="str">
        <f>"002812"</f>
        <v>002812</v>
      </c>
      <c r="B1277" t="s">
        <v>1586</v>
      </c>
      <c r="C1277">
        <v>434.68</v>
      </c>
      <c r="D1277">
        <v>480</v>
      </c>
      <c r="E1277">
        <v>247.78</v>
      </c>
      <c r="F1277">
        <v>9.82</v>
      </c>
      <c r="G1277">
        <v>8.23</v>
      </c>
      <c r="H1277">
        <v>123142</v>
      </c>
      <c r="I1277">
        <v>2.07</v>
      </c>
      <c r="J1277" t="s">
        <v>14</v>
      </c>
      <c r="K1277" t="s">
        <v>24</v>
      </c>
    </row>
    <row r="1278" spans="1:11">
      <c r="A1278" t="str">
        <f>"002813"</f>
        <v>002813</v>
      </c>
      <c r="B1278" t="s">
        <v>1587</v>
      </c>
      <c r="C1278">
        <v>37.31</v>
      </c>
      <c r="D1278">
        <v>5.06</v>
      </c>
      <c r="E1278">
        <v>2.5</v>
      </c>
      <c r="F1278">
        <v>1.2</v>
      </c>
      <c r="G1278">
        <v>1.2</v>
      </c>
      <c r="H1278">
        <v>17269</v>
      </c>
      <c r="I1278">
        <v>14.97</v>
      </c>
      <c r="J1278" t="s">
        <v>14</v>
      </c>
      <c r="K1278" t="s">
        <v>530</v>
      </c>
    </row>
    <row r="1279" spans="1:11">
      <c r="A1279" t="str">
        <f>"002815"</f>
        <v>002815</v>
      </c>
      <c r="B1279" t="s">
        <v>1588</v>
      </c>
      <c r="C1279">
        <v>108.49</v>
      </c>
      <c r="D1279">
        <v>127.85</v>
      </c>
      <c r="E1279">
        <v>88.44</v>
      </c>
      <c r="F1279">
        <v>12.18</v>
      </c>
      <c r="G1279">
        <v>7.77</v>
      </c>
      <c r="H1279">
        <v>75164</v>
      </c>
      <c r="I1279">
        <v>1.92</v>
      </c>
      <c r="J1279">
        <v>40.66</v>
      </c>
      <c r="K1279" t="s">
        <v>472</v>
      </c>
    </row>
    <row r="1280" spans="1:11">
      <c r="A1280" t="str">
        <f>"002816"</f>
        <v>002816</v>
      </c>
      <c r="B1280" t="s">
        <v>1589</v>
      </c>
      <c r="C1280">
        <v>23.81</v>
      </c>
      <c r="D1280">
        <v>4.6</v>
      </c>
      <c r="E1280">
        <v>2.31</v>
      </c>
      <c r="F1280">
        <v>1</v>
      </c>
      <c r="G1280">
        <v>1</v>
      </c>
      <c r="H1280">
        <v>5472</v>
      </c>
      <c r="I1280">
        <v>10.29</v>
      </c>
      <c r="J1280">
        <v>265.2</v>
      </c>
      <c r="K1280" t="s">
        <v>493</v>
      </c>
    </row>
    <row r="1281" spans="1:11">
      <c r="A1281" t="str">
        <f>"002817"</f>
        <v>002817</v>
      </c>
      <c r="B1281" t="s">
        <v>1590</v>
      </c>
      <c r="C1281">
        <v>22.68</v>
      </c>
      <c r="D1281">
        <v>11.13</v>
      </c>
      <c r="E1281">
        <v>9.54</v>
      </c>
      <c r="F1281">
        <v>2.99</v>
      </c>
      <c r="G1281">
        <v>2.9</v>
      </c>
      <c r="H1281">
        <v>17959</v>
      </c>
      <c r="I1281">
        <v>2.45</v>
      </c>
      <c r="J1281">
        <v>35.75</v>
      </c>
      <c r="K1281" t="s">
        <v>404</v>
      </c>
    </row>
    <row r="1282" spans="1:11">
      <c r="A1282" t="str">
        <f>"002818"</f>
        <v>002818</v>
      </c>
      <c r="B1282" t="s">
        <v>1591</v>
      </c>
      <c r="C1282">
        <v>33.51</v>
      </c>
      <c r="D1282">
        <v>66.31</v>
      </c>
      <c r="E1282">
        <v>55.11</v>
      </c>
      <c r="F1282">
        <v>7.48</v>
      </c>
      <c r="G1282">
        <v>2.98</v>
      </c>
      <c r="H1282">
        <v>22142</v>
      </c>
      <c r="I1282">
        <v>1.53</v>
      </c>
      <c r="J1282">
        <v>13.21</v>
      </c>
      <c r="K1282" t="s">
        <v>20</v>
      </c>
    </row>
    <row r="1283" spans="1:11">
      <c r="A1283" t="str">
        <f>"002819"</f>
        <v>002819</v>
      </c>
      <c r="B1283" t="s">
        <v>1592</v>
      </c>
      <c r="C1283">
        <v>70.97</v>
      </c>
      <c r="D1283">
        <v>44.11</v>
      </c>
      <c r="E1283">
        <v>27.93</v>
      </c>
      <c r="F1283">
        <v>3</v>
      </c>
      <c r="G1283">
        <v>2.35</v>
      </c>
      <c r="H1283">
        <v>27977</v>
      </c>
      <c r="I1283">
        <v>2.25</v>
      </c>
      <c r="J1283" t="s">
        <v>14</v>
      </c>
      <c r="K1283" t="s">
        <v>952</v>
      </c>
    </row>
    <row r="1284" spans="1:11">
      <c r="A1284" t="str">
        <f>"002820"</f>
        <v>002820</v>
      </c>
      <c r="B1284" t="s">
        <v>1593</v>
      </c>
      <c r="C1284">
        <v>24.79</v>
      </c>
      <c r="D1284">
        <v>9.89</v>
      </c>
      <c r="E1284">
        <v>8.92</v>
      </c>
      <c r="F1284">
        <v>2.01</v>
      </c>
      <c r="G1284">
        <v>2.01</v>
      </c>
      <c r="H1284">
        <v>33979</v>
      </c>
      <c r="I1284">
        <v>2.78</v>
      </c>
      <c r="J1284">
        <v>1823.48</v>
      </c>
      <c r="K1284" t="s">
        <v>634</v>
      </c>
    </row>
    <row r="1285" spans="1:11">
      <c r="A1285" t="str">
        <f>"002821"</f>
        <v>002821</v>
      </c>
      <c r="B1285" t="s">
        <v>1594</v>
      </c>
      <c r="C1285">
        <v>329.81</v>
      </c>
      <c r="D1285">
        <v>198.07</v>
      </c>
      <c r="E1285">
        <v>173.5</v>
      </c>
      <c r="F1285">
        <v>3.61</v>
      </c>
      <c r="G1285">
        <v>3.17</v>
      </c>
      <c r="H1285">
        <v>60086</v>
      </c>
      <c r="I1285">
        <v>2.16</v>
      </c>
      <c r="J1285">
        <v>35.16</v>
      </c>
      <c r="K1285" t="s">
        <v>1595</v>
      </c>
    </row>
    <row r="1286" spans="1:11">
      <c r="A1286" t="str">
        <f>"002822"</f>
        <v>002822</v>
      </c>
      <c r="B1286" t="s">
        <v>1596</v>
      </c>
      <c r="C1286">
        <v>41</v>
      </c>
      <c r="D1286">
        <v>57.81</v>
      </c>
      <c r="E1286">
        <v>14.2</v>
      </c>
      <c r="F1286">
        <v>19.51</v>
      </c>
      <c r="G1286">
        <v>10.71</v>
      </c>
      <c r="H1286">
        <v>25126</v>
      </c>
      <c r="I1286">
        <v>2.66</v>
      </c>
      <c r="J1286" t="s">
        <v>14</v>
      </c>
      <c r="K1286" t="s">
        <v>804</v>
      </c>
    </row>
    <row r="1287" spans="1:11">
      <c r="A1287" t="str">
        <f>"002823"</f>
        <v>002823</v>
      </c>
      <c r="B1287" t="s">
        <v>1597</v>
      </c>
      <c r="C1287">
        <v>35.75</v>
      </c>
      <c r="D1287">
        <v>36.05</v>
      </c>
      <c r="E1287">
        <v>20.32</v>
      </c>
      <c r="F1287">
        <v>3.28</v>
      </c>
      <c r="G1287">
        <v>2.19</v>
      </c>
      <c r="H1287">
        <v>32543</v>
      </c>
      <c r="I1287">
        <v>2.64</v>
      </c>
      <c r="J1287">
        <v>22.46</v>
      </c>
      <c r="K1287" t="s">
        <v>552</v>
      </c>
    </row>
    <row r="1288" spans="1:11">
      <c r="A1288" t="str">
        <f>"002824"</f>
        <v>002824</v>
      </c>
      <c r="B1288" t="s">
        <v>1598</v>
      </c>
      <c r="C1288">
        <v>35.73</v>
      </c>
      <c r="D1288">
        <v>48.82</v>
      </c>
      <c r="E1288">
        <v>22.5</v>
      </c>
      <c r="F1288">
        <v>3.11</v>
      </c>
      <c r="G1288">
        <v>1.89</v>
      </c>
      <c r="H1288">
        <v>24598</v>
      </c>
      <c r="I1288">
        <v>2.6</v>
      </c>
      <c r="J1288">
        <v>43.96</v>
      </c>
      <c r="K1288" t="s">
        <v>288</v>
      </c>
    </row>
    <row r="1289" spans="1:11">
      <c r="A1289" t="str">
        <f>"002825"</f>
        <v>002825</v>
      </c>
      <c r="B1289" t="s">
        <v>1599</v>
      </c>
      <c r="C1289">
        <v>28.99</v>
      </c>
      <c r="D1289">
        <v>27.85</v>
      </c>
      <c r="E1289">
        <v>16.19</v>
      </c>
      <c r="F1289">
        <v>3.42</v>
      </c>
      <c r="G1289">
        <v>2.57</v>
      </c>
      <c r="H1289">
        <v>20843</v>
      </c>
      <c r="I1289">
        <v>2.38</v>
      </c>
      <c r="J1289">
        <v>20.09</v>
      </c>
      <c r="K1289" t="s">
        <v>549</v>
      </c>
    </row>
    <row r="1290" spans="1:11">
      <c r="A1290" t="str">
        <f>"002826"</f>
        <v>002826</v>
      </c>
      <c r="B1290" t="s">
        <v>1600</v>
      </c>
      <c r="C1290">
        <v>32.72</v>
      </c>
      <c r="D1290">
        <v>10.59</v>
      </c>
      <c r="E1290">
        <v>8.02</v>
      </c>
      <c r="F1290">
        <v>1.91</v>
      </c>
      <c r="G1290">
        <v>1.74</v>
      </c>
      <c r="H1290">
        <v>18111</v>
      </c>
      <c r="I1290">
        <v>4.46</v>
      </c>
      <c r="J1290">
        <v>32.83</v>
      </c>
      <c r="K1290" t="s">
        <v>109</v>
      </c>
    </row>
    <row r="1291" spans="1:11">
      <c r="A1291" t="str">
        <f>"002827"</f>
        <v>002827</v>
      </c>
      <c r="B1291" t="s">
        <v>1601</v>
      </c>
      <c r="C1291">
        <v>103.91</v>
      </c>
      <c r="D1291">
        <v>29.88</v>
      </c>
      <c r="E1291">
        <v>10.14</v>
      </c>
      <c r="F1291">
        <v>2.77</v>
      </c>
      <c r="G1291">
        <v>2.76</v>
      </c>
      <c r="H1291">
        <v>41000</v>
      </c>
      <c r="I1291">
        <v>10.28</v>
      </c>
      <c r="J1291">
        <v>62.07</v>
      </c>
      <c r="K1291" t="s">
        <v>793</v>
      </c>
    </row>
    <row r="1292" spans="1:11">
      <c r="A1292" t="str">
        <f>"002828"</f>
        <v>002828</v>
      </c>
      <c r="B1292" t="s">
        <v>1602</v>
      </c>
      <c r="C1292">
        <v>23.48</v>
      </c>
      <c r="D1292">
        <v>18.51</v>
      </c>
      <c r="E1292">
        <v>6.96</v>
      </c>
      <c r="F1292">
        <v>2.01</v>
      </c>
      <c r="G1292">
        <v>1.94</v>
      </c>
      <c r="H1292">
        <v>39342</v>
      </c>
      <c r="I1292">
        <v>3.5</v>
      </c>
      <c r="J1292">
        <v>63.02</v>
      </c>
      <c r="K1292" t="s">
        <v>988</v>
      </c>
    </row>
    <row r="1293" spans="1:11">
      <c r="A1293" t="str">
        <f>"002829"</f>
        <v>002829</v>
      </c>
      <c r="B1293" t="s">
        <v>1603</v>
      </c>
      <c r="C1293">
        <v>45.61</v>
      </c>
      <c r="D1293">
        <v>24.97</v>
      </c>
      <c r="E1293">
        <v>17.19</v>
      </c>
      <c r="F1293">
        <v>2.08</v>
      </c>
      <c r="G1293">
        <v>1.46</v>
      </c>
      <c r="H1293">
        <v>28703</v>
      </c>
      <c r="I1293">
        <v>3.78</v>
      </c>
      <c r="J1293">
        <v>126.84</v>
      </c>
      <c r="K1293" t="s">
        <v>241</v>
      </c>
    </row>
    <row r="1294" spans="1:11">
      <c r="A1294" t="str">
        <f>"002830"</f>
        <v>002830</v>
      </c>
      <c r="B1294" t="s">
        <v>1604</v>
      </c>
      <c r="C1294">
        <v>13.44</v>
      </c>
      <c r="D1294">
        <v>14.23</v>
      </c>
      <c r="E1294">
        <v>6.53</v>
      </c>
      <c r="F1294">
        <v>1.33</v>
      </c>
      <c r="G1294">
        <v>0.67</v>
      </c>
      <c r="H1294">
        <v>9671</v>
      </c>
      <c r="I1294">
        <v>4.1</v>
      </c>
      <c r="J1294">
        <v>126.38</v>
      </c>
      <c r="K1294" t="s">
        <v>804</v>
      </c>
    </row>
    <row r="1295" spans="1:11">
      <c r="A1295" t="str">
        <f>"002831"</f>
        <v>002831</v>
      </c>
      <c r="B1295" t="s">
        <v>1605</v>
      </c>
      <c r="C1295">
        <v>141.95</v>
      </c>
      <c r="D1295">
        <v>224.3</v>
      </c>
      <c r="E1295">
        <v>115.12</v>
      </c>
      <c r="F1295">
        <v>9.21</v>
      </c>
      <c r="G1295">
        <v>5.11</v>
      </c>
      <c r="H1295">
        <v>11128</v>
      </c>
      <c r="I1295">
        <v>2.22</v>
      </c>
      <c r="J1295">
        <v>16.24</v>
      </c>
      <c r="K1295" t="s">
        <v>460</v>
      </c>
    </row>
    <row r="1296" spans="1:11">
      <c r="A1296" t="str">
        <f>"002832"</f>
        <v>002832</v>
      </c>
      <c r="B1296" t="s">
        <v>1606</v>
      </c>
      <c r="C1296">
        <v>59.58</v>
      </c>
      <c r="D1296">
        <v>73.56</v>
      </c>
      <c r="E1296">
        <v>54.69</v>
      </c>
      <c r="F1296">
        <v>5.71</v>
      </c>
      <c r="G1296">
        <v>3.89</v>
      </c>
      <c r="H1296">
        <v>36438</v>
      </c>
      <c r="I1296">
        <v>1.6</v>
      </c>
      <c r="J1296">
        <v>10.57</v>
      </c>
      <c r="K1296" t="s">
        <v>650</v>
      </c>
    </row>
    <row r="1297" spans="1:11">
      <c r="A1297" t="str">
        <f>"002833"</f>
        <v>002833</v>
      </c>
      <c r="B1297" t="s">
        <v>1607</v>
      </c>
      <c r="C1297">
        <v>49.63</v>
      </c>
      <c r="D1297">
        <v>43.29</v>
      </c>
      <c r="E1297">
        <v>30.04</v>
      </c>
      <c r="F1297">
        <v>4.24</v>
      </c>
      <c r="G1297">
        <v>2.89</v>
      </c>
      <c r="H1297">
        <v>30042</v>
      </c>
      <c r="I1297">
        <v>2.54</v>
      </c>
      <c r="J1297">
        <v>16.13</v>
      </c>
      <c r="K1297" t="s">
        <v>493</v>
      </c>
    </row>
    <row r="1298" spans="1:11">
      <c r="A1298" t="str">
        <f>"002835"</f>
        <v>002835</v>
      </c>
      <c r="B1298" t="s">
        <v>1608</v>
      </c>
      <c r="C1298">
        <v>21.88</v>
      </c>
      <c r="D1298">
        <v>15.45</v>
      </c>
      <c r="E1298">
        <v>12.31</v>
      </c>
      <c r="F1298">
        <v>2.19</v>
      </c>
      <c r="G1298">
        <v>1.27</v>
      </c>
      <c r="H1298">
        <v>21155</v>
      </c>
      <c r="I1298">
        <v>3.07</v>
      </c>
      <c r="J1298">
        <v>24.13</v>
      </c>
      <c r="K1298" t="s">
        <v>1022</v>
      </c>
    </row>
    <row r="1299" spans="1:11">
      <c r="A1299" t="str">
        <f>"002836"</f>
        <v>002836</v>
      </c>
      <c r="B1299" t="s">
        <v>1609</v>
      </c>
      <c r="C1299">
        <v>35.9</v>
      </c>
      <c r="D1299">
        <v>5.28</v>
      </c>
      <c r="E1299">
        <v>3.78</v>
      </c>
      <c r="F1299">
        <v>2.3</v>
      </c>
      <c r="G1299">
        <v>2.3</v>
      </c>
      <c r="H1299">
        <v>12427</v>
      </c>
      <c r="I1299">
        <v>9.51</v>
      </c>
      <c r="J1299">
        <v>66.86</v>
      </c>
      <c r="K1299" t="s">
        <v>460</v>
      </c>
    </row>
    <row r="1300" spans="1:11">
      <c r="A1300" t="str">
        <f>"002837"</f>
        <v>002837</v>
      </c>
      <c r="B1300" t="s">
        <v>1610</v>
      </c>
      <c r="C1300">
        <v>841.69</v>
      </c>
      <c r="D1300">
        <v>72.11</v>
      </c>
      <c r="E1300">
        <v>33.13</v>
      </c>
      <c r="F1300">
        <v>9.77</v>
      </c>
      <c r="G1300">
        <v>8.5</v>
      </c>
      <c r="H1300">
        <v>148700</v>
      </c>
      <c r="I1300">
        <v>29.18</v>
      </c>
      <c r="J1300">
        <v>181.7</v>
      </c>
      <c r="K1300" t="s">
        <v>493</v>
      </c>
    </row>
    <row r="1301" spans="1:11">
      <c r="A1301" t="str">
        <f>"002838"</f>
        <v>002838</v>
      </c>
      <c r="B1301" t="s">
        <v>1611</v>
      </c>
      <c r="C1301">
        <v>114.2</v>
      </c>
      <c r="D1301">
        <v>69.57</v>
      </c>
      <c r="E1301">
        <v>35.95</v>
      </c>
      <c r="F1301">
        <v>4.78</v>
      </c>
      <c r="G1301">
        <v>4.21</v>
      </c>
      <c r="H1301">
        <v>23437</v>
      </c>
      <c r="I1301">
        <v>3.61</v>
      </c>
      <c r="J1301">
        <v>74.59</v>
      </c>
      <c r="K1301" t="s">
        <v>1113</v>
      </c>
    </row>
    <row r="1302" spans="1:11">
      <c r="A1302" t="str">
        <f>"002839"</f>
        <v>002839</v>
      </c>
      <c r="B1302" t="s">
        <v>1612</v>
      </c>
      <c r="C1302">
        <v>109.16</v>
      </c>
      <c r="D1302">
        <v>2212.01</v>
      </c>
      <c r="E1302">
        <v>203.5</v>
      </c>
      <c r="F1302">
        <v>24.44</v>
      </c>
      <c r="G1302">
        <v>24.42</v>
      </c>
      <c r="H1302">
        <v>46770</v>
      </c>
      <c r="I1302">
        <v>0.6</v>
      </c>
      <c r="J1302">
        <v>5.21</v>
      </c>
      <c r="K1302" t="s">
        <v>1581</v>
      </c>
    </row>
    <row r="1303" spans="1:11">
      <c r="A1303" t="str">
        <f>"002840"</f>
        <v>002840</v>
      </c>
      <c r="B1303" t="s">
        <v>1613</v>
      </c>
      <c r="C1303">
        <v>76.95</v>
      </c>
      <c r="D1303">
        <v>105.89</v>
      </c>
      <c r="E1303">
        <v>40.39</v>
      </c>
      <c r="F1303">
        <v>8.02</v>
      </c>
      <c r="G1303">
        <v>7.97</v>
      </c>
      <c r="H1303">
        <v>33336</v>
      </c>
      <c r="I1303">
        <v>1.93</v>
      </c>
      <c r="J1303">
        <v>81.84</v>
      </c>
      <c r="K1303" t="s">
        <v>201</v>
      </c>
    </row>
    <row r="1304" spans="1:11">
      <c r="A1304" t="str">
        <f>"002841"</f>
        <v>002841</v>
      </c>
      <c r="B1304" t="s">
        <v>1614</v>
      </c>
      <c r="C1304">
        <v>218.97</v>
      </c>
      <c r="D1304">
        <v>259.92</v>
      </c>
      <c r="E1304">
        <v>131.4</v>
      </c>
      <c r="F1304">
        <v>6.96</v>
      </c>
      <c r="G1304">
        <v>5.21</v>
      </c>
      <c r="H1304">
        <v>29385</v>
      </c>
      <c r="I1304">
        <v>2.22</v>
      </c>
      <c r="J1304">
        <v>25.28</v>
      </c>
      <c r="K1304" t="s">
        <v>689</v>
      </c>
    </row>
    <row r="1305" spans="1:11">
      <c r="A1305" t="str">
        <f>"002842"</f>
        <v>002842</v>
      </c>
      <c r="B1305" t="s">
        <v>1615</v>
      </c>
      <c r="C1305">
        <v>46.71</v>
      </c>
      <c r="D1305">
        <v>23.23</v>
      </c>
      <c r="E1305">
        <v>11.17</v>
      </c>
      <c r="F1305">
        <v>3.27</v>
      </c>
      <c r="G1305">
        <v>2.68</v>
      </c>
      <c r="H1305">
        <v>45171</v>
      </c>
      <c r="I1305">
        <v>5.1</v>
      </c>
      <c r="J1305">
        <v>82.47</v>
      </c>
      <c r="K1305" t="s">
        <v>322</v>
      </c>
    </row>
    <row r="1306" spans="1:11">
      <c r="A1306" t="str">
        <f>"002843"</f>
        <v>002843</v>
      </c>
      <c r="B1306" t="s">
        <v>1616</v>
      </c>
      <c r="C1306">
        <v>55.12</v>
      </c>
      <c r="D1306">
        <v>24.97</v>
      </c>
      <c r="E1306">
        <v>14.15</v>
      </c>
      <c r="F1306">
        <v>2.52</v>
      </c>
      <c r="G1306">
        <v>2.51</v>
      </c>
      <c r="H1306">
        <v>32105</v>
      </c>
      <c r="I1306">
        <v>3.91</v>
      </c>
      <c r="J1306">
        <v>71.68</v>
      </c>
      <c r="K1306" t="s">
        <v>63</v>
      </c>
    </row>
    <row r="1307" spans="1:11">
      <c r="A1307" t="str">
        <f>"002845"</f>
        <v>002845</v>
      </c>
      <c r="B1307" t="s">
        <v>1617</v>
      </c>
      <c r="C1307">
        <v>36.46</v>
      </c>
      <c r="D1307">
        <v>95.13</v>
      </c>
      <c r="E1307">
        <v>23.78</v>
      </c>
      <c r="F1307">
        <v>3.28</v>
      </c>
      <c r="G1307">
        <v>2.5</v>
      </c>
      <c r="H1307">
        <v>34726</v>
      </c>
      <c r="I1307">
        <v>2.01</v>
      </c>
      <c r="J1307" t="s">
        <v>14</v>
      </c>
      <c r="K1307" t="s">
        <v>39</v>
      </c>
    </row>
    <row r="1308" spans="1:11">
      <c r="A1308" t="str">
        <f>"002846"</f>
        <v>002846</v>
      </c>
      <c r="B1308" t="s">
        <v>1618</v>
      </c>
      <c r="C1308">
        <v>44.34</v>
      </c>
      <c r="D1308">
        <v>36.5</v>
      </c>
      <c r="E1308">
        <v>14.13</v>
      </c>
      <c r="F1308">
        <v>4.2</v>
      </c>
      <c r="G1308">
        <v>2.57</v>
      </c>
      <c r="H1308">
        <v>50248</v>
      </c>
      <c r="I1308">
        <v>5.13</v>
      </c>
      <c r="J1308">
        <v>153.59</v>
      </c>
      <c r="K1308" t="s">
        <v>1164</v>
      </c>
    </row>
    <row r="1309" spans="1:11">
      <c r="A1309" t="str">
        <f>"002847"</f>
        <v>002847</v>
      </c>
      <c r="B1309" t="s">
        <v>1619</v>
      </c>
      <c r="C1309">
        <v>180.76</v>
      </c>
      <c r="D1309">
        <v>40.63</v>
      </c>
      <c r="E1309">
        <v>21.36</v>
      </c>
      <c r="F1309">
        <v>2.73</v>
      </c>
      <c r="G1309">
        <v>2.46</v>
      </c>
      <c r="H1309">
        <v>17984</v>
      </c>
      <c r="I1309">
        <v>9.38</v>
      </c>
      <c r="J1309">
        <v>24.84</v>
      </c>
      <c r="K1309" t="s">
        <v>1340</v>
      </c>
    </row>
    <row r="1310" spans="1:11">
      <c r="A1310" t="str">
        <f>"002848"</f>
        <v>002848</v>
      </c>
      <c r="B1310" t="s">
        <v>1620</v>
      </c>
      <c r="C1310">
        <v>18.79</v>
      </c>
      <c r="D1310">
        <v>4.37</v>
      </c>
      <c r="E1310">
        <v>1.15</v>
      </c>
      <c r="F1310">
        <v>1.67</v>
      </c>
      <c r="G1310">
        <v>1.65</v>
      </c>
      <c r="H1310">
        <v>11330</v>
      </c>
      <c r="I1310">
        <v>16.48</v>
      </c>
      <c r="J1310" t="s">
        <v>14</v>
      </c>
      <c r="K1310" t="s">
        <v>450</v>
      </c>
    </row>
    <row r="1311" spans="1:11">
      <c r="A1311" t="str">
        <f>"002849"</f>
        <v>002849</v>
      </c>
      <c r="B1311" t="s">
        <v>1621</v>
      </c>
      <c r="C1311">
        <v>34.28</v>
      </c>
      <c r="D1311">
        <v>27.9</v>
      </c>
      <c r="E1311">
        <v>13.68</v>
      </c>
      <c r="F1311">
        <v>2.21</v>
      </c>
      <c r="G1311">
        <v>1.94</v>
      </c>
      <c r="H1311">
        <v>23876</v>
      </c>
      <c r="I1311">
        <v>2.86</v>
      </c>
      <c r="J1311">
        <v>40.93</v>
      </c>
      <c r="K1311" t="s">
        <v>952</v>
      </c>
    </row>
    <row r="1312" spans="1:11">
      <c r="A1312" t="str">
        <f>"002850"</f>
        <v>002850</v>
      </c>
      <c r="B1312" t="s">
        <v>1622</v>
      </c>
      <c r="C1312">
        <v>314.58</v>
      </c>
      <c r="D1312">
        <v>214.84</v>
      </c>
      <c r="E1312">
        <v>126.98</v>
      </c>
      <c r="F1312">
        <v>2.75</v>
      </c>
      <c r="G1312">
        <v>1.98</v>
      </c>
      <c r="H1312">
        <v>21399</v>
      </c>
      <c r="I1312">
        <v>3.48</v>
      </c>
      <c r="J1312">
        <v>27.62</v>
      </c>
      <c r="K1312" t="s">
        <v>70</v>
      </c>
    </row>
    <row r="1313" spans="1:11">
      <c r="A1313" t="str">
        <f>"002851"</f>
        <v>002851</v>
      </c>
      <c r="B1313" t="s">
        <v>1623</v>
      </c>
      <c r="C1313">
        <v>451.96</v>
      </c>
      <c r="D1313">
        <v>130.96</v>
      </c>
      <c r="E1313">
        <v>62.67</v>
      </c>
      <c r="F1313">
        <v>5.5</v>
      </c>
      <c r="G1313">
        <v>4.58</v>
      </c>
      <c r="H1313">
        <v>66000</v>
      </c>
      <c r="I1313">
        <v>8.66</v>
      </c>
      <c r="J1313">
        <v>191.53</v>
      </c>
      <c r="K1313" t="s">
        <v>1010</v>
      </c>
    </row>
    <row r="1314" spans="1:11">
      <c r="A1314" t="str">
        <f>"002852"</f>
        <v>002852</v>
      </c>
      <c r="B1314" t="s">
        <v>1624</v>
      </c>
      <c r="C1314">
        <v>31.27</v>
      </c>
      <c r="D1314">
        <v>44.59</v>
      </c>
      <c r="E1314">
        <v>22.18</v>
      </c>
      <c r="F1314">
        <v>3.44</v>
      </c>
      <c r="G1314">
        <v>2.85</v>
      </c>
      <c r="H1314">
        <v>23692</v>
      </c>
      <c r="I1314">
        <v>1.7</v>
      </c>
      <c r="J1314">
        <v>13.1</v>
      </c>
      <c r="K1314" t="s">
        <v>37</v>
      </c>
    </row>
    <row r="1315" spans="1:11">
      <c r="A1315" t="str">
        <f>"002853"</f>
        <v>002853</v>
      </c>
      <c r="B1315" t="s">
        <v>1625</v>
      </c>
      <c r="C1315">
        <v>29.92</v>
      </c>
      <c r="D1315">
        <v>14.71</v>
      </c>
      <c r="E1315">
        <v>9.32</v>
      </c>
      <c r="F1315">
        <v>1.83</v>
      </c>
      <c r="G1315">
        <v>1.29</v>
      </c>
      <c r="H1315">
        <v>16078</v>
      </c>
      <c r="I1315">
        <v>4.56</v>
      </c>
      <c r="J1315" t="s">
        <v>14</v>
      </c>
      <c r="K1315" t="s">
        <v>540</v>
      </c>
    </row>
    <row r="1316" spans="1:11">
      <c r="A1316" t="str">
        <f>"002855"</f>
        <v>002855</v>
      </c>
      <c r="B1316" t="s">
        <v>1626</v>
      </c>
      <c r="C1316">
        <v>41.32</v>
      </c>
      <c r="D1316">
        <v>19.78</v>
      </c>
      <c r="E1316">
        <v>3.27</v>
      </c>
      <c r="F1316">
        <v>2.46</v>
      </c>
      <c r="G1316">
        <v>2.46</v>
      </c>
      <c r="H1316">
        <v>35383</v>
      </c>
      <c r="I1316">
        <v>12.65</v>
      </c>
      <c r="J1316" t="s">
        <v>14</v>
      </c>
      <c r="K1316" t="s">
        <v>41</v>
      </c>
    </row>
    <row r="1317" spans="1:11">
      <c r="A1317" t="str">
        <f>"002856"</f>
        <v>002856</v>
      </c>
      <c r="B1317" t="s">
        <v>1627</v>
      </c>
      <c r="C1317">
        <v>18.62</v>
      </c>
      <c r="D1317">
        <v>17.07</v>
      </c>
      <c r="E1317">
        <v>0.83</v>
      </c>
      <c r="F1317">
        <v>1.35</v>
      </c>
      <c r="G1317">
        <v>1.24</v>
      </c>
      <c r="H1317">
        <v>11502</v>
      </c>
      <c r="I1317">
        <v>24.48</v>
      </c>
      <c r="J1317" t="s">
        <v>14</v>
      </c>
      <c r="K1317" t="s">
        <v>804</v>
      </c>
    </row>
    <row r="1318" spans="1:11">
      <c r="A1318" t="str">
        <f>"002857"</f>
        <v>002857</v>
      </c>
      <c r="B1318" t="s">
        <v>1628</v>
      </c>
      <c r="C1318">
        <v>28.77</v>
      </c>
      <c r="D1318">
        <v>10.3</v>
      </c>
      <c r="E1318">
        <v>5.21</v>
      </c>
      <c r="F1318">
        <v>1.31</v>
      </c>
      <c r="G1318">
        <v>1.28</v>
      </c>
      <c r="H1318">
        <v>15672</v>
      </c>
      <c r="I1318">
        <v>5.57</v>
      </c>
      <c r="J1318" t="s">
        <v>14</v>
      </c>
      <c r="K1318" t="s">
        <v>888</v>
      </c>
    </row>
    <row r="1319" spans="1:11">
      <c r="A1319" t="str">
        <f>"002858"</f>
        <v>002858</v>
      </c>
      <c r="B1319" t="s">
        <v>1629</v>
      </c>
      <c r="C1319">
        <v>24.93</v>
      </c>
      <c r="D1319">
        <v>11.28</v>
      </c>
      <c r="E1319">
        <v>5.44</v>
      </c>
      <c r="F1319">
        <v>1.64</v>
      </c>
      <c r="G1319">
        <v>1.47</v>
      </c>
      <c r="H1319">
        <v>19225</v>
      </c>
      <c r="I1319">
        <v>5.11</v>
      </c>
      <c r="J1319">
        <v>94.69</v>
      </c>
      <c r="K1319" t="s">
        <v>1630</v>
      </c>
    </row>
    <row r="1320" spans="1:11">
      <c r="A1320" t="str">
        <f>"002859"</f>
        <v>002859</v>
      </c>
      <c r="B1320" t="s">
        <v>1631</v>
      </c>
      <c r="C1320">
        <v>120.51</v>
      </c>
      <c r="D1320">
        <v>70.23</v>
      </c>
      <c r="E1320">
        <v>30.37</v>
      </c>
      <c r="F1320">
        <v>4.31</v>
      </c>
      <c r="G1320">
        <v>4.06</v>
      </c>
      <c r="H1320">
        <v>13597</v>
      </c>
      <c r="I1320">
        <v>4.37</v>
      </c>
      <c r="J1320">
        <v>54.58</v>
      </c>
      <c r="K1320" t="s">
        <v>310</v>
      </c>
    </row>
    <row r="1321" spans="1:11">
      <c r="A1321" t="str">
        <f>"002860"</f>
        <v>002860</v>
      </c>
      <c r="B1321" t="s">
        <v>1632</v>
      </c>
      <c r="C1321">
        <v>46.85</v>
      </c>
      <c r="D1321">
        <v>36.41</v>
      </c>
      <c r="E1321">
        <v>22.71</v>
      </c>
      <c r="F1321">
        <v>3.6</v>
      </c>
      <c r="G1321">
        <v>3.5</v>
      </c>
      <c r="H1321">
        <v>19704</v>
      </c>
      <c r="I1321">
        <v>2.12</v>
      </c>
      <c r="J1321">
        <v>20.42</v>
      </c>
      <c r="K1321" t="s">
        <v>134</v>
      </c>
    </row>
    <row r="1322" spans="1:11">
      <c r="A1322" t="str">
        <f>"002861"</f>
        <v>002861</v>
      </c>
      <c r="B1322" t="s">
        <v>1633</v>
      </c>
      <c r="C1322">
        <v>28.44</v>
      </c>
      <c r="D1322">
        <v>15.95</v>
      </c>
      <c r="E1322">
        <v>11.01</v>
      </c>
      <c r="F1322">
        <v>1.86</v>
      </c>
      <c r="G1322">
        <v>1.5</v>
      </c>
      <c r="H1322">
        <v>16063</v>
      </c>
      <c r="I1322">
        <v>3.2</v>
      </c>
      <c r="J1322" t="s">
        <v>14</v>
      </c>
      <c r="K1322" t="s">
        <v>41</v>
      </c>
    </row>
    <row r="1323" spans="1:11">
      <c r="A1323" t="str">
        <f>"002862"</f>
        <v>002862</v>
      </c>
      <c r="B1323" t="s">
        <v>1634</v>
      </c>
      <c r="C1323">
        <v>26.45</v>
      </c>
      <c r="D1323">
        <v>7.07</v>
      </c>
      <c r="E1323">
        <v>4</v>
      </c>
      <c r="F1323">
        <v>1.68</v>
      </c>
      <c r="G1323">
        <v>1.26</v>
      </c>
      <c r="H1323">
        <v>25481</v>
      </c>
      <c r="I1323">
        <v>8.8</v>
      </c>
      <c r="J1323" t="s">
        <v>14</v>
      </c>
      <c r="K1323" t="s">
        <v>637</v>
      </c>
    </row>
    <row r="1324" spans="1:11">
      <c r="A1324" t="str">
        <f>"002863"</f>
        <v>002863</v>
      </c>
      <c r="B1324" t="s">
        <v>1635</v>
      </c>
      <c r="C1324">
        <v>35.01</v>
      </c>
      <c r="D1324">
        <v>90.98</v>
      </c>
      <c r="E1324">
        <v>28.37</v>
      </c>
      <c r="F1324">
        <v>5.99</v>
      </c>
      <c r="G1324">
        <v>5.99</v>
      </c>
      <c r="H1324">
        <v>27676</v>
      </c>
      <c r="I1324">
        <v>1.23</v>
      </c>
      <c r="J1324">
        <v>36.19</v>
      </c>
      <c r="K1324" t="s">
        <v>263</v>
      </c>
    </row>
    <row r="1325" spans="1:11">
      <c r="A1325" t="str">
        <f>"002864"</f>
        <v>002864</v>
      </c>
      <c r="B1325" t="s">
        <v>1636</v>
      </c>
      <c r="C1325">
        <v>26.72</v>
      </c>
      <c r="D1325">
        <v>24.01</v>
      </c>
      <c r="E1325">
        <v>16.84</v>
      </c>
      <c r="F1325">
        <v>1.06</v>
      </c>
      <c r="G1325">
        <v>0.74</v>
      </c>
      <c r="H1325">
        <v>20868</v>
      </c>
      <c r="I1325">
        <v>2.27</v>
      </c>
      <c r="J1325">
        <v>31.97</v>
      </c>
      <c r="K1325" t="s">
        <v>155</v>
      </c>
    </row>
    <row r="1326" spans="1:11">
      <c r="A1326" t="str">
        <f>"002865"</f>
        <v>002865</v>
      </c>
      <c r="B1326" t="s">
        <v>1637</v>
      </c>
      <c r="C1326">
        <v>185.18</v>
      </c>
      <c r="D1326">
        <v>180.06</v>
      </c>
      <c r="E1326">
        <v>46.57</v>
      </c>
      <c r="F1326">
        <v>2.93</v>
      </c>
      <c r="G1326">
        <v>2.25</v>
      </c>
      <c r="H1326">
        <v>45193</v>
      </c>
      <c r="I1326">
        <v>5.17</v>
      </c>
      <c r="J1326" t="s">
        <v>14</v>
      </c>
      <c r="K1326" t="s">
        <v>815</v>
      </c>
    </row>
    <row r="1327" spans="1:11">
      <c r="A1327" t="str">
        <f>"002866"</f>
        <v>002866</v>
      </c>
      <c r="B1327" t="s">
        <v>1638</v>
      </c>
      <c r="C1327">
        <v>34.68</v>
      </c>
      <c r="D1327">
        <v>39.1</v>
      </c>
      <c r="E1327">
        <v>20.77</v>
      </c>
      <c r="F1327">
        <v>2.9</v>
      </c>
      <c r="G1327">
        <v>1.81</v>
      </c>
      <c r="H1327">
        <v>46286</v>
      </c>
      <c r="I1327">
        <v>2.67</v>
      </c>
      <c r="J1327">
        <v>60.3</v>
      </c>
      <c r="K1327" t="s">
        <v>41</v>
      </c>
    </row>
    <row r="1328" spans="1:11">
      <c r="A1328" t="str">
        <f>"002867"</f>
        <v>002867</v>
      </c>
      <c r="B1328" t="s">
        <v>1639</v>
      </c>
      <c r="C1328">
        <v>133.48</v>
      </c>
      <c r="D1328">
        <v>81.92</v>
      </c>
      <c r="E1328">
        <v>62.61</v>
      </c>
      <c r="F1328">
        <v>10.85</v>
      </c>
      <c r="G1328">
        <v>10.79</v>
      </c>
      <c r="H1328">
        <v>30653</v>
      </c>
      <c r="I1328">
        <v>2.14</v>
      </c>
      <c r="J1328">
        <v>11.42</v>
      </c>
      <c r="K1328" t="s">
        <v>35</v>
      </c>
    </row>
    <row r="1329" spans="1:11">
      <c r="A1329" t="str">
        <f>"002868"</f>
        <v>002868</v>
      </c>
      <c r="B1329" t="s">
        <v>1640</v>
      </c>
      <c r="C1329">
        <v>54.47</v>
      </c>
      <c r="D1329">
        <v>13.84</v>
      </c>
      <c r="E1329">
        <v>-1.06</v>
      </c>
      <c r="F1329">
        <v>1.55</v>
      </c>
      <c r="G1329">
        <v>1.54</v>
      </c>
      <c r="H1329">
        <v>6054</v>
      </c>
      <c r="I1329">
        <v>-51.7</v>
      </c>
      <c r="J1329" t="s">
        <v>14</v>
      </c>
      <c r="K1329" t="s">
        <v>912</v>
      </c>
    </row>
    <row r="1330" spans="1:11">
      <c r="A1330" t="str">
        <f>"002869"</f>
        <v>002869</v>
      </c>
      <c r="B1330" t="s">
        <v>1641</v>
      </c>
      <c r="C1330">
        <v>39.54</v>
      </c>
      <c r="D1330">
        <v>25.95</v>
      </c>
      <c r="E1330">
        <v>21.44</v>
      </c>
      <c r="F1330">
        <v>1.77</v>
      </c>
      <c r="G1330">
        <v>1.58</v>
      </c>
      <c r="H1330">
        <v>22297</v>
      </c>
      <c r="I1330">
        <v>2.1</v>
      </c>
      <c r="J1330" t="s">
        <v>14</v>
      </c>
      <c r="K1330" t="s">
        <v>82</v>
      </c>
    </row>
    <row r="1331" spans="1:11">
      <c r="A1331" t="str">
        <f>"002870"</f>
        <v>002870</v>
      </c>
      <c r="B1331" t="s">
        <v>1642</v>
      </c>
      <c r="C1331">
        <v>49.24</v>
      </c>
      <c r="D1331">
        <v>90.13</v>
      </c>
      <c r="E1331">
        <v>16.93</v>
      </c>
      <c r="F1331">
        <v>1.32</v>
      </c>
      <c r="G1331">
        <v>1.29</v>
      </c>
      <c r="H1331">
        <v>13066</v>
      </c>
      <c r="I1331">
        <v>2.98</v>
      </c>
      <c r="J1331">
        <v>41.77</v>
      </c>
      <c r="K1331" t="s">
        <v>356</v>
      </c>
    </row>
    <row r="1332" spans="1:11">
      <c r="A1332" t="str">
        <f>"002871"</f>
        <v>002871</v>
      </c>
      <c r="B1332" t="s">
        <v>1643</v>
      </c>
      <c r="C1332">
        <v>28.04</v>
      </c>
      <c r="D1332">
        <v>13.96</v>
      </c>
      <c r="E1332">
        <v>11.09</v>
      </c>
      <c r="F1332">
        <v>2.52</v>
      </c>
      <c r="G1332">
        <v>1.49</v>
      </c>
      <c r="H1332">
        <v>11261</v>
      </c>
      <c r="I1332">
        <v>4.26</v>
      </c>
      <c r="J1332">
        <v>34.49</v>
      </c>
      <c r="K1332" t="s">
        <v>424</v>
      </c>
    </row>
    <row r="1333" spans="1:11">
      <c r="A1333" t="str">
        <f>"002872"</f>
        <v>002872</v>
      </c>
      <c r="B1333" t="s">
        <v>1644</v>
      </c>
      <c r="C1333">
        <v>10.49</v>
      </c>
      <c r="D1333">
        <v>26.49</v>
      </c>
      <c r="E1333">
        <v>19.62</v>
      </c>
      <c r="F1333">
        <v>3.18</v>
      </c>
      <c r="G1333">
        <v>2.15</v>
      </c>
      <c r="H1333">
        <v>11340</v>
      </c>
      <c r="I1333">
        <v>0.79</v>
      </c>
      <c r="J1333" t="s">
        <v>14</v>
      </c>
      <c r="K1333" t="s">
        <v>48</v>
      </c>
    </row>
    <row r="1334" spans="1:11">
      <c r="A1334" t="str">
        <f>"002873"</f>
        <v>002873</v>
      </c>
      <c r="B1334" t="s">
        <v>1645</v>
      </c>
      <c r="C1334">
        <v>24.63</v>
      </c>
      <c r="D1334">
        <v>20.93</v>
      </c>
      <c r="E1334">
        <v>12.63</v>
      </c>
      <c r="F1334">
        <v>2.44</v>
      </c>
      <c r="G1334">
        <v>2.39</v>
      </c>
      <c r="H1334">
        <v>28087</v>
      </c>
      <c r="I1334">
        <v>1.99</v>
      </c>
      <c r="J1334">
        <v>116.77</v>
      </c>
      <c r="K1334" t="s">
        <v>155</v>
      </c>
    </row>
    <row r="1335" spans="1:11">
      <c r="A1335" t="str">
        <f>"002875"</f>
        <v>002875</v>
      </c>
      <c r="B1335" t="s">
        <v>1646</v>
      </c>
      <c r="C1335">
        <v>32.05</v>
      </c>
      <c r="D1335">
        <v>10.79</v>
      </c>
      <c r="E1335">
        <v>6.42</v>
      </c>
      <c r="F1335">
        <v>2.13</v>
      </c>
      <c r="G1335">
        <v>1.82</v>
      </c>
      <c r="H1335">
        <v>13197</v>
      </c>
      <c r="I1335">
        <v>5.83</v>
      </c>
      <c r="J1335" t="s">
        <v>14</v>
      </c>
      <c r="K1335" t="s">
        <v>622</v>
      </c>
    </row>
    <row r="1336" spans="1:11">
      <c r="A1336" t="str">
        <f>"002876"</f>
        <v>002876</v>
      </c>
      <c r="B1336" t="s">
        <v>1647</v>
      </c>
      <c r="C1336">
        <v>36.61</v>
      </c>
      <c r="D1336">
        <v>63.44</v>
      </c>
      <c r="E1336">
        <v>23.8</v>
      </c>
      <c r="F1336">
        <v>1.74</v>
      </c>
      <c r="G1336">
        <v>1.49</v>
      </c>
      <c r="H1336">
        <v>19629</v>
      </c>
      <c r="I1336">
        <v>1.8</v>
      </c>
      <c r="J1336">
        <v>71.24</v>
      </c>
      <c r="K1336" t="s">
        <v>66</v>
      </c>
    </row>
    <row r="1337" spans="1:11">
      <c r="A1337" t="str">
        <f>"002877"</f>
        <v>002877</v>
      </c>
      <c r="B1337" t="s">
        <v>1648</v>
      </c>
      <c r="C1337">
        <v>23.83</v>
      </c>
      <c r="D1337">
        <v>24.12</v>
      </c>
      <c r="E1337">
        <v>12.13</v>
      </c>
      <c r="F1337">
        <v>3.56</v>
      </c>
      <c r="G1337">
        <v>2.41</v>
      </c>
      <c r="H1337">
        <v>27658</v>
      </c>
      <c r="I1337">
        <v>2.91</v>
      </c>
      <c r="J1337">
        <v>156.06</v>
      </c>
      <c r="K1337" t="s">
        <v>424</v>
      </c>
    </row>
    <row r="1338" spans="1:11">
      <c r="A1338" t="str">
        <f>"002878"</f>
        <v>002878</v>
      </c>
      <c r="B1338" t="s">
        <v>1649</v>
      </c>
      <c r="C1338">
        <v>51.13</v>
      </c>
      <c r="D1338">
        <v>21.38</v>
      </c>
      <c r="E1338">
        <v>12.87</v>
      </c>
      <c r="F1338">
        <v>2.62</v>
      </c>
      <c r="G1338">
        <v>2.36</v>
      </c>
      <c r="H1338">
        <v>47119</v>
      </c>
      <c r="I1338">
        <v>4.41</v>
      </c>
      <c r="J1338">
        <v>473.88</v>
      </c>
      <c r="K1338" t="s">
        <v>283</v>
      </c>
    </row>
    <row r="1339" spans="1:11">
      <c r="A1339" t="str">
        <f>"002879"</f>
        <v>002879</v>
      </c>
      <c r="B1339" t="s">
        <v>1650</v>
      </c>
      <c r="C1339">
        <v>28.62</v>
      </c>
      <c r="D1339">
        <v>27.26</v>
      </c>
      <c r="E1339">
        <v>17.6</v>
      </c>
      <c r="F1339">
        <v>1.93</v>
      </c>
      <c r="G1339">
        <v>1.38</v>
      </c>
      <c r="H1339">
        <v>21858</v>
      </c>
      <c r="I1339">
        <v>2.28</v>
      </c>
      <c r="J1339">
        <v>89.89</v>
      </c>
      <c r="K1339" t="s">
        <v>383</v>
      </c>
    </row>
    <row r="1340" spans="1:11">
      <c r="A1340" t="str">
        <f>"002880"</f>
        <v>002880</v>
      </c>
      <c r="B1340" t="s">
        <v>1651</v>
      </c>
      <c r="C1340">
        <v>58.94</v>
      </c>
      <c r="D1340">
        <v>33.94</v>
      </c>
      <c r="E1340">
        <v>23.24</v>
      </c>
      <c r="F1340">
        <v>2.27</v>
      </c>
      <c r="G1340">
        <v>2.26</v>
      </c>
      <c r="H1340">
        <v>12496</v>
      </c>
      <c r="I1340">
        <v>2.55</v>
      </c>
      <c r="J1340">
        <v>28.1</v>
      </c>
      <c r="K1340" t="s">
        <v>132</v>
      </c>
    </row>
    <row r="1341" spans="1:11">
      <c r="A1341" t="str">
        <f>"002881"</f>
        <v>002881</v>
      </c>
      <c r="B1341" t="s">
        <v>1652</v>
      </c>
      <c r="C1341">
        <v>93.96</v>
      </c>
      <c r="D1341">
        <v>28.51</v>
      </c>
      <c r="E1341">
        <v>16.81</v>
      </c>
      <c r="F1341">
        <v>2.62</v>
      </c>
      <c r="G1341">
        <v>1.82</v>
      </c>
      <c r="H1341">
        <v>52682</v>
      </c>
      <c r="I1341">
        <v>8.07</v>
      </c>
      <c r="J1341">
        <v>89.6</v>
      </c>
      <c r="K1341" t="s">
        <v>41</v>
      </c>
    </row>
    <row r="1342" spans="1:11">
      <c r="A1342" t="str">
        <f>"002882"</f>
        <v>002882</v>
      </c>
      <c r="B1342" t="s">
        <v>1653</v>
      </c>
      <c r="C1342">
        <v>86.75</v>
      </c>
      <c r="D1342">
        <v>47.07</v>
      </c>
      <c r="E1342">
        <v>21.17</v>
      </c>
      <c r="F1342">
        <v>4.33</v>
      </c>
      <c r="G1342">
        <v>2.47</v>
      </c>
      <c r="H1342">
        <v>60946</v>
      </c>
      <c r="I1342">
        <v>7.19</v>
      </c>
      <c r="J1342">
        <v>108.72</v>
      </c>
      <c r="K1342" t="s">
        <v>383</v>
      </c>
    </row>
    <row r="1343" spans="1:11">
      <c r="A1343" t="str">
        <f>"002883"</f>
        <v>002883</v>
      </c>
      <c r="B1343" t="s">
        <v>1654</v>
      </c>
      <c r="C1343">
        <v>17</v>
      </c>
      <c r="D1343">
        <v>8.52</v>
      </c>
      <c r="E1343">
        <v>6.48</v>
      </c>
      <c r="F1343">
        <v>1.56</v>
      </c>
      <c r="G1343">
        <v>1.53</v>
      </c>
      <c r="H1343">
        <v>17257</v>
      </c>
      <c r="I1343">
        <v>2.67</v>
      </c>
      <c r="J1343" t="s">
        <v>14</v>
      </c>
      <c r="K1343" t="s">
        <v>428</v>
      </c>
    </row>
    <row r="1344" spans="1:11">
      <c r="A1344" t="str">
        <f>"002884"</f>
        <v>002884</v>
      </c>
      <c r="B1344" t="s">
        <v>1655</v>
      </c>
      <c r="C1344">
        <v>47.19</v>
      </c>
      <c r="D1344">
        <v>24.82</v>
      </c>
      <c r="E1344">
        <v>23.12</v>
      </c>
      <c r="F1344">
        <v>3.58</v>
      </c>
      <c r="G1344">
        <v>2.73</v>
      </c>
      <c r="H1344">
        <v>22305</v>
      </c>
      <c r="I1344">
        <v>2.67</v>
      </c>
      <c r="J1344">
        <v>13.19</v>
      </c>
      <c r="K1344" t="s">
        <v>424</v>
      </c>
    </row>
    <row r="1345" spans="1:11">
      <c r="A1345" t="str">
        <f>"002885"</f>
        <v>002885</v>
      </c>
      <c r="B1345" t="s">
        <v>1656</v>
      </c>
      <c r="C1345">
        <v>65.25</v>
      </c>
      <c r="D1345">
        <v>34.37</v>
      </c>
      <c r="E1345">
        <v>14.72</v>
      </c>
      <c r="F1345">
        <v>2.71</v>
      </c>
      <c r="G1345">
        <v>2.31</v>
      </c>
      <c r="H1345">
        <v>57195</v>
      </c>
      <c r="I1345">
        <v>5.2</v>
      </c>
      <c r="J1345">
        <v>79.9</v>
      </c>
      <c r="K1345" t="s">
        <v>82</v>
      </c>
    </row>
    <row r="1346" spans="1:11">
      <c r="A1346" t="str">
        <f>"002886"</f>
        <v>002886</v>
      </c>
      <c r="B1346" t="s">
        <v>1657</v>
      </c>
      <c r="C1346">
        <v>47.02</v>
      </c>
      <c r="D1346">
        <v>38.56</v>
      </c>
      <c r="E1346">
        <v>18.03</v>
      </c>
      <c r="F1346">
        <v>2.63</v>
      </c>
      <c r="G1346">
        <v>2.09</v>
      </c>
      <c r="H1346">
        <v>31496</v>
      </c>
      <c r="I1346">
        <v>3.28</v>
      </c>
      <c r="J1346">
        <v>147.5</v>
      </c>
      <c r="K1346" t="s">
        <v>1113</v>
      </c>
    </row>
    <row r="1347" spans="1:11">
      <c r="A1347" t="str">
        <f>"002887"</f>
        <v>002887</v>
      </c>
      <c r="B1347" t="s">
        <v>1658</v>
      </c>
      <c r="C1347">
        <v>18.14</v>
      </c>
      <c r="D1347">
        <v>39.35</v>
      </c>
      <c r="E1347">
        <v>23.63</v>
      </c>
      <c r="F1347">
        <v>3.06</v>
      </c>
      <c r="G1347">
        <v>1.95</v>
      </c>
      <c r="H1347">
        <v>16042</v>
      </c>
      <c r="I1347">
        <v>1.25</v>
      </c>
      <c r="J1347">
        <v>30.41</v>
      </c>
      <c r="K1347" t="s">
        <v>370</v>
      </c>
    </row>
    <row r="1348" spans="1:11">
      <c r="A1348" t="str">
        <f>"002888"</f>
        <v>002888</v>
      </c>
      <c r="B1348" t="s">
        <v>1659</v>
      </c>
      <c r="C1348">
        <v>15.6</v>
      </c>
      <c r="D1348">
        <v>4.47</v>
      </c>
      <c r="E1348">
        <v>3.8</v>
      </c>
      <c r="F1348">
        <v>1.48</v>
      </c>
      <c r="G1348">
        <v>0.75</v>
      </c>
      <c r="H1348">
        <v>16266</v>
      </c>
      <c r="I1348">
        <v>8.08</v>
      </c>
      <c r="J1348">
        <v>232.04</v>
      </c>
      <c r="K1348" t="s">
        <v>41</v>
      </c>
    </row>
    <row r="1349" spans="1:11">
      <c r="A1349" t="str">
        <f>"002889"</f>
        <v>002889</v>
      </c>
      <c r="B1349" t="s">
        <v>1660</v>
      </c>
      <c r="C1349">
        <v>38.72</v>
      </c>
      <c r="D1349">
        <v>52.02</v>
      </c>
      <c r="E1349">
        <v>25.08</v>
      </c>
      <c r="F1349">
        <v>3.78</v>
      </c>
      <c r="G1349">
        <v>2.51</v>
      </c>
      <c r="H1349">
        <v>30238</v>
      </c>
      <c r="I1349">
        <v>2.32</v>
      </c>
      <c r="J1349">
        <v>30.86</v>
      </c>
      <c r="K1349" t="s">
        <v>536</v>
      </c>
    </row>
    <row r="1350" spans="1:11">
      <c r="A1350" t="str">
        <f>"002890"</f>
        <v>002890</v>
      </c>
      <c r="B1350" t="s">
        <v>1661</v>
      </c>
      <c r="C1350">
        <v>23.79</v>
      </c>
      <c r="D1350">
        <v>7.42</v>
      </c>
      <c r="E1350">
        <v>6.02</v>
      </c>
      <c r="F1350">
        <v>1.7</v>
      </c>
      <c r="G1350">
        <v>1.61</v>
      </c>
      <c r="H1350">
        <v>6542</v>
      </c>
      <c r="I1350">
        <v>4.16</v>
      </c>
      <c r="J1350">
        <v>157.72</v>
      </c>
      <c r="K1350" t="s">
        <v>1556</v>
      </c>
    </row>
    <row r="1351" spans="1:11">
      <c r="A1351" t="str">
        <f>"002891"</f>
        <v>002891</v>
      </c>
      <c r="B1351" t="s">
        <v>1662</v>
      </c>
      <c r="C1351">
        <v>158.95</v>
      </c>
      <c r="D1351">
        <v>53.64</v>
      </c>
      <c r="E1351">
        <v>28.92</v>
      </c>
      <c r="F1351">
        <v>3.04</v>
      </c>
      <c r="G1351">
        <v>3.04</v>
      </c>
      <c r="H1351">
        <v>33679</v>
      </c>
      <c r="I1351">
        <v>5.5</v>
      </c>
      <c r="J1351">
        <v>35.77</v>
      </c>
      <c r="K1351" t="s">
        <v>1663</v>
      </c>
    </row>
    <row r="1352" spans="1:11">
      <c r="A1352" t="str">
        <f>"002892"</f>
        <v>002892</v>
      </c>
      <c r="B1352" t="s">
        <v>1664</v>
      </c>
      <c r="C1352">
        <v>63.97</v>
      </c>
      <c r="D1352">
        <v>26.66</v>
      </c>
      <c r="E1352">
        <v>13.02</v>
      </c>
      <c r="F1352">
        <v>7.44</v>
      </c>
      <c r="G1352">
        <v>4.83</v>
      </c>
      <c r="H1352">
        <v>65354</v>
      </c>
      <c r="I1352">
        <v>7.57</v>
      </c>
      <c r="J1352">
        <v>163.07</v>
      </c>
      <c r="K1352" t="s">
        <v>552</v>
      </c>
    </row>
    <row r="1353" spans="1:11">
      <c r="A1353" t="str">
        <f>"002893"</f>
        <v>002893</v>
      </c>
      <c r="B1353" t="s">
        <v>1665</v>
      </c>
      <c r="C1353">
        <v>23.5</v>
      </c>
      <c r="D1353">
        <v>25.92</v>
      </c>
      <c r="E1353">
        <v>12.16</v>
      </c>
      <c r="F1353">
        <v>2.64</v>
      </c>
      <c r="G1353">
        <v>2.03</v>
      </c>
      <c r="H1353">
        <v>29242</v>
      </c>
      <c r="I1353">
        <v>2.51</v>
      </c>
      <c r="J1353">
        <v>39.62</v>
      </c>
      <c r="K1353" t="s">
        <v>350</v>
      </c>
    </row>
    <row r="1354" spans="1:11">
      <c r="A1354" t="str">
        <f>"002895"</f>
        <v>002895</v>
      </c>
      <c r="B1354" t="s">
        <v>1666</v>
      </c>
      <c r="C1354">
        <v>227.67</v>
      </c>
      <c r="D1354">
        <v>133.84</v>
      </c>
      <c r="E1354">
        <v>73.86</v>
      </c>
      <c r="F1354">
        <v>6.08</v>
      </c>
      <c r="G1354">
        <v>5.97</v>
      </c>
      <c r="H1354">
        <v>29297</v>
      </c>
      <c r="I1354">
        <v>3.14</v>
      </c>
      <c r="J1354">
        <v>18.03</v>
      </c>
      <c r="K1354" t="s">
        <v>153</v>
      </c>
    </row>
    <row r="1355" spans="1:11">
      <c r="A1355" t="str">
        <f>"002896"</f>
        <v>002896</v>
      </c>
      <c r="B1355" t="s">
        <v>1667</v>
      </c>
      <c r="C1355">
        <v>171.66</v>
      </c>
      <c r="D1355">
        <v>18.11</v>
      </c>
      <c r="E1355">
        <v>11.95</v>
      </c>
      <c r="F1355">
        <v>1.97</v>
      </c>
      <c r="G1355">
        <v>1.97</v>
      </c>
      <c r="H1355">
        <v>86345</v>
      </c>
      <c r="I1355">
        <v>14.36</v>
      </c>
      <c r="J1355">
        <v>225.05</v>
      </c>
      <c r="K1355" t="s">
        <v>424</v>
      </c>
    </row>
    <row r="1356" spans="1:11">
      <c r="A1356" t="str">
        <f>"002897"</f>
        <v>002897</v>
      </c>
      <c r="B1356" t="s">
        <v>1668</v>
      </c>
      <c r="C1356">
        <v>96.94</v>
      </c>
      <c r="D1356">
        <v>70.81</v>
      </c>
      <c r="E1356">
        <v>27.46</v>
      </c>
      <c r="F1356">
        <v>1.94</v>
      </c>
      <c r="G1356">
        <v>1.82</v>
      </c>
      <c r="H1356">
        <v>29161</v>
      </c>
      <c r="I1356">
        <v>3.75</v>
      </c>
      <c r="J1356">
        <v>28.67</v>
      </c>
      <c r="K1356" t="s">
        <v>972</v>
      </c>
    </row>
    <row r="1357" spans="1:11">
      <c r="A1357" t="str">
        <f>"002898"</f>
        <v>002898</v>
      </c>
      <c r="B1357" t="s">
        <v>1669</v>
      </c>
      <c r="C1357">
        <v>14.37</v>
      </c>
      <c r="D1357">
        <v>7.98</v>
      </c>
      <c r="E1357">
        <v>4.6</v>
      </c>
      <c r="F1357">
        <v>1.76</v>
      </c>
      <c r="G1357">
        <v>1.01</v>
      </c>
      <c r="H1357">
        <v>7265</v>
      </c>
      <c r="I1357">
        <v>5.42</v>
      </c>
      <c r="J1357" t="s">
        <v>14</v>
      </c>
      <c r="K1357" t="s">
        <v>109</v>
      </c>
    </row>
    <row r="1358" spans="1:11">
      <c r="A1358" t="str">
        <f>"002899"</f>
        <v>002899</v>
      </c>
      <c r="B1358" t="s">
        <v>1670</v>
      </c>
      <c r="C1358">
        <v>47.28</v>
      </c>
      <c r="D1358">
        <v>28.32</v>
      </c>
      <c r="E1358">
        <v>17.42</v>
      </c>
      <c r="F1358">
        <v>1.48</v>
      </c>
      <c r="G1358">
        <v>1.48</v>
      </c>
      <c r="H1358">
        <v>14755</v>
      </c>
      <c r="I1358">
        <v>2.71</v>
      </c>
      <c r="J1358">
        <v>69.87</v>
      </c>
      <c r="K1358" t="s">
        <v>637</v>
      </c>
    </row>
    <row r="1359" spans="1:11">
      <c r="A1359" t="str">
        <f>"002900"</f>
        <v>002900</v>
      </c>
      <c r="B1359" t="s">
        <v>1671</v>
      </c>
      <c r="C1359">
        <v>23.37</v>
      </c>
      <c r="D1359">
        <v>36.09</v>
      </c>
      <c r="E1359">
        <v>19.04</v>
      </c>
      <c r="F1359">
        <v>3.16</v>
      </c>
      <c r="G1359">
        <v>1.75</v>
      </c>
      <c r="H1359">
        <v>36960</v>
      </c>
      <c r="I1359">
        <v>2.22</v>
      </c>
      <c r="J1359" t="s">
        <v>14</v>
      </c>
      <c r="K1359" t="s">
        <v>109</v>
      </c>
    </row>
    <row r="1360" spans="1:11">
      <c r="A1360" t="str">
        <f>"002901"</f>
        <v>002901</v>
      </c>
      <c r="B1360" t="s">
        <v>1672</v>
      </c>
      <c r="C1360">
        <v>145.68</v>
      </c>
      <c r="D1360">
        <v>45.55</v>
      </c>
      <c r="E1360">
        <v>33.37</v>
      </c>
      <c r="F1360">
        <v>4.14</v>
      </c>
      <c r="G1360">
        <v>2.88</v>
      </c>
      <c r="H1360">
        <v>22765</v>
      </c>
      <c r="I1360">
        <v>6.27</v>
      </c>
      <c r="J1360">
        <v>36.93</v>
      </c>
      <c r="K1360" t="s">
        <v>1173</v>
      </c>
    </row>
    <row r="1361" spans="1:11">
      <c r="A1361" t="str">
        <f>"002902"</f>
        <v>002902</v>
      </c>
      <c r="B1361" t="s">
        <v>1673</v>
      </c>
      <c r="C1361">
        <v>39.31</v>
      </c>
      <c r="D1361">
        <v>24.62</v>
      </c>
      <c r="E1361">
        <v>8.44</v>
      </c>
      <c r="F1361">
        <v>2.35</v>
      </c>
      <c r="G1361">
        <v>1.78</v>
      </c>
      <c r="H1361">
        <v>48028</v>
      </c>
      <c r="I1361">
        <v>6.16</v>
      </c>
      <c r="J1361" t="s">
        <v>14</v>
      </c>
      <c r="K1361" t="s">
        <v>972</v>
      </c>
    </row>
    <row r="1362" spans="1:11">
      <c r="A1362" t="str">
        <f>"002903"</f>
        <v>002903</v>
      </c>
      <c r="B1362" t="s">
        <v>1674</v>
      </c>
      <c r="C1362">
        <v>26.32</v>
      </c>
      <c r="D1362">
        <v>12.58</v>
      </c>
      <c r="E1362">
        <v>8.01</v>
      </c>
      <c r="F1362">
        <v>1.57</v>
      </c>
      <c r="G1362">
        <v>1.07</v>
      </c>
      <c r="H1362">
        <v>22993</v>
      </c>
      <c r="I1362">
        <v>4.8</v>
      </c>
      <c r="J1362">
        <v>947.62</v>
      </c>
      <c r="K1362" t="s">
        <v>141</v>
      </c>
    </row>
    <row r="1363" spans="1:11">
      <c r="A1363" t="str">
        <f>"002905"</f>
        <v>002905</v>
      </c>
      <c r="B1363" t="s">
        <v>1675</v>
      </c>
      <c r="C1363">
        <v>40.01</v>
      </c>
      <c r="D1363">
        <v>26.95</v>
      </c>
      <c r="E1363">
        <v>0.95</v>
      </c>
      <c r="F1363">
        <v>3.76</v>
      </c>
      <c r="G1363">
        <v>3.49</v>
      </c>
      <c r="H1363">
        <v>24874</v>
      </c>
      <c r="I1363">
        <v>45.44</v>
      </c>
      <c r="J1363">
        <v>170.24</v>
      </c>
      <c r="K1363" t="s">
        <v>710</v>
      </c>
    </row>
    <row r="1364" spans="1:11">
      <c r="A1364" t="str">
        <f>"002906"</f>
        <v>002906</v>
      </c>
      <c r="B1364" t="s">
        <v>1676</v>
      </c>
      <c r="C1364">
        <v>176.05</v>
      </c>
      <c r="D1364">
        <v>131.97</v>
      </c>
      <c r="E1364">
        <v>67.74</v>
      </c>
      <c r="F1364">
        <v>5.25</v>
      </c>
      <c r="G1364">
        <v>5.25</v>
      </c>
      <c r="H1364">
        <v>40453</v>
      </c>
      <c r="I1364">
        <v>2.6</v>
      </c>
      <c r="J1364">
        <v>23.53</v>
      </c>
      <c r="K1364" t="s">
        <v>530</v>
      </c>
    </row>
    <row r="1365" spans="1:11">
      <c r="A1365" t="str">
        <f>"002907"</f>
        <v>002907</v>
      </c>
      <c r="B1365" t="s">
        <v>1677</v>
      </c>
      <c r="C1365">
        <v>46.94</v>
      </c>
      <c r="D1365">
        <v>19.98</v>
      </c>
      <c r="E1365">
        <v>16.89</v>
      </c>
      <c r="F1365">
        <v>4.18</v>
      </c>
      <c r="G1365">
        <v>3</v>
      </c>
      <c r="H1365">
        <v>33091</v>
      </c>
      <c r="I1365">
        <v>3.87</v>
      </c>
      <c r="J1365">
        <v>67.65</v>
      </c>
      <c r="K1365" t="s">
        <v>155</v>
      </c>
    </row>
    <row r="1366" spans="1:11">
      <c r="A1366" t="str">
        <f>"002908"</f>
        <v>002908</v>
      </c>
      <c r="B1366" t="s">
        <v>1678</v>
      </c>
      <c r="C1366">
        <v>35.69</v>
      </c>
      <c r="D1366">
        <v>14.56</v>
      </c>
      <c r="E1366">
        <v>11.06</v>
      </c>
      <c r="F1366">
        <v>4.31</v>
      </c>
      <c r="G1366">
        <v>3.22</v>
      </c>
      <c r="H1366">
        <v>50265</v>
      </c>
      <c r="I1366">
        <v>4.33</v>
      </c>
      <c r="J1366">
        <v>812.75</v>
      </c>
      <c r="K1366" t="s">
        <v>117</v>
      </c>
    </row>
    <row r="1367" spans="1:11">
      <c r="A1367" t="str">
        <f>"002909"</f>
        <v>002909</v>
      </c>
      <c r="B1367" t="s">
        <v>1679</v>
      </c>
      <c r="C1367">
        <v>28.19</v>
      </c>
      <c r="D1367">
        <v>22.52</v>
      </c>
      <c r="E1367">
        <v>8.99</v>
      </c>
      <c r="F1367">
        <v>3.9</v>
      </c>
      <c r="G1367">
        <v>3.81</v>
      </c>
      <c r="H1367">
        <v>30595</v>
      </c>
      <c r="I1367">
        <v>3.21</v>
      </c>
      <c r="J1367" t="s">
        <v>14</v>
      </c>
      <c r="K1367" t="s">
        <v>1454</v>
      </c>
    </row>
    <row r="1368" spans="1:11">
      <c r="A1368" t="str">
        <f>"002910"</f>
        <v>002910</v>
      </c>
      <c r="B1368" t="s">
        <v>1680</v>
      </c>
      <c r="C1368">
        <v>20.84</v>
      </c>
      <c r="D1368">
        <v>23.23</v>
      </c>
      <c r="E1368">
        <v>10.43</v>
      </c>
      <c r="F1368">
        <v>1.96</v>
      </c>
      <c r="G1368">
        <v>1.71</v>
      </c>
      <c r="H1368">
        <v>18076</v>
      </c>
      <c r="I1368">
        <v>2.28</v>
      </c>
      <c r="J1368" t="s">
        <v>14</v>
      </c>
      <c r="K1368" t="s">
        <v>699</v>
      </c>
    </row>
    <row r="1369" spans="1:11">
      <c r="A1369" t="str">
        <f>"002911"</f>
        <v>002911</v>
      </c>
      <c r="B1369" t="s">
        <v>1681</v>
      </c>
      <c r="C1369">
        <v>157.16</v>
      </c>
      <c r="D1369">
        <v>210.52</v>
      </c>
      <c r="E1369">
        <v>85.63</v>
      </c>
      <c r="F1369">
        <v>12.98</v>
      </c>
      <c r="G1369">
        <v>12.69</v>
      </c>
      <c r="H1369">
        <v>24000</v>
      </c>
      <c r="I1369">
        <v>3.37</v>
      </c>
      <c r="J1369">
        <v>24.59</v>
      </c>
      <c r="K1369" t="s">
        <v>136</v>
      </c>
    </row>
    <row r="1370" spans="1:11">
      <c r="A1370" t="str">
        <f>"002912"</f>
        <v>002912</v>
      </c>
      <c r="B1370" t="s">
        <v>1682</v>
      </c>
      <c r="C1370">
        <v>55.89</v>
      </c>
      <c r="D1370">
        <v>19.74</v>
      </c>
      <c r="E1370">
        <v>16.37</v>
      </c>
      <c r="F1370">
        <v>1.71</v>
      </c>
      <c r="G1370">
        <v>1.62</v>
      </c>
      <c r="H1370">
        <v>23881</v>
      </c>
      <c r="I1370">
        <v>3.59</v>
      </c>
      <c r="J1370" t="s">
        <v>14</v>
      </c>
      <c r="K1370" t="s">
        <v>88</v>
      </c>
    </row>
    <row r="1371" spans="1:11">
      <c r="A1371" t="str">
        <f>"002913"</f>
        <v>002913</v>
      </c>
      <c r="B1371" t="s">
        <v>1683</v>
      </c>
      <c r="C1371">
        <v>121.91</v>
      </c>
      <c r="D1371">
        <v>83.97</v>
      </c>
      <c r="E1371">
        <v>44.13</v>
      </c>
      <c r="F1371">
        <v>3.17</v>
      </c>
      <c r="G1371">
        <v>2.99</v>
      </c>
      <c r="H1371">
        <v>14451</v>
      </c>
      <c r="I1371">
        <v>2.93</v>
      </c>
      <c r="J1371">
        <v>34.38</v>
      </c>
      <c r="K1371" t="s">
        <v>472</v>
      </c>
    </row>
    <row r="1372" spans="1:11">
      <c r="A1372" t="str">
        <f>"002915"</f>
        <v>002915</v>
      </c>
      <c r="B1372" t="s">
        <v>1684</v>
      </c>
      <c r="C1372">
        <v>68.51</v>
      </c>
      <c r="D1372">
        <v>34.36</v>
      </c>
      <c r="E1372">
        <v>13.07</v>
      </c>
      <c r="F1372">
        <v>3.25</v>
      </c>
      <c r="G1372">
        <v>2.88</v>
      </c>
      <c r="H1372">
        <v>66990</v>
      </c>
      <c r="I1372">
        <v>5.92</v>
      </c>
      <c r="J1372">
        <v>741.99</v>
      </c>
      <c r="K1372" t="s">
        <v>1115</v>
      </c>
    </row>
    <row r="1373" spans="1:11">
      <c r="A1373" t="str">
        <f>"002916"</f>
        <v>002916</v>
      </c>
      <c r="B1373" t="s">
        <v>1685</v>
      </c>
      <c r="C1373">
        <v>1481.8</v>
      </c>
      <c r="D1373">
        <v>287.74</v>
      </c>
      <c r="E1373">
        <v>161.84</v>
      </c>
      <c r="F1373">
        <v>6.67</v>
      </c>
      <c r="G1373">
        <v>6.65</v>
      </c>
      <c r="H1373">
        <v>39473</v>
      </c>
      <c r="I1373">
        <v>9.18</v>
      </c>
      <c r="J1373">
        <v>47.91</v>
      </c>
      <c r="K1373" t="s">
        <v>472</v>
      </c>
    </row>
    <row r="1374" spans="1:11">
      <c r="A1374" t="str">
        <f>"002917"</f>
        <v>002917</v>
      </c>
      <c r="B1374" t="s">
        <v>1686</v>
      </c>
      <c r="C1374">
        <v>35.95</v>
      </c>
      <c r="D1374">
        <v>32.11</v>
      </c>
      <c r="E1374">
        <v>16.8</v>
      </c>
      <c r="F1374">
        <v>3.48</v>
      </c>
      <c r="G1374">
        <v>2.6</v>
      </c>
      <c r="H1374">
        <v>36590</v>
      </c>
      <c r="I1374">
        <v>2.85</v>
      </c>
      <c r="J1374">
        <v>27.08</v>
      </c>
      <c r="K1374" t="s">
        <v>793</v>
      </c>
    </row>
    <row r="1375" spans="1:11">
      <c r="A1375" t="str">
        <f>"002918"</f>
        <v>002918</v>
      </c>
      <c r="B1375" t="s">
        <v>1687</v>
      </c>
      <c r="C1375">
        <v>35.12</v>
      </c>
      <c r="D1375">
        <v>73.98</v>
      </c>
      <c r="E1375">
        <v>33.32</v>
      </c>
      <c r="F1375">
        <v>4.09</v>
      </c>
      <c r="G1375">
        <v>2.13</v>
      </c>
      <c r="H1375">
        <v>15822</v>
      </c>
      <c r="I1375">
        <v>2.06</v>
      </c>
      <c r="J1375">
        <v>62.77</v>
      </c>
      <c r="K1375" t="s">
        <v>935</v>
      </c>
    </row>
    <row r="1376" spans="1:11">
      <c r="A1376" t="str">
        <f>"002919"</f>
        <v>002919</v>
      </c>
      <c r="B1376" t="s">
        <v>1688</v>
      </c>
      <c r="C1376">
        <v>61.81</v>
      </c>
      <c r="D1376">
        <v>11.72</v>
      </c>
      <c r="E1376">
        <v>8.22</v>
      </c>
      <c r="F1376">
        <v>2.67</v>
      </c>
      <c r="G1376">
        <v>2.64</v>
      </c>
      <c r="H1376">
        <v>17452</v>
      </c>
      <c r="I1376">
        <v>7.58</v>
      </c>
      <c r="J1376">
        <v>109.84</v>
      </c>
      <c r="K1376" t="s">
        <v>950</v>
      </c>
    </row>
    <row r="1377" spans="1:11">
      <c r="A1377" t="str">
        <f>"002920"</f>
        <v>002920</v>
      </c>
      <c r="B1377" t="s">
        <v>1689</v>
      </c>
      <c r="C1377">
        <v>744.19</v>
      </c>
      <c r="D1377">
        <v>272.42</v>
      </c>
      <c r="E1377">
        <v>146.43</v>
      </c>
      <c r="F1377">
        <v>5.97</v>
      </c>
      <c r="G1377">
        <v>5.55</v>
      </c>
      <c r="H1377">
        <v>56502</v>
      </c>
      <c r="I1377">
        <v>5.08</v>
      </c>
      <c r="J1377">
        <v>33.59</v>
      </c>
      <c r="K1377" t="s">
        <v>530</v>
      </c>
    </row>
    <row r="1378" spans="1:11">
      <c r="A1378" t="str">
        <f>"002921"</f>
        <v>002921</v>
      </c>
      <c r="B1378" t="s">
        <v>1690</v>
      </c>
      <c r="C1378">
        <v>24.06</v>
      </c>
      <c r="D1378">
        <v>23.45</v>
      </c>
      <c r="E1378">
        <v>13.24</v>
      </c>
      <c r="F1378">
        <v>1.49</v>
      </c>
      <c r="G1378">
        <v>1.29</v>
      </c>
      <c r="H1378">
        <v>19656</v>
      </c>
      <c r="I1378">
        <v>2.11</v>
      </c>
      <c r="J1378" t="s">
        <v>14</v>
      </c>
      <c r="K1378" t="s">
        <v>517</v>
      </c>
    </row>
    <row r="1379" spans="1:11">
      <c r="A1379" t="str">
        <f>"002922"</f>
        <v>002922</v>
      </c>
      <c r="B1379" t="s">
        <v>1691</v>
      </c>
      <c r="C1379">
        <v>143.84</v>
      </c>
      <c r="D1379">
        <v>84.24</v>
      </c>
      <c r="E1379">
        <v>37.8</v>
      </c>
      <c r="F1379">
        <v>4.23</v>
      </c>
      <c r="G1379">
        <v>3.74</v>
      </c>
      <c r="H1379">
        <v>31250</v>
      </c>
      <c r="I1379">
        <v>4.31</v>
      </c>
      <c r="J1379">
        <v>68.59</v>
      </c>
      <c r="K1379" t="s">
        <v>208</v>
      </c>
    </row>
    <row r="1380" spans="1:11">
      <c r="A1380" t="str">
        <f>"002923"</f>
        <v>002923</v>
      </c>
      <c r="B1380" t="s">
        <v>1692</v>
      </c>
      <c r="C1380">
        <v>32.62</v>
      </c>
      <c r="D1380">
        <v>20.73</v>
      </c>
      <c r="E1380">
        <v>10.47</v>
      </c>
      <c r="F1380">
        <v>3.35</v>
      </c>
      <c r="G1380">
        <v>2.58</v>
      </c>
      <c r="H1380">
        <v>19438</v>
      </c>
      <c r="I1380">
        <v>4.04</v>
      </c>
      <c r="J1380" t="s">
        <v>14</v>
      </c>
      <c r="K1380" t="s">
        <v>109</v>
      </c>
    </row>
    <row r="1381" spans="1:11">
      <c r="A1381" t="str">
        <f>"002925"</f>
        <v>002925</v>
      </c>
      <c r="B1381" t="s">
        <v>1693</v>
      </c>
      <c r="C1381">
        <v>153.48</v>
      </c>
      <c r="D1381">
        <v>75.41</v>
      </c>
      <c r="E1381">
        <v>46.56</v>
      </c>
      <c r="F1381">
        <v>7.77</v>
      </c>
      <c r="G1381">
        <v>7.37</v>
      </c>
      <c r="H1381">
        <v>55329</v>
      </c>
      <c r="I1381">
        <v>3.48</v>
      </c>
      <c r="J1381">
        <v>68.21</v>
      </c>
      <c r="K1381" t="s">
        <v>41</v>
      </c>
    </row>
    <row r="1382" spans="1:11">
      <c r="A1382" t="str">
        <f>"002926"</f>
        <v>002926</v>
      </c>
      <c r="B1382" t="s">
        <v>1694</v>
      </c>
      <c r="C1382">
        <v>244.39</v>
      </c>
      <c r="D1382">
        <v>1137.25</v>
      </c>
      <c r="E1382">
        <v>244.11</v>
      </c>
      <c r="F1382">
        <v>26.25</v>
      </c>
      <c r="G1382">
        <v>26.25</v>
      </c>
      <c r="H1382">
        <v>90368</v>
      </c>
      <c r="I1382">
        <v>1</v>
      </c>
      <c r="J1382">
        <v>17.3</v>
      </c>
      <c r="K1382" t="s">
        <v>120</v>
      </c>
    </row>
    <row r="1383" spans="1:11">
      <c r="A1383" t="str">
        <f>"002927"</f>
        <v>002927</v>
      </c>
      <c r="B1383" t="s">
        <v>1695</v>
      </c>
      <c r="C1383">
        <v>49.16</v>
      </c>
      <c r="D1383">
        <v>16.38</v>
      </c>
      <c r="E1383">
        <v>10.35</v>
      </c>
      <c r="F1383">
        <v>2.23</v>
      </c>
      <c r="G1383">
        <v>2.21</v>
      </c>
      <c r="H1383">
        <v>34838</v>
      </c>
      <c r="I1383">
        <v>4.8</v>
      </c>
      <c r="J1383">
        <v>112.08</v>
      </c>
      <c r="K1383" t="s">
        <v>943</v>
      </c>
    </row>
    <row r="1384" spans="1:11">
      <c r="A1384" t="str">
        <f>"002928"</f>
        <v>002928</v>
      </c>
      <c r="B1384" t="s">
        <v>1696</v>
      </c>
      <c r="C1384">
        <v>134.21</v>
      </c>
      <c r="D1384">
        <v>236.9</v>
      </c>
      <c r="E1384">
        <v>39.9</v>
      </c>
      <c r="F1384">
        <v>12.78</v>
      </c>
      <c r="G1384">
        <v>12.78</v>
      </c>
      <c r="H1384">
        <v>21116</v>
      </c>
      <c r="I1384">
        <v>3.36</v>
      </c>
      <c r="J1384">
        <v>16.24</v>
      </c>
      <c r="K1384" t="s">
        <v>104</v>
      </c>
    </row>
    <row r="1385" spans="1:11">
      <c r="A1385" t="str">
        <f>"002929"</f>
        <v>002929</v>
      </c>
      <c r="B1385" t="s">
        <v>1697</v>
      </c>
      <c r="C1385">
        <v>102.96</v>
      </c>
      <c r="D1385">
        <v>215.02</v>
      </c>
      <c r="E1385">
        <v>63.2</v>
      </c>
      <c r="F1385">
        <v>2.84</v>
      </c>
      <c r="G1385">
        <v>2.11</v>
      </c>
      <c r="H1385">
        <v>49588</v>
      </c>
      <c r="I1385">
        <v>2.2</v>
      </c>
      <c r="J1385">
        <v>1618.72</v>
      </c>
      <c r="K1385" t="s">
        <v>1698</v>
      </c>
    </row>
    <row r="1386" spans="1:11">
      <c r="A1386" t="str">
        <f>"002930"</f>
        <v>002930</v>
      </c>
      <c r="B1386" t="s">
        <v>1699</v>
      </c>
      <c r="C1386">
        <v>46.95</v>
      </c>
      <c r="D1386">
        <v>92.49</v>
      </c>
      <c r="E1386">
        <v>24.82</v>
      </c>
      <c r="F1386">
        <v>4.57</v>
      </c>
      <c r="G1386">
        <v>4.33</v>
      </c>
      <c r="H1386">
        <v>17733</v>
      </c>
      <c r="I1386">
        <v>2.13</v>
      </c>
      <c r="J1386" t="s">
        <v>14</v>
      </c>
      <c r="K1386" t="s">
        <v>1277</v>
      </c>
    </row>
    <row r="1387" spans="1:11">
      <c r="A1387" t="str">
        <f>"002931"</f>
        <v>002931</v>
      </c>
      <c r="B1387" t="s">
        <v>1700</v>
      </c>
      <c r="C1387">
        <v>123.96</v>
      </c>
      <c r="D1387">
        <v>11.3</v>
      </c>
      <c r="E1387">
        <v>9.5</v>
      </c>
      <c r="F1387">
        <v>2.19</v>
      </c>
      <c r="G1387">
        <v>2.01</v>
      </c>
      <c r="H1387">
        <v>17437</v>
      </c>
      <c r="I1387">
        <v>14.21</v>
      </c>
      <c r="J1387">
        <v>470.58</v>
      </c>
      <c r="K1387" t="s">
        <v>424</v>
      </c>
    </row>
    <row r="1388" spans="1:11">
      <c r="A1388" t="str">
        <f>"002932"</f>
        <v>002932</v>
      </c>
      <c r="B1388" t="s">
        <v>1701</v>
      </c>
      <c r="C1388">
        <v>29.75</v>
      </c>
      <c r="D1388">
        <v>61.01</v>
      </c>
      <c r="E1388">
        <v>55.61</v>
      </c>
      <c r="F1388">
        <v>2.33</v>
      </c>
      <c r="G1388">
        <v>1.56</v>
      </c>
      <c r="H1388">
        <v>29387</v>
      </c>
      <c r="I1388">
        <v>0.8</v>
      </c>
      <c r="J1388">
        <v>245.93</v>
      </c>
      <c r="K1388" t="s">
        <v>775</v>
      </c>
    </row>
    <row r="1389" spans="1:11">
      <c r="A1389" t="str">
        <f>"002933"</f>
        <v>002933</v>
      </c>
      <c r="B1389" t="s">
        <v>1702</v>
      </c>
      <c r="C1389">
        <v>41.39</v>
      </c>
      <c r="D1389">
        <v>23.98</v>
      </c>
      <c r="E1389">
        <v>15.3</v>
      </c>
      <c r="F1389">
        <v>1.17</v>
      </c>
      <c r="G1389">
        <v>1.14</v>
      </c>
      <c r="H1389">
        <v>21527</v>
      </c>
      <c r="I1389">
        <v>2.78</v>
      </c>
      <c r="J1389">
        <v>109.67</v>
      </c>
      <c r="K1389" t="s">
        <v>353</v>
      </c>
    </row>
    <row r="1390" spans="1:11">
      <c r="A1390" t="str">
        <f>"002935"</f>
        <v>002935</v>
      </c>
      <c r="B1390" t="s">
        <v>1703</v>
      </c>
      <c r="C1390">
        <v>108.67</v>
      </c>
      <c r="D1390">
        <v>28.65</v>
      </c>
      <c r="E1390">
        <v>15.82</v>
      </c>
      <c r="F1390">
        <v>4.24</v>
      </c>
      <c r="G1390">
        <v>4.15</v>
      </c>
      <c r="H1390">
        <v>20697</v>
      </c>
      <c r="I1390">
        <v>7.02</v>
      </c>
      <c r="J1390">
        <v>547.01</v>
      </c>
      <c r="K1390" t="s">
        <v>223</v>
      </c>
    </row>
    <row r="1391" spans="1:11">
      <c r="A1391" t="str">
        <f>"002936"</f>
        <v>002936</v>
      </c>
      <c r="B1391" t="s">
        <v>1704</v>
      </c>
      <c r="C1391">
        <v>136.37</v>
      </c>
      <c r="D1391">
        <v>7435.52</v>
      </c>
      <c r="E1391">
        <v>557.44</v>
      </c>
      <c r="F1391">
        <v>90.92</v>
      </c>
      <c r="G1391">
        <v>70.29</v>
      </c>
      <c r="H1391">
        <v>108364</v>
      </c>
      <c r="I1391">
        <v>0.39</v>
      </c>
      <c r="J1391">
        <v>5.8</v>
      </c>
      <c r="K1391" t="s">
        <v>643</v>
      </c>
    </row>
    <row r="1392" spans="1:11">
      <c r="A1392" t="str">
        <f>"002937"</f>
        <v>002937</v>
      </c>
      <c r="B1392" t="s">
        <v>1705</v>
      </c>
      <c r="C1392">
        <v>69.67</v>
      </c>
      <c r="D1392">
        <v>25.42</v>
      </c>
      <c r="E1392">
        <v>16.03</v>
      </c>
      <c r="F1392">
        <v>2.98</v>
      </c>
      <c r="G1392">
        <v>2.97</v>
      </c>
      <c r="H1392">
        <v>19245</v>
      </c>
      <c r="I1392">
        <v>4.58</v>
      </c>
      <c r="J1392">
        <v>44.21</v>
      </c>
      <c r="K1392" t="s">
        <v>41</v>
      </c>
    </row>
    <row r="1393" spans="1:11">
      <c r="A1393" t="str">
        <f>"002938"</f>
        <v>002938</v>
      </c>
      <c r="B1393" t="s">
        <v>1706</v>
      </c>
      <c r="C1393">
        <v>1260.23</v>
      </c>
      <c r="D1393">
        <v>479.25</v>
      </c>
      <c r="E1393">
        <v>326.66</v>
      </c>
      <c r="F1393">
        <v>23.18</v>
      </c>
      <c r="G1393">
        <v>23.09</v>
      </c>
      <c r="H1393">
        <v>75458</v>
      </c>
      <c r="I1393">
        <v>3.87</v>
      </c>
      <c r="J1393">
        <v>39.41</v>
      </c>
      <c r="K1393" t="s">
        <v>472</v>
      </c>
    </row>
    <row r="1394" spans="1:11">
      <c r="A1394" t="str">
        <f>"002939"</f>
        <v>002939</v>
      </c>
      <c r="B1394" t="s">
        <v>1707</v>
      </c>
      <c r="C1394">
        <v>371.79</v>
      </c>
      <c r="D1394">
        <v>1359.64</v>
      </c>
      <c r="E1394">
        <v>315.82</v>
      </c>
      <c r="F1394">
        <v>40.34</v>
      </c>
      <c r="G1394">
        <v>36.03</v>
      </c>
      <c r="H1394">
        <v>120937</v>
      </c>
      <c r="I1394">
        <v>1.32</v>
      </c>
      <c r="J1394">
        <v>16.17</v>
      </c>
      <c r="K1394" t="s">
        <v>120</v>
      </c>
    </row>
    <row r="1395" spans="1:11">
      <c r="A1395" t="str">
        <f>"002940"</f>
        <v>002940</v>
      </c>
      <c r="B1395" t="s">
        <v>1708</v>
      </c>
      <c r="C1395">
        <v>67.59</v>
      </c>
      <c r="D1395">
        <v>29.22</v>
      </c>
      <c r="E1395">
        <v>15.94</v>
      </c>
      <c r="F1395">
        <v>2.02</v>
      </c>
      <c r="G1395">
        <v>1.85</v>
      </c>
      <c r="H1395">
        <v>28533</v>
      </c>
      <c r="I1395">
        <v>4.62</v>
      </c>
      <c r="J1395">
        <v>71.04</v>
      </c>
      <c r="K1395" t="s">
        <v>109</v>
      </c>
    </row>
    <row r="1396" spans="1:11">
      <c r="A1396" t="str">
        <f>"002941"</f>
        <v>002941</v>
      </c>
      <c r="B1396" t="s">
        <v>1709</v>
      </c>
      <c r="C1396">
        <v>120.77</v>
      </c>
      <c r="D1396">
        <v>208.46</v>
      </c>
      <c r="E1396">
        <v>47</v>
      </c>
      <c r="F1396">
        <v>7.3</v>
      </c>
      <c r="G1396">
        <v>7.3</v>
      </c>
      <c r="H1396">
        <v>84350</v>
      </c>
      <c r="I1396">
        <v>2.57</v>
      </c>
      <c r="J1396">
        <v>20.16</v>
      </c>
      <c r="K1396" t="s">
        <v>100</v>
      </c>
    </row>
    <row r="1397" spans="1:11">
      <c r="A1397" t="str">
        <f>"002942"</f>
        <v>002942</v>
      </c>
      <c r="B1397" t="s">
        <v>1710</v>
      </c>
      <c r="C1397">
        <v>28.21</v>
      </c>
      <c r="D1397">
        <v>16.94</v>
      </c>
      <c r="E1397">
        <v>12.3</v>
      </c>
      <c r="F1397">
        <v>1.56</v>
      </c>
      <c r="G1397">
        <v>1.37</v>
      </c>
      <c r="H1397">
        <v>9330</v>
      </c>
      <c r="I1397">
        <v>2.61</v>
      </c>
      <c r="J1397">
        <v>23.26</v>
      </c>
      <c r="K1397" t="s">
        <v>196</v>
      </c>
    </row>
    <row r="1398" spans="1:11">
      <c r="A1398" t="str">
        <f>"002943"</f>
        <v>002943</v>
      </c>
      <c r="B1398" t="s">
        <v>1711</v>
      </c>
      <c r="C1398">
        <v>72.62</v>
      </c>
      <c r="D1398">
        <v>27.98</v>
      </c>
      <c r="E1398">
        <v>8.93</v>
      </c>
      <c r="F1398">
        <v>2.05</v>
      </c>
      <c r="G1398">
        <v>1.32</v>
      </c>
      <c r="H1398">
        <v>10823</v>
      </c>
      <c r="I1398">
        <v>12.61</v>
      </c>
      <c r="J1398">
        <v>373.78</v>
      </c>
      <c r="K1398" t="s">
        <v>141</v>
      </c>
    </row>
    <row r="1399" spans="1:11">
      <c r="A1399" t="str">
        <f>"002945"</f>
        <v>002945</v>
      </c>
      <c r="B1399" t="s">
        <v>1712</v>
      </c>
      <c r="C1399">
        <v>545.4</v>
      </c>
      <c r="D1399">
        <v>306.16</v>
      </c>
      <c r="E1399">
        <v>71.98</v>
      </c>
      <c r="F1399">
        <v>27</v>
      </c>
      <c r="G1399">
        <v>27</v>
      </c>
      <c r="H1399">
        <v>52798</v>
      </c>
      <c r="I1399">
        <v>7.58</v>
      </c>
      <c r="J1399">
        <v>92.95</v>
      </c>
      <c r="K1399" t="s">
        <v>120</v>
      </c>
    </row>
    <row r="1400" spans="1:11">
      <c r="A1400" t="str">
        <f>"002946"</f>
        <v>002946</v>
      </c>
      <c r="B1400" t="s">
        <v>1713</v>
      </c>
      <c r="C1400">
        <v>153.21</v>
      </c>
      <c r="D1400">
        <v>93.77</v>
      </c>
      <c r="E1400">
        <v>36.8</v>
      </c>
      <c r="F1400">
        <v>8.61</v>
      </c>
      <c r="G1400">
        <v>8.51</v>
      </c>
      <c r="H1400">
        <v>13366</v>
      </c>
      <c r="I1400">
        <v>4.33</v>
      </c>
      <c r="J1400">
        <v>18.67</v>
      </c>
      <c r="K1400" t="s">
        <v>699</v>
      </c>
    </row>
    <row r="1401" spans="1:11">
      <c r="A1401" t="str">
        <f>"002947"</f>
        <v>002947</v>
      </c>
      <c r="B1401" t="s">
        <v>1714</v>
      </c>
      <c r="C1401">
        <v>95.22</v>
      </c>
      <c r="D1401">
        <v>42.91</v>
      </c>
      <c r="E1401">
        <v>32.61</v>
      </c>
      <c r="F1401">
        <v>2.56</v>
      </c>
      <c r="G1401">
        <v>1.93</v>
      </c>
      <c r="H1401">
        <v>18671</v>
      </c>
      <c r="I1401">
        <v>3.88</v>
      </c>
      <c r="J1401">
        <v>23.29</v>
      </c>
      <c r="K1401" t="s">
        <v>41</v>
      </c>
    </row>
    <row r="1402" spans="1:11">
      <c r="A1402" t="str">
        <f>"002948"</f>
        <v>002948</v>
      </c>
      <c r="B1402" t="s">
        <v>1715</v>
      </c>
      <c r="C1402">
        <v>136.64</v>
      </c>
      <c r="D1402">
        <v>7655.71</v>
      </c>
      <c r="E1402">
        <v>461.03</v>
      </c>
      <c r="F1402">
        <v>58.2</v>
      </c>
      <c r="G1402">
        <v>31.12</v>
      </c>
      <c r="H1402">
        <v>46057</v>
      </c>
      <c r="I1402">
        <v>0.64</v>
      </c>
      <c r="J1402">
        <v>4.8</v>
      </c>
      <c r="K1402" t="s">
        <v>643</v>
      </c>
    </row>
    <row r="1403" spans="1:11">
      <c r="A1403" t="str">
        <f>"002949"</f>
        <v>002949</v>
      </c>
      <c r="B1403" t="s">
        <v>1716</v>
      </c>
      <c r="C1403">
        <v>23.27</v>
      </c>
      <c r="D1403">
        <v>29.68</v>
      </c>
      <c r="E1403">
        <v>15.59</v>
      </c>
      <c r="F1403">
        <v>1.96</v>
      </c>
      <c r="G1403">
        <v>1.52</v>
      </c>
      <c r="H1403">
        <v>12694</v>
      </c>
      <c r="I1403">
        <v>2.08</v>
      </c>
      <c r="J1403">
        <v>31.9</v>
      </c>
      <c r="K1403" t="s">
        <v>428</v>
      </c>
    </row>
    <row r="1404" spans="1:11">
      <c r="A1404" t="str">
        <f>"002950"</f>
        <v>002950</v>
      </c>
      <c r="B1404" t="s">
        <v>1717</v>
      </c>
      <c r="C1404">
        <v>53.74</v>
      </c>
      <c r="D1404">
        <v>53.53</v>
      </c>
      <c r="E1404">
        <v>37.31</v>
      </c>
      <c r="F1404">
        <v>6.33</v>
      </c>
      <c r="G1404">
        <v>4.52</v>
      </c>
      <c r="H1404">
        <v>37774</v>
      </c>
      <c r="I1404">
        <v>2.02</v>
      </c>
      <c r="J1404">
        <v>16.19</v>
      </c>
      <c r="K1404" t="s">
        <v>1173</v>
      </c>
    </row>
    <row r="1405" spans="1:11">
      <c r="A1405" t="str">
        <f>"002951"</f>
        <v>002951</v>
      </c>
      <c r="B1405" t="s">
        <v>1718</v>
      </c>
      <c r="C1405">
        <v>58.28</v>
      </c>
      <c r="D1405">
        <v>20.45</v>
      </c>
      <c r="E1405">
        <v>16.78</v>
      </c>
      <c r="F1405">
        <v>4.05</v>
      </c>
      <c r="G1405">
        <v>4.01</v>
      </c>
      <c r="H1405">
        <v>21813</v>
      </c>
      <c r="I1405">
        <v>3.51</v>
      </c>
      <c r="J1405" t="s">
        <v>14</v>
      </c>
      <c r="K1405" t="s">
        <v>460</v>
      </c>
    </row>
    <row r="1406" spans="1:11">
      <c r="A1406" t="str">
        <f>"002952"</f>
        <v>002952</v>
      </c>
      <c r="B1406" t="s">
        <v>1719</v>
      </c>
      <c r="C1406">
        <v>27.91</v>
      </c>
      <c r="D1406">
        <v>11.43</v>
      </c>
      <c r="E1406">
        <v>8.7</v>
      </c>
      <c r="F1406">
        <v>1.64</v>
      </c>
      <c r="G1406">
        <v>1.32</v>
      </c>
      <c r="H1406">
        <v>21091</v>
      </c>
      <c r="I1406">
        <v>4.01</v>
      </c>
      <c r="J1406">
        <v>209.11</v>
      </c>
      <c r="K1406" t="s">
        <v>39</v>
      </c>
    </row>
    <row r="1407" spans="1:11">
      <c r="A1407" t="str">
        <f>"002953"</f>
        <v>002953</v>
      </c>
      <c r="B1407" t="s">
        <v>1720</v>
      </c>
      <c r="C1407">
        <v>25.76</v>
      </c>
      <c r="D1407">
        <v>36.2</v>
      </c>
      <c r="E1407">
        <v>19.41</v>
      </c>
      <c r="F1407">
        <v>4.92</v>
      </c>
      <c r="G1407">
        <v>2.13</v>
      </c>
      <c r="H1407">
        <v>40583</v>
      </c>
      <c r="I1407">
        <v>2.85</v>
      </c>
      <c r="J1407">
        <v>32.12</v>
      </c>
      <c r="K1407" t="s">
        <v>383</v>
      </c>
    </row>
    <row r="1408" spans="1:11">
      <c r="A1408" t="str">
        <f>"002955"</f>
        <v>002955</v>
      </c>
      <c r="B1408" t="s">
        <v>1721</v>
      </c>
      <c r="C1408">
        <v>57.49</v>
      </c>
      <c r="D1408">
        <v>46.42</v>
      </c>
      <c r="E1408">
        <v>32.87</v>
      </c>
      <c r="F1408">
        <v>2.37</v>
      </c>
      <c r="G1408">
        <v>1.96</v>
      </c>
      <c r="H1408">
        <v>16851</v>
      </c>
      <c r="I1408">
        <v>2.11</v>
      </c>
      <c r="J1408">
        <v>63.17</v>
      </c>
      <c r="K1408" t="s">
        <v>689</v>
      </c>
    </row>
    <row r="1409" spans="1:11">
      <c r="A1409" t="str">
        <f>"002956"</f>
        <v>002956</v>
      </c>
      <c r="B1409" t="s">
        <v>1722</v>
      </c>
      <c r="C1409">
        <v>60.69</v>
      </c>
      <c r="D1409">
        <v>21.33</v>
      </c>
      <c r="E1409">
        <v>15.62</v>
      </c>
      <c r="F1409">
        <v>2.23</v>
      </c>
      <c r="G1409">
        <v>2.23</v>
      </c>
      <c r="H1409">
        <v>9682</v>
      </c>
      <c r="I1409">
        <v>3.89</v>
      </c>
      <c r="J1409">
        <v>34.47</v>
      </c>
      <c r="K1409" t="s">
        <v>376</v>
      </c>
    </row>
    <row r="1410" spans="1:11">
      <c r="A1410" t="str">
        <f>"002957"</f>
        <v>002957</v>
      </c>
      <c r="B1410" t="s">
        <v>1723</v>
      </c>
      <c r="C1410">
        <v>97.8</v>
      </c>
      <c r="D1410">
        <v>63.74</v>
      </c>
      <c r="E1410">
        <v>32.03</v>
      </c>
      <c r="F1410">
        <v>4.2</v>
      </c>
      <c r="G1410">
        <v>4.19</v>
      </c>
      <c r="H1410">
        <v>34618</v>
      </c>
      <c r="I1410">
        <v>3.06</v>
      </c>
      <c r="J1410">
        <v>29.8</v>
      </c>
      <c r="K1410" t="s">
        <v>663</v>
      </c>
    </row>
    <row r="1411" spans="1:11">
      <c r="A1411" t="str">
        <f>"002958"</f>
        <v>002958</v>
      </c>
      <c r="B1411" t="s">
        <v>1724</v>
      </c>
      <c r="C1411">
        <v>170.26</v>
      </c>
      <c r="D1411">
        <v>5099.2</v>
      </c>
      <c r="E1411">
        <v>471.56</v>
      </c>
      <c r="F1411">
        <v>55.56</v>
      </c>
      <c r="G1411">
        <v>54.4</v>
      </c>
      <c r="H1411">
        <v>75576</v>
      </c>
      <c r="I1411">
        <v>0.47</v>
      </c>
      <c r="J1411">
        <v>3.93</v>
      </c>
      <c r="K1411" t="s">
        <v>1581</v>
      </c>
    </row>
    <row r="1412" spans="1:11">
      <c r="A1412" t="str">
        <f>"002959"</f>
        <v>002959</v>
      </c>
      <c r="B1412" t="s">
        <v>1725</v>
      </c>
      <c r="C1412">
        <v>66.8</v>
      </c>
      <c r="D1412">
        <v>55.49</v>
      </c>
      <c r="E1412">
        <v>29.2</v>
      </c>
      <c r="F1412">
        <v>1.57</v>
      </c>
      <c r="G1412">
        <v>1.52</v>
      </c>
      <c r="H1412">
        <v>22592</v>
      </c>
      <c r="I1412">
        <v>2.43</v>
      </c>
      <c r="J1412">
        <v>21.09</v>
      </c>
      <c r="K1412" t="s">
        <v>660</v>
      </c>
    </row>
    <row r="1413" spans="1:11">
      <c r="A1413" t="str">
        <f>"002960"</f>
        <v>002960</v>
      </c>
      <c r="B1413" t="s">
        <v>1726</v>
      </c>
      <c r="C1413">
        <v>83.67</v>
      </c>
      <c r="D1413">
        <v>97.28</v>
      </c>
      <c r="E1413">
        <v>62.99</v>
      </c>
      <c r="F1413">
        <v>8.75</v>
      </c>
      <c r="G1413">
        <v>7.48</v>
      </c>
      <c r="H1413">
        <v>32868</v>
      </c>
      <c r="I1413">
        <v>1.56</v>
      </c>
      <c r="J1413">
        <v>30.86</v>
      </c>
      <c r="K1413" t="s">
        <v>1155</v>
      </c>
    </row>
    <row r="1414" spans="1:11">
      <c r="A1414" t="str">
        <f>"002961"</f>
        <v>002961</v>
      </c>
      <c r="B1414" t="s">
        <v>1727</v>
      </c>
      <c r="C1414">
        <v>118.72</v>
      </c>
      <c r="D1414">
        <v>204.4</v>
      </c>
      <c r="E1414">
        <v>31.04</v>
      </c>
      <c r="F1414">
        <v>4.68</v>
      </c>
      <c r="G1414">
        <v>4.68</v>
      </c>
      <c r="H1414">
        <v>22701</v>
      </c>
      <c r="I1414">
        <v>3.77</v>
      </c>
      <c r="J1414">
        <v>23.08</v>
      </c>
      <c r="K1414" t="s">
        <v>652</v>
      </c>
    </row>
    <row r="1415" spans="1:11">
      <c r="A1415" t="str">
        <f>"002962"</f>
        <v>002962</v>
      </c>
      <c r="B1415" t="s">
        <v>1728</v>
      </c>
      <c r="C1415">
        <v>30.92</v>
      </c>
      <c r="D1415">
        <v>21.65</v>
      </c>
      <c r="E1415">
        <v>17.71</v>
      </c>
      <c r="F1415">
        <v>2.92</v>
      </c>
      <c r="G1415">
        <v>2.09</v>
      </c>
      <c r="H1415">
        <v>39099</v>
      </c>
      <c r="I1415">
        <v>2.43</v>
      </c>
      <c r="J1415">
        <v>89.04</v>
      </c>
      <c r="K1415" t="s">
        <v>66</v>
      </c>
    </row>
    <row r="1416" spans="1:11">
      <c r="A1416" t="str">
        <f>"002963"</f>
        <v>002963</v>
      </c>
      <c r="B1416" t="s">
        <v>1729</v>
      </c>
      <c r="C1416">
        <v>16.96</v>
      </c>
      <c r="D1416">
        <v>17.29</v>
      </c>
      <c r="E1416">
        <v>12.92</v>
      </c>
      <c r="F1416">
        <v>1.5</v>
      </c>
      <c r="G1416">
        <v>1.14</v>
      </c>
      <c r="H1416">
        <v>14827</v>
      </c>
      <c r="I1416">
        <v>1.73</v>
      </c>
      <c r="J1416" t="s">
        <v>14</v>
      </c>
      <c r="K1416" t="s">
        <v>804</v>
      </c>
    </row>
    <row r="1417" spans="1:11">
      <c r="A1417" t="str">
        <f>"002965"</f>
        <v>002965</v>
      </c>
      <c r="B1417" t="s">
        <v>1730</v>
      </c>
      <c r="C1417">
        <v>81.62</v>
      </c>
      <c r="D1417">
        <v>86.9</v>
      </c>
      <c r="E1417">
        <v>42.66</v>
      </c>
      <c r="F1417">
        <v>2.65</v>
      </c>
      <c r="G1417">
        <v>1.99</v>
      </c>
      <c r="H1417">
        <v>44939</v>
      </c>
      <c r="I1417">
        <v>2.55</v>
      </c>
      <c r="J1417">
        <v>51.37</v>
      </c>
      <c r="K1417" t="s">
        <v>517</v>
      </c>
    </row>
    <row r="1418" spans="1:11">
      <c r="A1418" t="str">
        <f>"002966"</f>
        <v>002966</v>
      </c>
      <c r="B1418" t="s">
        <v>1731</v>
      </c>
      <c r="C1418">
        <v>358.73</v>
      </c>
      <c r="D1418">
        <v>7760.4</v>
      </c>
      <c r="E1418">
        <v>591.53</v>
      </c>
      <c r="F1418">
        <v>44.71</v>
      </c>
      <c r="G1418">
        <v>43.96</v>
      </c>
      <c r="H1418">
        <v>59065</v>
      </c>
      <c r="I1418">
        <v>0.73</v>
      </c>
      <c r="J1418">
        <v>6.11</v>
      </c>
      <c r="K1418" t="s">
        <v>643</v>
      </c>
    </row>
    <row r="1419" spans="1:11">
      <c r="A1419" t="str">
        <f>"002967"</f>
        <v>002967</v>
      </c>
      <c r="B1419" t="s">
        <v>1732</v>
      </c>
      <c r="C1419">
        <v>129.26</v>
      </c>
      <c r="D1419">
        <v>65.57</v>
      </c>
      <c r="E1419">
        <v>34.19</v>
      </c>
      <c r="F1419">
        <v>5.83</v>
      </c>
      <c r="G1419">
        <v>5.4</v>
      </c>
      <c r="H1419">
        <v>29197</v>
      </c>
      <c r="I1419">
        <v>4.08</v>
      </c>
      <c r="J1419">
        <v>43.8</v>
      </c>
      <c r="K1419" t="s">
        <v>1733</v>
      </c>
    </row>
    <row r="1420" spans="1:11">
      <c r="A1420" t="str">
        <f>"002968"</f>
        <v>002968</v>
      </c>
      <c r="B1420" t="s">
        <v>1734</v>
      </c>
      <c r="C1420">
        <v>27.11</v>
      </c>
      <c r="D1420">
        <v>20.3</v>
      </c>
      <c r="E1420">
        <v>12.66</v>
      </c>
      <c r="F1420">
        <v>2.26</v>
      </c>
      <c r="G1420">
        <v>2.13</v>
      </c>
      <c r="H1420">
        <v>15161</v>
      </c>
      <c r="I1420">
        <v>2.27</v>
      </c>
      <c r="J1420">
        <v>20.79</v>
      </c>
      <c r="K1420" t="s">
        <v>28</v>
      </c>
    </row>
    <row r="1421" spans="1:11">
      <c r="A1421" t="str">
        <f>"002969"</f>
        <v>002969</v>
      </c>
      <c r="B1421" t="s">
        <v>1735</v>
      </c>
      <c r="C1421">
        <v>192.91</v>
      </c>
      <c r="D1421">
        <v>43.07</v>
      </c>
      <c r="E1421">
        <v>24.02</v>
      </c>
      <c r="F1421">
        <v>10.05</v>
      </c>
      <c r="G1421">
        <v>9.99</v>
      </c>
      <c r="H1421">
        <v>25481</v>
      </c>
      <c r="I1421">
        <v>8.01</v>
      </c>
      <c r="J1421">
        <v>371.73</v>
      </c>
      <c r="K1421" t="s">
        <v>1164</v>
      </c>
    </row>
    <row r="1422" spans="1:11">
      <c r="A1422" t="str">
        <f>"002970"</f>
        <v>002970</v>
      </c>
      <c r="B1422" t="s">
        <v>1736</v>
      </c>
      <c r="C1422">
        <v>66.34</v>
      </c>
      <c r="D1422">
        <v>31.65</v>
      </c>
      <c r="E1422">
        <v>19.24</v>
      </c>
      <c r="F1422">
        <v>1.81</v>
      </c>
      <c r="G1422">
        <v>1.23</v>
      </c>
      <c r="H1422">
        <v>26704</v>
      </c>
      <c r="I1422">
        <v>5.05</v>
      </c>
      <c r="J1422">
        <v>26.6</v>
      </c>
      <c r="K1422" t="s">
        <v>88</v>
      </c>
    </row>
    <row r="1423" spans="1:11">
      <c r="A1423" t="str">
        <f>"002971"</f>
        <v>002971</v>
      </c>
      <c r="B1423" t="s">
        <v>1737</v>
      </c>
      <c r="C1423">
        <v>48.53</v>
      </c>
      <c r="D1423">
        <v>58.83</v>
      </c>
      <c r="E1423">
        <v>15.95</v>
      </c>
      <c r="F1423">
        <v>2.12</v>
      </c>
      <c r="G1423">
        <v>1.61</v>
      </c>
      <c r="H1423">
        <v>11076</v>
      </c>
      <c r="I1423">
        <v>4</v>
      </c>
      <c r="J1423">
        <v>82.95</v>
      </c>
      <c r="K1423" t="s">
        <v>511</v>
      </c>
    </row>
    <row r="1424" spans="1:11">
      <c r="A1424" t="str">
        <f>"002972"</f>
        <v>002972</v>
      </c>
      <c r="B1424" t="s">
        <v>1738</v>
      </c>
      <c r="C1424">
        <v>16.21</v>
      </c>
      <c r="D1424">
        <v>14.08</v>
      </c>
      <c r="E1424">
        <v>12.01</v>
      </c>
      <c r="F1424">
        <v>2.46</v>
      </c>
      <c r="G1424">
        <v>1.35</v>
      </c>
      <c r="H1424">
        <v>14722</v>
      </c>
      <c r="I1424">
        <v>2.47</v>
      </c>
      <c r="J1424">
        <v>37</v>
      </c>
      <c r="K1424" t="s">
        <v>22</v>
      </c>
    </row>
    <row r="1425" spans="1:11">
      <c r="A1425" t="str">
        <f>"002973"</f>
        <v>002973</v>
      </c>
      <c r="B1425" t="s">
        <v>1739</v>
      </c>
      <c r="C1425">
        <v>44.58</v>
      </c>
      <c r="D1425">
        <v>84.74</v>
      </c>
      <c r="E1425">
        <v>25.46</v>
      </c>
      <c r="F1425">
        <v>4.09</v>
      </c>
      <c r="G1425">
        <v>3.12</v>
      </c>
      <c r="H1425">
        <v>15774</v>
      </c>
      <c r="I1425">
        <v>2.32</v>
      </c>
      <c r="J1425">
        <v>29.21</v>
      </c>
      <c r="K1425" t="s">
        <v>59</v>
      </c>
    </row>
    <row r="1426" spans="1:11">
      <c r="A1426" t="str">
        <f>"002975"</f>
        <v>002975</v>
      </c>
      <c r="B1426" t="s">
        <v>1740</v>
      </c>
      <c r="C1426">
        <v>81.22</v>
      </c>
      <c r="D1426">
        <v>33.52</v>
      </c>
      <c r="E1426">
        <v>22.45</v>
      </c>
      <c r="F1426">
        <v>1.6</v>
      </c>
      <c r="G1426">
        <v>1.06</v>
      </c>
      <c r="H1426">
        <v>21694</v>
      </c>
      <c r="I1426">
        <v>5.48</v>
      </c>
      <c r="J1426">
        <v>87.24</v>
      </c>
      <c r="K1426" t="s">
        <v>663</v>
      </c>
    </row>
    <row r="1427" spans="1:11">
      <c r="A1427" t="str">
        <f>"002976"</f>
        <v>002976</v>
      </c>
      <c r="B1427" t="s">
        <v>1741</v>
      </c>
      <c r="C1427">
        <v>18.75</v>
      </c>
      <c r="D1427">
        <v>23.79</v>
      </c>
      <c r="E1427">
        <v>8.33</v>
      </c>
      <c r="F1427">
        <v>1.5</v>
      </c>
      <c r="G1427">
        <v>0.67</v>
      </c>
      <c r="H1427">
        <v>12979</v>
      </c>
      <c r="I1427">
        <v>4.09</v>
      </c>
      <c r="J1427">
        <v>150.22</v>
      </c>
      <c r="K1427" t="s">
        <v>517</v>
      </c>
    </row>
    <row r="1428" spans="1:11">
      <c r="A1428" t="str">
        <f>"002977"</f>
        <v>002977</v>
      </c>
      <c r="B1428" t="s">
        <v>1742</v>
      </c>
      <c r="C1428">
        <v>24.27</v>
      </c>
      <c r="D1428">
        <v>11.49</v>
      </c>
      <c r="E1428">
        <v>10.47</v>
      </c>
      <c r="F1428">
        <v>1.2</v>
      </c>
      <c r="G1428">
        <v>0.67</v>
      </c>
      <c r="H1428">
        <v>22106</v>
      </c>
      <c r="I1428">
        <v>4.18</v>
      </c>
      <c r="J1428" t="s">
        <v>14</v>
      </c>
      <c r="K1428" t="s">
        <v>223</v>
      </c>
    </row>
    <row r="1429" spans="1:11">
      <c r="A1429" t="str">
        <f>"002978"</f>
        <v>002978</v>
      </c>
      <c r="B1429" t="s">
        <v>1743</v>
      </c>
      <c r="C1429">
        <v>136.19</v>
      </c>
      <c r="D1429">
        <v>166.78</v>
      </c>
      <c r="E1429">
        <v>85.36</v>
      </c>
      <c r="F1429">
        <v>4.72</v>
      </c>
      <c r="G1429">
        <v>3.7</v>
      </c>
      <c r="H1429">
        <v>24628</v>
      </c>
      <c r="I1429">
        <v>2.04</v>
      </c>
      <c r="J1429">
        <v>20.58</v>
      </c>
      <c r="K1429" t="s">
        <v>919</v>
      </c>
    </row>
    <row r="1430" spans="1:11">
      <c r="A1430" t="str">
        <f>"002979"</f>
        <v>002979</v>
      </c>
      <c r="B1430" t="s">
        <v>1744</v>
      </c>
      <c r="C1430">
        <v>97.63</v>
      </c>
      <c r="D1430">
        <v>28.22</v>
      </c>
      <c r="E1430">
        <v>16.43</v>
      </c>
      <c r="F1430">
        <v>3.14</v>
      </c>
      <c r="G1430">
        <v>2.21</v>
      </c>
      <c r="H1430">
        <v>43810</v>
      </c>
      <c r="I1430">
        <v>8.44</v>
      </c>
      <c r="J1430">
        <v>64.99</v>
      </c>
      <c r="K1430" t="s">
        <v>663</v>
      </c>
    </row>
    <row r="1431" spans="1:11">
      <c r="A1431" t="str">
        <f>"002980"</f>
        <v>002980</v>
      </c>
      <c r="B1431" t="s">
        <v>1745</v>
      </c>
      <c r="C1431">
        <v>22.46</v>
      </c>
      <c r="D1431">
        <v>14.64</v>
      </c>
      <c r="E1431">
        <v>10.79</v>
      </c>
      <c r="F1431">
        <v>1.89</v>
      </c>
      <c r="G1431">
        <v>1.01</v>
      </c>
      <c r="H1431">
        <v>16666</v>
      </c>
      <c r="I1431">
        <v>3.89</v>
      </c>
      <c r="J1431">
        <v>48.49</v>
      </c>
      <c r="K1431" t="s">
        <v>888</v>
      </c>
    </row>
    <row r="1432" spans="1:11">
      <c r="A1432" t="str">
        <f>"002981"</f>
        <v>002981</v>
      </c>
      <c r="B1432" t="s">
        <v>1746</v>
      </c>
      <c r="C1432">
        <v>35.36</v>
      </c>
      <c r="D1432">
        <v>18.34</v>
      </c>
      <c r="E1432">
        <v>11.26</v>
      </c>
      <c r="F1432">
        <v>1.37</v>
      </c>
      <c r="G1432">
        <v>1.19</v>
      </c>
      <c r="H1432">
        <v>18723</v>
      </c>
      <c r="I1432">
        <v>3.56</v>
      </c>
      <c r="J1432">
        <v>30.84</v>
      </c>
      <c r="K1432" t="s">
        <v>41</v>
      </c>
    </row>
    <row r="1433" spans="1:11">
      <c r="A1433" t="str">
        <f>"002982"</f>
        <v>002982</v>
      </c>
      <c r="B1433" t="s">
        <v>1747</v>
      </c>
      <c r="C1433">
        <v>18.04</v>
      </c>
      <c r="D1433">
        <v>42.63</v>
      </c>
      <c r="E1433">
        <v>17.05</v>
      </c>
      <c r="F1433">
        <v>2.03</v>
      </c>
      <c r="G1433">
        <v>1.3</v>
      </c>
      <c r="H1433">
        <v>21303</v>
      </c>
      <c r="I1433">
        <v>1.78</v>
      </c>
      <c r="J1433">
        <v>94.72</v>
      </c>
      <c r="K1433" t="s">
        <v>1019</v>
      </c>
    </row>
    <row r="1434" spans="1:11">
      <c r="A1434" t="str">
        <f>"002983"</f>
        <v>002983</v>
      </c>
      <c r="B1434" t="s">
        <v>1748</v>
      </c>
      <c r="C1434">
        <v>30.06</v>
      </c>
      <c r="D1434">
        <v>20.24</v>
      </c>
      <c r="E1434">
        <v>13.72</v>
      </c>
      <c r="F1434">
        <v>2.24</v>
      </c>
      <c r="G1434">
        <v>1.28</v>
      </c>
      <c r="H1434">
        <v>21326</v>
      </c>
      <c r="I1434">
        <v>3.82</v>
      </c>
      <c r="J1434">
        <v>41.74</v>
      </c>
      <c r="K1434" t="s">
        <v>216</v>
      </c>
    </row>
    <row r="1435" spans="1:11">
      <c r="A1435" t="str">
        <f>"002984"</f>
        <v>002984</v>
      </c>
      <c r="B1435" t="s">
        <v>1749</v>
      </c>
      <c r="C1435">
        <v>147.51</v>
      </c>
      <c r="D1435">
        <v>184.44</v>
      </c>
      <c r="E1435">
        <v>138.47</v>
      </c>
      <c r="F1435">
        <v>10.36</v>
      </c>
      <c r="G1435">
        <v>7.14</v>
      </c>
      <c r="H1435">
        <v>64268</v>
      </c>
      <c r="I1435">
        <v>1.58</v>
      </c>
      <c r="J1435">
        <v>15.82</v>
      </c>
      <c r="K1435" t="s">
        <v>263</v>
      </c>
    </row>
    <row r="1436" spans="1:11">
      <c r="A1436" t="str">
        <f>"002985"</f>
        <v>002985</v>
      </c>
      <c r="B1436" t="s">
        <v>1750</v>
      </c>
      <c r="C1436">
        <v>60.48</v>
      </c>
      <c r="D1436">
        <v>38.23</v>
      </c>
      <c r="E1436">
        <v>26.17</v>
      </c>
      <c r="F1436">
        <v>3.32</v>
      </c>
      <c r="G1436">
        <v>1.76</v>
      </c>
      <c r="H1436">
        <v>33873</v>
      </c>
      <c r="I1436">
        <v>4.37</v>
      </c>
      <c r="J1436">
        <v>67.19</v>
      </c>
      <c r="K1436" t="s">
        <v>353</v>
      </c>
    </row>
    <row r="1437" spans="1:11">
      <c r="A1437" t="str">
        <f>"002986"</f>
        <v>002986</v>
      </c>
      <c r="B1437" t="s">
        <v>1751</v>
      </c>
      <c r="C1437">
        <v>33.46</v>
      </c>
      <c r="D1437">
        <v>96.49</v>
      </c>
      <c r="E1437">
        <v>38.36</v>
      </c>
      <c r="F1437">
        <v>3.8</v>
      </c>
      <c r="G1437">
        <v>3.02</v>
      </c>
      <c r="H1437">
        <v>15093</v>
      </c>
      <c r="I1437">
        <v>1.11</v>
      </c>
      <c r="J1437" t="s">
        <v>14</v>
      </c>
      <c r="K1437" t="s">
        <v>1201</v>
      </c>
    </row>
    <row r="1438" spans="1:11">
      <c r="A1438" t="str">
        <f>"002987"</f>
        <v>002987</v>
      </c>
      <c r="B1438" t="s">
        <v>1752</v>
      </c>
      <c r="C1438">
        <v>185.92</v>
      </c>
      <c r="D1438">
        <v>35</v>
      </c>
      <c r="E1438">
        <v>29.13</v>
      </c>
      <c r="F1438">
        <v>8.67</v>
      </c>
      <c r="G1438">
        <v>8.44</v>
      </c>
      <c r="H1438">
        <v>84298</v>
      </c>
      <c r="I1438">
        <v>6.56</v>
      </c>
      <c r="J1438">
        <v>58.9</v>
      </c>
      <c r="K1438" t="s">
        <v>117</v>
      </c>
    </row>
    <row r="1439" spans="1:11">
      <c r="A1439" t="str">
        <f>"002988"</f>
        <v>002988</v>
      </c>
      <c r="B1439" t="s">
        <v>1753</v>
      </c>
      <c r="C1439">
        <v>99.2</v>
      </c>
      <c r="D1439">
        <v>66.95</v>
      </c>
      <c r="E1439">
        <v>27.17</v>
      </c>
      <c r="F1439">
        <v>2.5</v>
      </c>
      <c r="G1439">
        <v>2.5</v>
      </c>
      <c r="H1439">
        <v>12036</v>
      </c>
      <c r="I1439">
        <v>3.7</v>
      </c>
      <c r="J1439">
        <v>51.99</v>
      </c>
      <c r="K1439" t="s">
        <v>288</v>
      </c>
    </row>
    <row r="1440" spans="1:11">
      <c r="A1440" t="str">
        <f>"002989"</f>
        <v>002989</v>
      </c>
      <c r="B1440" t="s">
        <v>1754</v>
      </c>
      <c r="C1440">
        <v>56.14</v>
      </c>
      <c r="D1440">
        <v>23.58</v>
      </c>
      <c r="E1440">
        <v>15.37</v>
      </c>
      <c r="F1440">
        <v>2.02</v>
      </c>
      <c r="G1440">
        <v>1.83</v>
      </c>
      <c r="H1440">
        <v>12319</v>
      </c>
      <c r="I1440">
        <v>4.13</v>
      </c>
      <c r="J1440" t="s">
        <v>14</v>
      </c>
      <c r="K1440" t="s">
        <v>804</v>
      </c>
    </row>
    <row r="1441" spans="1:11">
      <c r="A1441" t="str">
        <f>"002990"</f>
        <v>002990</v>
      </c>
      <c r="B1441" t="s">
        <v>1755</v>
      </c>
      <c r="C1441">
        <v>42</v>
      </c>
      <c r="D1441">
        <v>37.36</v>
      </c>
      <c r="E1441">
        <v>24.4</v>
      </c>
      <c r="F1441">
        <v>2.62</v>
      </c>
      <c r="G1441">
        <v>1.34</v>
      </c>
      <c r="H1441">
        <v>22395</v>
      </c>
      <c r="I1441">
        <v>3.35</v>
      </c>
      <c r="J1441">
        <v>100.33</v>
      </c>
      <c r="K1441" t="s">
        <v>117</v>
      </c>
    </row>
    <row r="1442" spans="1:11">
      <c r="A1442" t="str">
        <f>"002991"</f>
        <v>002991</v>
      </c>
      <c r="B1442" t="s">
        <v>1756</v>
      </c>
      <c r="C1442">
        <v>31.25</v>
      </c>
      <c r="D1442">
        <v>21.41</v>
      </c>
      <c r="E1442">
        <v>16.61</v>
      </c>
      <c r="F1442">
        <v>0.93</v>
      </c>
      <c r="G1442">
        <v>0.5</v>
      </c>
      <c r="H1442">
        <v>13826</v>
      </c>
      <c r="I1442">
        <v>3.51</v>
      </c>
      <c r="J1442">
        <v>28.01</v>
      </c>
      <c r="K1442" t="s">
        <v>1340</v>
      </c>
    </row>
    <row r="1443" spans="1:11">
      <c r="A1443" t="str">
        <f>"002992"</f>
        <v>002992</v>
      </c>
      <c r="B1443" t="s">
        <v>1757</v>
      </c>
      <c r="C1443">
        <v>74.59</v>
      </c>
      <c r="D1443">
        <v>22.3</v>
      </c>
      <c r="E1443">
        <v>7.33</v>
      </c>
      <c r="F1443">
        <v>1.81</v>
      </c>
      <c r="G1443">
        <v>1.58</v>
      </c>
      <c r="H1443">
        <v>14108</v>
      </c>
      <c r="I1443">
        <v>11.64</v>
      </c>
      <c r="J1443" t="s">
        <v>14</v>
      </c>
      <c r="K1443" t="s">
        <v>216</v>
      </c>
    </row>
    <row r="1444" spans="1:11">
      <c r="A1444" t="str">
        <f>"002993"</f>
        <v>002993</v>
      </c>
      <c r="B1444" t="s">
        <v>1758</v>
      </c>
      <c r="C1444">
        <v>109.14</v>
      </c>
      <c r="D1444">
        <v>93.21</v>
      </c>
      <c r="E1444">
        <v>49.47</v>
      </c>
      <c r="F1444">
        <v>2.76</v>
      </c>
      <c r="G1444">
        <v>2.38</v>
      </c>
      <c r="H1444">
        <v>22143</v>
      </c>
      <c r="I1444">
        <v>2.55</v>
      </c>
      <c r="J1444">
        <v>26.43</v>
      </c>
      <c r="K1444" t="s">
        <v>41</v>
      </c>
    </row>
    <row r="1445" spans="1:11">
      <c r="A1445" t="str">
        <f>"002995"</f>
        <v>002995</v>
      </c>
      <c r="B1445" t="s">
        <v>1759</v>
      </c>
      <c r="C1445">
        <v>22.6</v>
      </c>
      <c r="D1445">
        <v>11.8</v>
      </c>
      <c r="E1445">
        <v>8.88</v>
      </c>
      <c r="F1445">
        <v>1.77</v>
      </c>
      <c r="G1445">
        <v>1.12</v>
      </c>
      <c r="H1445">
        <v>29788</v>
      </c>
      <c r="I1445">
        <v>4.02</v>
      </c>
      <c r="J1445" t="s">
        <v>14</v>
      </c>
      <c r="K1445" t="s">
        <v>333</v>
      </c>
    </row>
    <row r="1446" spans="1:11">
      <c r="A1446" t="str">
        <f>"002996"</f>
        <v>002996</v>
      </c>
      <c r="B1446" t="s">
        <v>1760</v>
      </c>
      <c r="C1446">
        <v>31.57</v>
      </c>
      <c r="D1446">
        <v>152.57</v>
      </c>
      <c r="E1446">
        <v>33.4</v>
      </c>
      <c r="F1446">
        <v>6.69</v>
      </c>
      <c r="G1446">
        <v>4.06</v>
      </c>
      <c r="H1446">
        <v>27954</v>
      </c>
      <c r="I1446">
        <v>1.62</v>
      </c>
      <c r="J1446">
        <v>15.94</v>
      </c>
      <c r="K1446" t="s">
        <v>288</v>
      </c>
    </row>
    <row r="1447" spans="1:11">
      <c r="A1447" t="str">
        <f>"002997"</f>
        <v>002997</v>
      </c>
      <c r="B1447" t="s">
        <v>1761</v>
      </c>
      <c r="C1447">
        <v>77.32</v>
      </c>
      <c r="D1447">
        <v>69.33</v>
      </c>
      <c r="E1447">
        <v>24.63</v>
      </c>
      <c r="F1447">
        <v>2.09</v>
      </c>
      <c r="G1447">
        <v>2.09</v>
      </c>
      <c r="H1447">
        <v>25400</v>
      </c>
      <c r="I1447">
        <v>3.14</v>
      </c>
      <c r="J1447">
        <v>16.34</v>
      </c>
      <c r="K1447" t="s">
        <v>493</v>
      </c>
    </row>
    <row r="1448" spans="1:11">
      <c r="A1448" t="str">
        <f>"002998"</f>
        <v>002998</v>
      </c>
      <c r="B1448" t="s">
        <v>1762</v>
      </c>
      <c r="C1448">
        <v>20.48</v>
      </c>
      <c r="D1448">
        <v>25.27</v>
      </c>
      <c r="E1448">
        <v>16.03</v>
      </c>
      <c r="F1448">
        <v>3.52</v>
      </c>
      <c r="G1448">
        <v>2.68</v>
      </c>
      <c r="H1448">
        <v>18100</v>
      </c>
      <c r="I1448">
        <v>1.64</v>
      </c>
      <c r="J1448">
        <v>39.93</v>
      </c>
      <c r="K1448" t="s">
        <v>122</v>
      </c>
    </row>
    <row r="1449" spans="1:11">
      <c r="A1449" t="str">
        <f>"002999"</f>
        <v>002999</v>
      </c>
      <c r="B1449" t="s">
        <v>1763</v>
      </c>
      <c r="C1449">
        <v>23.54</v>
      </c>
      <c r="D1449">
        <v>72.71</v>
      </c>
      <c r="E1449">
        <v>11.99</v>
      </c>
      <c r="F1449">
        <v>3.48</v>
      </c>
      <c r="G1449">
        <v>3.44</v>
      </c>
      <c r="H1449">
        <v>22229</v>
      </c>
      <c r="I1449">
        <v>1.99</v>
      </c>
      <c r="J1449">
        <v>50.65</v>
      </c>
      <c r="K1449" t="s">
        <v>532</v>
      </c>
    </row>
    <row r="1450" spans="1:11">
      <c r="A1450" t="str">
        <f>"003000"</f>
        <v>003000</v>
      </c>
      <c r="B1450" t="s">
        <v>1764</v>
      </c>
      <c r="C1450">
        <v>34.77</v>
      </c>
      <c r="D1450">
        <v>22.06</v>
      </c>
      <c r="E1450">
        <v>13.31</v>
      </c>
      <c r="F1450">
        <v>4.51</v>
      </c>
      <c r="G1450">
        <v>3</v>
      </c>
      <c r="H1450">
        <v>29490</v>
      </c>
      <c r="I1450">
        <v>3.92</v>
      </c>
      <c r="J1450">
        <v>22.66</v>
      </c>
      <c r="K1450" t="s">
        <v>1340</v>
      </c>
    </row>
    <row r="1451" spans="1:11">
      <c r="A1451" t="str">
        <f>"003001"</f>
        <v>003001</v>
      </c>
      <c r="B1451" t="s">
        <v>1765</v>
      </c>
      <c r="C1451">
        <v>22.61</v>
      </c>
      <c r="D1451">
        <v>17.47</v>
      </c>
      <c r="E1451">
        <v>11.99</v>
      </c>
      <c r="F1451">
        <v>1.74</v>
      </c>
      <c r="G1451">
        <v>1.06</v>
      </c>
      <c r="H1451">
        <v>17381</v>
      </c>
      <c r="I1451">
        <v>3.15</v>
      </c>
      <c r="J1451">
        <v>122.9</v>
      </c>
      <c r="K1451" t="s">
        <v>55</v>
      </c>
    </row>
    <row r="1452" spans="1:11">
      <c r="A1452" t="str">
        <f>"003002"</f>
        <v>003002</v>
      </c>
      <c r="B1452" t="s">
        <v>1766</v>
      </c>
      <c r="C1452">
        <v>53.67</v>
      </c>
      <c r="D1452">
        <v>23.62</v>
      </c>
      <c r="E1452">
        <v>15</v>
      </c>
      <c r="F1452">
        <v>2</v>
      </c>
      <c r="G1452">
        <v>1.83</v>
      </c>
      <c r="H1452">
        <v>12451</v>
      </c>
      <c r="I1452">
        <v>3.91</v>
      </c>
      <c r="J1452">
        <v>30.25</v>
      </c>
      <c r="K1452" t="s">
        <v>793</v>
      </c>
    </row>
    <row r="1453" spans="1:11">
      <c r="A1453" t="str">
        <f>"003003"</f>
        <v>003003</v>
      </c>
      <c r="B1453" t="s">
        <v>1767</v>
      </c>
      <c r="C1453">
        <v>15.47</v>
      </c>
      <c r="D1453">
        <v>17.97</v>
      </c>
      <c r="E1453">
        <v>12.93</v>
      </c>
      <c r="F1453">
        <v>1.77</v>
      </c>
      <c r="G1453">
        <v>1.18</v>
      </c>
      <c r="H1453">
        <v>18803</v>
      </c>
      <c r="I1453">
        <v>1.8</v>
      </c>
      <c r="J1453">
        <v>35.05</v>
      </c>
      <c r="K1453" t="s">
        <v>1030</v>
      </c>
    </row>
    <row r="1454" spans="1:11">
      <c r="A1454" t="str">
        <f>"003004"</f>
        <v>003004</v>
      </c>
      <c r="B1454" t="s">
        <v>1768</v>
      </c>
      <c r="C1454">
        <v>19.87</v>
      </c>
      <c r="D1454">
        <v>12.68</v>
      </c>
      <c r="E1454">
        <v>7.17</v>
      </c>
      <c r="F1454">
        <v>0.82</v>
      </c>
      <c r="G1454">
        <v>0.69</v>
      </c>
      <c r="H1454">
        <v>5878</v>
      </c>
      <c r="I1454">
        <v>3.68</v>
      </c>
      <c r="J1454" t="s">
        <v>14</v>
      </c>
      <c r="K1454" t="s">
        <v>1022</v>
      </c>
    </row>
    <row r="1455" spans="1:11">
      <c r="A1455" t="str">
        <f>"003005"</f>
        <v>003005</v>
      </c>
      <c r="B1455" t="s">
        <v>1769</v>
      </c>
      <c r="C1455">
        <v>28.87</v>
      </c>
      <c r="D1455">
        <v>21.59</v>
      </c>
      <c r="E1455">
        <v>17.97</v>
      </c>
      <c r="F1455">
        <v>2.31</v>
      </c>
      <c r="G1455">
        <v>1.27</v>
      </c>
      <c r="H1455">
        <v>31166</v>
      </c>
      <c r="I1455">
        <v>2.93</v>
      </c>
      <c r="J1455" t="s">
        <v>14</v>
      </c>
      <c r="K1455" t="s">
        <v>117</v>
      </c>
    </row>
    <row r="1456" spans="1:11">
      <c r="A1456" t="str">
        <f>"003006"</f>
        <v>003006</v>
      </c>
      <c r="B1456" t="s">
        <v>1770</v>
      </c>
      <c r="C1456">
        <v>91.03</v>
      </c>
      <c r="D1456">
        <v>20.95</v>
      </c>
      <c r="E1456">
        <v>14.69</v>
      </c>
      <c r="F1456">
        <v>4.3</v>
      </c>
      <c r="G1456">
        <v>4.29</v>
      </c>
      <c r="H1456">
        <v>10344</v>
      </c>
      <c r="I1456">
        <v>6.21</v>
      </c>
      <c r="J1456">
        <v>27.99</v>
      </c>
      <c r="K1456" t="s">
        <v>617</v>
      </c>
    </row>
    <row r="1457" spans="1:11">
      <c r="A1457" t="str">
        <f>"003007"</f>
        <v>003007</v>
      </c>
      <c r="B1457" t="s">
        <v>1771</v>
      </c>
      <c r="C1457">
        <v>42.97</v>
      </c>
      <c r="D1457">
        <v>23.42</v>
      </c>
      <c r="E1457">
        <v>8.39</v>
      </c>
      <c r="F1457">
        <v>1.02</v>
      </c>
      <c r="G1457">
        <v>0.72</v>
      </c>
      <c r="H1457">
        <v>16031</v>
      </c>
      <c r="I1457">
        <v>7.41</v>
      </c>
      <c r="J1457" t="s">
        <v>14</v>
      </c>
      <c r="K1457" t="s">
        <v>924</v>
      </c>
    </row>
    <row r="1458" spans="1:11">
      <c r="A1458" t="str">
        <f>"003008"</f>
        <v>003008</v>
      </c>
      <c r="B1458" t="s">
        <v>1772</v>
      </c>
      <c r="C1458">
        <v>17.48</v>
      </c>
      <c r="D1458">
        <v>10.98</v>
      </c>
      <c r="E1458">
        <v>10.52</v>
      </c>
      <c r="F1458">
        <v>1.04</v>
      </c>
      <c r="G1458">
        <v>0.78</v>
      </c>
      <c r="H1458">
        <v>10594</v>
      </c>
      <c r="I1458">
        <v>2.22</v>
      </c>
      <c r="J1458">
        <v>30.27</v>
      </c>
      <c r="K1458" t="s">
        <v>1733</v>
      </c>
    </row>
    <row r="1459" spans="1:11">
      <c r="A1459" t="str">
        <f>"003009"</f>
        <v>003009</v>
      </c>
      <c r="B1459" t="s">
        <v>1773</v>
      </c>
      <c r="C1459">
        <v>124.23</v>
      </c>
      <c r="D1459">
        <v>29.78</v>
      </c>
      <c r="E1459">
        <v>15.93</v>
      </c>
      <c r="F1459">
        <v>1.55</v>
      </c>
      <c r="G1459">
        <v>1.55</v>
      </c>
      <c r="H1459">
        <v>32775</v>
      </c>
      <c r="I1459">
        <v>8.07</v>
      </c>
      <c r="J1459" t="s">
        <v>14</v>
      </c>
      <c r="K1459" t="s">
        <v>241</v>
      </c>
    </row>
    <row r="1460" spans="1:11">
      <c r="A1460" t="str">
        <f>"003010"</f>
        <v>003010</v>
      </c>
      <c r="B1460" t="s">
        <v>1774</v>
      </c>
      <c r="C1460">
        <v>87.74</v>
      </c>
      <c r="D1460">
        <v>18.04</v>
      </c>
      <c r="E1460">
        <v>7.84</v>
      </c>
      <c r="F1460">
        <v>3.11</v>
      </c>
      <c r="G1460">
        <v>2.26</v>
      </c>
      <c r="H1460">
        <v>22778</v>
      </c>
      <c r="I1460">
        <v>15.38</v>
      </c>
      <c r="J1460">
        <v>86.39</v>
      </c>
      <c r="K1460" t="s">
        <v>1050</v>
      </c>
    </row>
    <row r="1461" spans="1:11">
      <c r="A1461" t="str">
        <f>"003011"</f>
        <v>003011</v>
      </c>
      <c r="B1461" t="s">
        <v>1775</v>
      </c>
      <c r="C1461">
        <v>17.25</v>
      </c>
      <c r="D1461">
        <v>21.5</v>
      </c>
      <c r="E1461">
        <v>14.13</v>
      </c>
      <c r="F1461">
        <v>1.03</v>
      </c>
      <c r="G1461">
        <v>0.78</v>
      </c>
      <c r="H1461">
        <v>10597</v>
      </c>
      <c r="I1461">
        <v>1.6</v>
      </c>
      <c r="J1461">
        <v>18.82</v>
      </c>
      <c r="K1461" t="s">
        <v>540</v>
      </c>
    </row>
    <row r="1462" spans="1:11">
      <c r="A1462" t="str">
        <f>"003012"</f>
        <v>003012</v>
      </c>
      <c r="B1462" t="s">
        <v>1776</v>
      </c>
      <c r="C1462">
        <v>76.68</v>
      </c>
      <c r="D1462">
        <v>115.02</v>
      </c>
      <c r="E1462">
        <v>76.2</v>
      </c>
      <c r="F1462">
        <v>11.57</v>
      </c>
      <c r="G1462">
        <v>11.45</v>
      </c>
      <c r="H1462">
        <v>27847</v>
      </c>
      <c r="I1462">
        <v>1.02</v>
      </c>
      <c r="J1462">
        <v>16.66</v>
      </c>
      <c r="K1462" t="s">
        <v>935</v>
      </c>
    </row>
    <row r="1463" spans="1:11">
      <c r="A1463" t="str">
        <f>"003013"</f>
        <v>003013</v>
      </c>
      <c r="B1463" t="s">
        <v>1777</v>
      </c>
      <c r="C1463">
        <v>58.47</v>
      </c>
      <c r="D1463">
        <v>61.48</v>
      </c>
      <c r="E1463">
        <v>29.15</v>
      </c>
      <c r="F1463">
        <v>4.08</v>
      </c>
      <c r="G1463">
        <v>4</v>
      </c>
      <c r="H1463">
        <v>14477</v>
      </c>
      <c r="I1463">
        <v>2.05</v>
      </c>
      <c r="J1463">
        <v>12.92</v>
      </c>
      <c r="K1463" t="s">
        <v>428</v>
      </c>
    </row>
    <row r="1464" spans="1:11">
      <c r="A1464" t="str">
        <f>"003015"</f>
        <v>003015</v>
      </c>
      <c r="B1464" t="s">
        <v>1778</v>
      </c>
      <c r="C1464">
        <v>39.36</v>
      </c>
      <c r="D1464">
        <v>12.2</v>
      </c>
      <c r="E1464">
        <v>10.9</v>
      </c>
      <c r="F1464">
        <v>2.81</v>
      </c>
      <c r="G1464">
        <v>2.47</v>
      </c>
      <c r="H1464">
        <v>37474</v>
      </c>
      <c r="I1464">
        <v>4.1</v>
      </c>
      <c r="J1464">
        <v>43.61</v>
      </c>
      <c r="K1464" t="s">
        <v>66</v>
      </c>
    </row>
    <row r="1465" spans="1:11">
      <c r="A1465" t="str">
        <f>"003016"</f>
        <v>003016</v>
      </c>
      <c r="B1465" t="s">
        <v>1779</v>
      </c>
      <c r="C1465">
        <v>38.17</v>
      </c>
      <c r="D1465">
        <v>34.55</v>
      </c>
      <c r="E1465">
        <v>26.78</v>
      </c>
      <c r="F1465">
        <v>4.21</v>
      </c>
      <c r="G1465">
        <v>4.11</v>
      </c>
      <c r="H1465">
        <v>15288</v>
      </c>
      <c r="I1465">
        <v>1.46</v>
      </c>
      <c r="J1465">
        <v>282.36</v>
      </c>
      <c r="K1465" t="s">
        <v>622</v>
      </c>
    </row>
    <row r="1466" spans="1:11">
      <c r="A1466" t="str">
        <f>"003017"</f>
        <v>003017</v>
      </c>
      <c r="B1466" t="s">
        <v>1780</v>
      </c>
      <c r="C1466">
        <v>21.65</v>
      </c>
      <c r="D1466">
        <v>17.53</v>
      </c>
      <c r="E1466">
        <v>10.97</v>
      </c>
      <c r="F1466">
        <v>0.84</v>
      </c>
      <c r="G1466">
        <v>0.69</v>
      </c>
      <c r="H1466">
        <v>10049</v>
      </c>
      <c r="I1466">
        <v>2.39</v>
      </c>
      <c r="J1466">
        <v>24.6</v>
      </c>
      <c r="K1466" t="s">
        <v>1781</v>
      </c>
    </row>
    <row r="1467" spans="1:11">
      <c r="A1467" t="str">
        <f>"003018"</f>
        <v>003018</v>
      </c>
      <c r="B1467" t="s">
        <v>1782</v>
      </c>
      <c r="C1467">
        <v>17.23</v>
      </c>
      <c r="D1467">
        <v>19.52</v>
      </c>
      <c r="E1467">
        <v>15.93</v>
      </c>
      <c r="F1467">
        <v>2.6</v>
      </c>
      <c r="G1467">
        <v>0.98</v>
      </c>
      <c r="H1467">
        <v>11042</v>
      </c>
      <c r="I1467">
        <v>2.87</v>
      </c>
      <c r="J1467">
        <v>36.71</v>
      </c>
      <c r="K1467" t="s">
        <v>324</v>
      </c>
    </row>
    <row r="1468" spans="1:11">
      <c r="A1468" t="str">
        <f>"003019"</f>
        <v>003019</v>
      </c>
      <c r="B1468" t="s">
        <v>1783</v>
      </c>
      <c r="C1468">
        <v>60.26</v>
      </c>
      <c r="D1468">
        <v>28.51</v>
      </c>
      <c r="E1468">
        <v>16.67</v>
      </c>
      <c r="F1468">
        <v>1.77</v>
      </c>
      <c r="G1468">
        <v>1.71</v>
      </c>
      <c r="H1468">
        <v>17371</v>
      </c>
      <c r="I1468">
        <v>3.74</v>
      </c>
      <c r="J1468">
        <v>29.91</v>
      </c>
      <c r="K1468" t="s">
        <v>39</v>
      </c>
    </row>
    <row r="1469" spans="1:11">
      <c r="A1469" t="str">
        <f>"003020"</f>
        <v>003020</v>
      </c>
      <c r="B1469" t="s">
        <v>1784</v>
      </c>
      <c r="C1469">
        <v>38.4</v>
      </c>
      <c r="D1469">
        <v>25.98</v>
      </c>
      <c r="E1469">
        <v>17.99</v>
      </c>
      <c r="F1469">
        <v>1.9</v>
      </c>
      <c r="G1469">
        <v>1.38</v>
      </c>
      <c r="H1469">
        <v>18105</v>
      </c>
      <c r="I1469">
        <v>2.95</v>
      </c>
      <c r="J1469">
        <v>32.88</v>
      </c>
      <c r="K1469" t="s">
        <v>109</v>
      </c>
    </row>
    <row r="1470" spans="1:11">
      <c r="A1470" t="str">
        <f>"003021"</f>
        <v>003021</v>
      </c>
      <c r="B1470" t="s">
        <v>1785</v>
      </c>
      <c r="C1470">
        <v>253.95</v>
      </c>
      <c r="D1470">
        <v>42.36</v>
      </c>
      <c r="E1470">
        <v>34.07</v>
      </c>
      <c r="F1470">
        <v>2.41</v>
      </c>
      <c r="G1470">
        <v>2.07</v>
      </c>
      <c r="H1470">
        <v>50990</v>
      </c>
      <c r="I1470">
        <v>8.65</v>
      </c>
      <c r="J1470">
        <v>122.01</v>
      </c>
      <c r="K1470" t="s">
        <v>552</v>
      </c>
    </row>
    <row r="1471" spans="1:11">
      <c r="A1471" t="str">
        <f>"003022"</f>
        <v>003022</v>
      </c>
      <c r="B1471" t="s">
        <v>1786</v>
      </c>
      <c r="C1471">
        <v>268.35</v>
      </c>
      <c r="D1471">
        <v>227.79</v>
      </c>
      <c r="E1471">
        <v>73.79</v>
      </c>
      <c r="F1471">
        <v>13.36</v>
      </c>
      <c r="G1471">
        <v>13.34</v>
      </c>
      <c r="H1471">
        <v>64824</v>
      </c>
      <c r="I1471">
        <v>3.64</v>
      </c>
      <c r="J1471">
        <v>86.67</v>
      </c>
      <c r="K1471" t="s">
        <v>667</v>
      </c>
    </row>
    <row r="1472" spans="1:11">
      <c r="A1472" t="str">
        <f>"003023"</f>
        <v>003023</v>
      </c>
      <c r="B1472" t="s">
        <v>1787</v>
      </c>
      <c r="C1472">
        <v>24.45</v>
      </c>
      <c r="D1472">
        <v>21</v>
      </c>
      <c r="E1472">
        <v>15.48</v>
      </c>
      <c r="F1472">
        <v>1.05</v>
      </c>
      <c r="G1472">
        <v>1.05</v>
      </c>
      <c r="H1472">
        <v>14099</v>
      </c>
      <c r="I1472">
        <v>1.58</v>
      </c>
      <c r="J1472">
        <v>42.07</v>
      </c>
      <c r="K1472" t="s">
        <v>1399</v>
      </c>
    </row>
    <row r="1473" spans="1:11">
      <c r="A1473" t="str">
        <f>"003025"</f>
        <v>003025</v>
      </c>
      <c r="B1473" t="s">
        <v>1788</v>
      </c>
      <c r="C1473">
        <v>33.03</v>
      </c>
      <c r="D1473">
        <v>15.4</v>
      </c>
      <c r="E1473">
        <v>12.41</v>
      </c>
      <c r="F1473">
        <v>2.84</v>
      </c>
      <c r="G1473">
        <v>2.26</v>
      </c>
      <c r="H1473">
        <v>20736</v>
      </c>
      <c r="I1473">
        <v>3.34</v>
      </c>
      <c r="J1473">
        <v>26.79</v>
      </c>
      <c r="K1473" t="s">
        <v>141</v>
      </c>
    </row>
    <row r="1474" spans="1:11">
      <c r="A1474" t="str">
        <f>"003026"</f>
        <v>003026</v>
      </c>
      <c r="B1474" t="s">
        <v>1789</v>
      </c>
      <c r="C1474">
        <v>30.26</v>
      </c>
      <c r="D1474">
        <v>12.61</v>
      </c>
      <c r="E1474">
        <v>6.58</v>
      </c>
      <c r="F1474">
        <v>1.3</v>
      </c>
      <c r="G1474">
        <v>0.96</v>
      </c>
      <c r="H1474">
        <v>30671</v>
      </c>
      <c r="I1474">
        <v>6.23</v>
      </c>
      <c r="J1474">
        <v>90.24</v>
      </c>
      <c r="K1474" t="s">
        <v>884</v>
      </c>
    </row>
    <row r="1475" spans="1:11">
      <c r="A1475" t="str">
        <f>"003027"</f>
        <v>003027</v>
      </c>
      <c r="B1475" t="s">
        <v>1790</v>
      </c>
      <c r="C1475">
        <v>23.23</v>
      </c>
      <c r="D1475">
        <v>25.7</v>
      </c>
      <c r="E1475">
        <v>17.07</v>
      </c>
      <c r="F1475">
        <v>1.31</v>
      </c>
      <c r="G1475">
        <v>1.05</v>
      </c>
      <c r="H1475">
        <v>15388</v>
      </c>
      <c r="I1475">
        <v>1.7</v>
      </c>
      <c r="J1475">
        <v>35.04</v>
      </c>
      <c r="K1475" t="s">
        <v>1330</v>
      </c>
    </row>
    <row r="1476" spans="1:11">
      <c r="A1476" t="str">
        <f>"003028"</f>
        <v>003028</v>
      </c>
      <c r="B1476" t="s">
        <v>1791</v>
      </c>
      <c r="C1476">
        <v>21.83</v>
      </c>
      <c r="D1476">
        <v>27.39</v>
      </c>
      <c r="E1476">
        <v>17.58</v>
      </c>
      <c r="F1476">
        <v>1.45</v>
      </c>
      <c r="G1476">
        <v>0.71</v>
      </c>
      <c r="H1476">
        <v>14177</v>
      </c>
      <c r="I1476">
        <v>2.55</v>
      </c>
      <c r="J1476">
        <v>44.27</v>
      </c>
      <c r="K1476" t="s">
        <v>82</v>
      </c>
    </row>
    <row r="1477" spans="1:11">
      <c r="A1477" t="str">
        <f>"003029"</f>
        <v>003029</v>
      </c>
      <c r="B1477" t="s">
        <v>1792</v>
      </c>
      <c r="C1477">
        <v>49.98</v>
      </c>
      <c r="D1477">
        <v>18.19</v>
      </c>
      <c r="E1477">
        <v>10.79</v>
      </c>
      <c r="F1477">
        <v>1.94</v>
      </c>
      <c r="G1477">
        <v>1.73</v>
      </c>
      <c r="H1477">
        <v>33229</v>
      </c>
      <c r="I1477">
        <v>5.17</v>
      </c>
      <c r="J1477" t="s">
        <v>14</v>
      </c>
      <c r="K1477" t="s">
        <v>17</v>
      </c>
    </row>
    <row r="1478" spans="1:11">
      <c r="A1478" t="str">
        <f>"003030"</f>
        <v>003030</v>
      </c>
      <c r="B1478" t="s">
        <v>1793</v>
      </c>
      <c r="C1478">
        <v>16.41</v>
      </c>
      <c r="D1478">
        <v>23.18</v>
      </c>
      <c r="E1478">
        <v>10.19</v>
      </c>
      <c r="F1478">
        <v>1.25</v>
      </c>
      <c r="G1478">
        <v>0.79</v>
      </c>
      <c r="H1478">
        <v>9078</v>
      </c>
      <c r="I1478">
        <v>2.53</v>
      </c>
      <c r="J1478">
        <v>60.14</v>
      </c>
      <c r="K1478" t="s">
        <v>560</v>
      </c>
    </row>
    <row r="1479" spans="1:11">
      <c r="A1479" t="str">
        <f>"003031"</f>
        <v>003031</v>
      </c>
      <c r="B1479" t="s">
        <v>1794</v>
      </c>
      <c r="C1479">
        <v>261.24</v>
      </c>
      <c r="D1479">
        <v>81.74</v>
      </c>
      <c r="E1479">
        <v>62.93</v>
      </c>
      <c r="F1479">
        <v>4.51</v>
      </c>
      <c r="G1479">
        <v>3.4</v>
      </c>
      <c r="H1479">
        <v>30292</v>
      </c>
      <c r="I1479">
        <v>5.5</v>
      </c>
      <c r="J1479">
        <v>58.61</v>
      </c>
      <c r="K1479" t="s">
        <v>82</v>
      </c>
    </row>
    <row r="1480" spans="1:11">
      <c r="A1480" t="str">
        <f>"003032"</f>
        <v>003032</v>
      </c>
      <c r="B1480" t="s">
        <v>1795</v>
      </c>
      <c r="C1480">
        <v>17.76</v>
      </c>
      <c r="D1480">
        <v>18.75</v>
      </c>
      <c r="E1480">
        <v>12.53</v>
      </c>
      <c r="F1480">
        <v>4.02</v>
      </c>
      <c r="G1480">
        <v>2.76</v>
      </c>
      <c r="H1480">
        <v>26855</v>
      </c>
      <c r="I1480">
        <v>2.06</v>
      </c>
      <c r="J1480" t="s">
        <v>14</v>
      </c>
      <c r="K1480" t="s">
        <v>198</v>
      </c>
    </row>
    <row r="1481" spans="1:11">
      <c r="A1481" t="str">
        <f>"003033"</f>
        <v>003033</v>
      </c>
      <c r="B1481" t="s">
        <v>1796</v>
      </c>
      <c r="C1481">
        <v>57.43</v>
      </c>
      <c r="D1481">
        <v>24.79</v>
      </c>
      <c r="E1481">
        <v>13.54</v>
      </c>
      <c r="F1481">
        <v>0.82</v>
      </c>
      <c r="G1481">
        <v>0.81</v>
      </c>
      <c r="H1481">
        <v>8322</v>
      </c>
      <c r="I1481">
        <v>4.3</v>
      </c>
      <c r="J1481">
        <v>32.87</v>
      </c>
      <c r="K1481" t="s">
        <v>517</v>
      </c>
    </row>
    <row r="1482" spans="1:11">
      <c r="A1482" t="str">
        <f>"003035"</f>
        <v>003035</v>
      </c>
      <c r="B1482" t="s">
        <v>1797</v>
      </c>
      <c r="C1482">
        <v>181.44</v>
      </c>
      <c r="D1482">
        <v>231.81</v>
      </c>
      <c r="E1482">
        <v>69.71</v>
      </c>
      <c r="F1482">
        <v>37.88</v>
      </c>
      <c r="G1482">
        <v>37.88</v>
      </c>
      <c r="H1482">
        <v>100878</v>
      </c>
      <c r="I1482">
        <v>2.6</v>
      </c>
      <c r="J1482">
        <v>39.75</v>
      </c>
      <c r="K1482" t="s">
        <v>505</v>
      </c>
    </row>
    <row r="1483" spans="1:11">
      <c r="A1483" t="str">
        <f>"003036"</f>
        <v>003036</v>
      </c>
      <c r="B1483" t="s">
        <v>1798</v>
      </c>
      <c r="C1483">
        <v>35.06</v>
      </c>
      <c r="D1483">
        <v>31.01</v>
      </c>
      <c r="E1483">
        <v>14.66</v>
      </c>
      <c r="F1483">
        <v>2.16</v>
      </c>
      <c r="G1483">
        <v>2.16</v>
      </c>
      <c r="H1483">
        <v>14607</v>
      </c>
      <c r="I1483">
        <v>2.53</v>
      </c>
      <c r="J1483">
        <v>62.43</v>
      </c>
      <c r="K1483" t="s">
        <v>758</v>
      </c>
    </row>
    <row r="1484" spans="1:11">
      <c r="A1484" t="str">
        <f>"003037"</f>
        <v>003037</v>
      </c>
      <c r="B1484" t="s">
        <v>1799</v>
      </c>
      <c r="C1484">
        <v>48.23</v>
      </c>
      <c r="D1484">
        <v>69.36</v>
      </c>
      <c r="E1484">
        <v>28.04</v>
      </c>
      <c r="F1484">
        <v>5.99</v>
      </c>
      <c r="G1484">
        <v>5.99</v>
      </c>
      <c r="H1484">
        <v>39262</v>
      </c>
      <c r="I1484">
        <v>1.72</v>
      </c>
      <c r="J1484">
        <v>44.94</v>
      </c>
      <c r="K1484" t="s">
        <v>1089</v>
      </c>
    </row>
    <row r="1485" spans="1:11">
      <c r="A1485" t="str">
        <f>"003038"</f>
        <v>003038</v>
      </c>
      <c r="B1485" t="s">
        <v>1800</v>
      </c>
      <c r="C1485">
        <v>26.66</v>
      </c>
      <c r="D1485">
        <v>110.95</v>
      </c>
      <c r="E1485">
        <v>30.01</v>
      </c>
      <c r="F1485">
        <v>2.44</v>
      </c>
      <c r="G1485">
        <v>1.65</v>
      </c>
      <c r="H1485">
        <v>23818</v>
      </c>
      <c r="I1485">
        <v>1.31</v>
      </c>
      <c r="J1485">
        <v>443.76</v>
      </c>
      <c r="K1485" t="s">
        <v>288</v>
      </c>
    </row>
    <row r="1486" spans="1:11">
      <c r="A1486" t="str">
        <f>"003039"</f>
        <v>003039</v>
      </c>
      <c r="B1486" t="s">
        <v>1801</v>
      </c>
      <c r="C1486">
        <v>107.39</v>
      </c>
      <c r="D1486">
        <v>77.46</v>
      </c>
      <c r="E1486">
        <v>28.13</v>
      </c>
      <c r="F1486">
        <v>6.18</v>
      </c>
      <c r="G1486">
        <v>6.18</v>
      </c>
      <c r="H1486">
        <v>29119</v>
      </c>
      <c r="I1486">
        <v>3.82</v>
      </c>
      <c r="J1486">
        <v>38.59</v>
      </c>
      <c r="K1486" t="s">
        <v>274</v>
      </c>
    </row>
    <row r="1487" spans="1:11">
      <c r="A1487" t="str">
        <f>"003040"</f>
        <v>003040</v>
      </c>
      <c r="B1487" t="s">
        <v>1802</v>
      </c>
      <c r="C1487">
        <v>93.93</v>
      </c>
      <c r="D1487">
        <v>18.92</v>
      </c>
      <c r="E1487">
        <v>14.01</v>
      </c>
      <c r="F1487">
        <v>4.61</v>
      </c>
      <c r="G1487">
        <v>4.57</v>
      </c>
      <c r="H1487">
        <v>79164</v>
      </c>
      <c r="I1487">
        <v>6.77</v>
      </c>
      <c r="J1487" t="s">
        <v>14</v>
      </c>
      <c r="K1487" t="s">
        <v>770</v>
      </c>
    </row>
    <row r="1488" spans="1:11">
      <c r="A1488" t="str">
        <f>"003041"</f>
        <v>003041</v>
      </c>
      <c r="B1488" t="s">
        <v>1803</v>
      </c>
      <c r="C1488">
        <v>93.04</v>
      </c>
      <c r="D1488">
        <v>21.15</v>
      </c>
      <c r="E1488">
        <v>14.63</v>
      </c>
      <c r="F1488">
        <v>1.44</v>
      </c>
      <c r="G1488">
        <v>1.37</v>
      </c>
      <c r="H1488">
        <v>14039</v>
      </c>
      <c r="I1488">
        <v>6.69</v>
      </c>
      <c r="J1488">
        <v>31.89</v>
      </c>
      <c r="K1488" t="s">
        <v>846</v>
      </c>
    </row>
    <row r="1489" spans="1:11">
      <c r="A1489" t="str">
        <f>"003042"</f>
        <v>003042</v>
      </c>
      <c r="B1489" t="s">
        <v>1804</v>
      </c>
      <c r="C1489">
        <v>20.94</v>
      </c>
      <c r="D1489">
        <v>39.05</v>
      </c>
      <c r="E1489">
        <v>13.13</v>
      </c>
      <c r="F1489">
        <v>1.42</v>
      </c>
      <c r="G1489">
        <v>1.27</v>
      </c>
      <c r="H1489">
        <v>16768</v>
      </c>
      <c r="I1489">
        <v>1.78</v>
      </c>
      <c r="J1489" t="s">
        <v>14</v>
      </c>
      <c r="K1489" t="s">
        <v>196</v>
      </c>
    </row>
    <row r="1490" spans="1:11">
      <c r="A1490" t="str">
        <f>"003043"</f>
        <v>003043</v>
      </c>
      <c r="B1490" t="s">
        <v>1805</v>
      </c>
      <c r="C1490">
        <v>44.07</v>
      </c>
      <c r="D1490">
        <v>28.9</v>
      </c>
      <c r="E1490">
        <v>18.16</v>
      </c>
      <c r="F1490">
        <v>1.34</v>
      </c>
      <c r="G1490">
        <v>0.84</v>
      </c>
      <c r="H1490">
        <v>12325</v>
      </c>
      <c r="I1490">
        <v>4.08</v>
      </c>
      <c r="J1490">
        <v>107.52</v>
      </c>
      <c r="K1490" t="s">
        <v>1160</v>
      </c>
    </row>
    <row r="1491" spans="1:11">
      <c r="A1491" t="str">
        <f>"003816"</f>
        <v>003816</v>
      </c>
      <c r="B1491" t="s">
        <v>1806</v>
      </c>
      <c r="C1491">
        <v>1514.4</v>
      </c>
      <c r="D1491">
        <v>4471.42</v>
      </c>
      <c r="E1491">
        <v>1233.51</v>
      </c>
      <c r="F1491">
        <v>504.99</v>
      </c>
      <c r="G1491">
        <v>393.35</v>
      </c>
      <c r="H1491">
        <v>228154</v>
      </c>
      <c r="I1491">
        <v>1.58</v>
      </c>
      <c r="J1491">
        <v>17</v>
      </c>
      <c r="K1491" t="s">
        <v>1807</v>
      </c>
    </row>
    <row r="1492" spans="1:11">
      <c r="A1492" t="str">
        <f>"300001"</f>
        <v>300001</v>
      </c>
      <c r="B1492" t="s">
        <v>1808</v>
      </c>
      <c r="C1492">
        <v>287.39</v>
      </c>
      <c r="D1492">
        <v>252.27</v>
      </c>
      <c r="E1492">
        <v>80.21</v>
      </c>
      <c r="F1492">
        <v>10.56</v>
      </c>
      <c r="G1492">
        <v>10.32</v>
      </c>
      <c r="H1492">
        <v>58465</v>
      </c>
      <c r="I1492">
        <v>3.67</v>
      </c>
      <c r="J1492">
        <v>32.17</v>
      </c>
      <c r="K1492" t="s">
        <v>208</v>
      </c>
    </row>
    <row r="1493" spans="1:11">
      <c r="A1493" t="str">
        <f>"300002"</f>
        <v>300002</v>
      </c>
      <c r="B1493" t="s">
        <v>1809</v>
      </c>
      <c r="C1493">
        <v>247.14</v>
      </c>
      <c r="D1493">
        <v>85.07</v>
      </c>
      <c r="E1493">
        <v>75.83</v>
      </c>
      <c r="F1493">
        <v>19.67</v>
      </c>
      <c r="G1493">
        <v>18.47</v>
      </c>
      <c r="H1493">
        <v>111922</v>
      </c>
      <c r="I1493">
        <v>3.47</v>
      </c>
      <c r="J1493">
        <v>27.25</v>
      </c>
      <c r="K1493" t="s">
        <v>950</v>
      </c>
    </row>
    <row r="1494" spans="1:11">
      <c r="A1494" t="str">
        <f>"300003"</f>
        <v>300003</v>
      </c>
      <c r="B1494" t="s">
        <v>1810</v>
      </c>
      <c r="C1494">
        <v>320.36</v>
      </c>
      <c r="D1494">
        <v>256.11</v>
      </c>
      <c r="E1494">
        <v>160.34</v>
      </c>
      <c r="F1494">
        <v>18.43</v>
      </c>
      <c r="G1494">
        <v>15.79</v>
      </c>
      <c r="H1494">
        <v>82918</v>
      </c>
      <c r="I1494">
        <v>2.41</v>
      </c>
      <c r="J1494">
        <v>28.56</v>
      </c>
      <c r="K1494" t="s">
        <v>1173</v>
      </c>
    </row>
    <row r="1495" spans="1:11">
      <c r="A1495" t="str">
        <f>"300004"</f>
        <v>300004</v>
      </c>
      <c r="B1495" t="s">
        <v>1811</v>
      </c>
      <c r="C1495">
        <v>65.62</v>
      </c>
      <c r="D1495">
        <v>21.57</v>
      </c>
      <c r="E1495">
        <v>17.8</v>
      </c>
      <c r="F1495">
        <v>4.8</v>
      </c>
      <c r="G1495">
        <v>4.8</v>
      </c>
      <c r="H1495">
        <v>41154</v>
      </c>
      <c r="I1495">
        <v>3.69</v>
      </c>
      <c r="J1495">
        <v>147.1</v>
      </c>
      <c r="K1495" t="s">
        <v>744</v>
      </c>
    </row>
    <row r="1496" spans="1:11">
      <c r="A1496" t="str">
        <f>"300005"</f>
        <v>300005</v>
      </c>
      <c r="B1496" t="s">
        <v>1812</v>
      </c>
      <c r="C1496">
        <v>109.71</v>
      </c>
      <c r="D1496">
        <v>26.4</v>
      </c>
      <c r="E1496">
        <v>19.79</v>
      </c>
      <c r="F1496">
        <v>8.84</v>
      </c>
      <c r="G1496">
        <v>8.83</v>
      </c>
      <c r="H1496">
        <v>41112</v>
      </c>
      <c r="I1496">
        <v>5.24</v>
      </c>
      <c r="J1496">
        <v>249.17</v>
      </c>
      <c r="K1496" t="s">
        <v>650</v>
      </c>
    </row>
    <row r="1497" spans="1:11">
      <c r="A1497" t="str">
        <f>"300006"</f>
        <v>300006</v>
      </c>
      <c r="B1497" t="s">
        <v>1813</v>
      </c>
      <c r="C1497">
        <v>55.33</v>
      </c>
      <c r="D1497">
        <v>27.62</v>
      </c>
      <c r="E1497">
        <v>18.39</v>
      </c>
      <c r="F1497">
        <v>10.56</v>
      </c>
      <c r="G1497">
        <v>10.56</v>
      </c>
      <c r="H1497">
        <v>30689</v>
      </c>
      <c r="I1497">
        <v>3.01</v>
      </c>
      <c r="J1497" t="s">
        <v>14</v>
      </c>
      <c r="K1497" t="s">
        <v>109</v>
      </c>
    </row>
    <row r="1498" spans="1:11">
      <c r="A1498" t="str">
        <f>"300007"</f>
        <v>300007</v>
      </c>
      <c r="B1498" t="s">
        <v>1814</v>
      </c>
      <c r="C1498">
        <v>164.42</v>
      </c>
      <c r="D1498">
        <v>60.68</v>
      </c>
      <c r="E1498">
        <v>29.06</v>
      </c>
      <c r="F1498">
        <v>3.27</v>
      </c>
      <c r="G1498">
        <v>2.83</v>
      </c>
      <c r="H1498">
        <v>79433</v>
      </c>
      <c r="I1498">
        <v>6.54</v>
      </c>
      <c r="J1498">
        <v>168</v>
      </c>
      <c r="K1498" t="s">
        <v>952</v>
      </c>
    </row>
    <row r="1499" spans="1:11">
      <c r="A1499" t="str">
        <f>"300008"</f>
        <v>300008</v>
      </c>
      <c r="B1499" t="s">
        <v>1815</v>
      </c>
      <c r="C1499">
        <v>145.79</v>
      </c>
      <c r="D1499">
        <v>54.94</v>
      </c>
      <c r="E1499">
        <v>23.37</v>
      </c>
      <c r="F1499">
        <v>17.28</v>
      </c>
      <c r="G1499">
        <v>16.47</v>
      </c>
      <c r="H1499">
        <v>133907</v>
      </c>
      <c r="I1499">
        <v>6.55</v>
      </c>
      <c r="J1499">
        <v>49.53</v>
      </c>
      <c r="K1499" t="s">
        <v>1816</v>
      </c>
    </row>
    <row r="1500" spans="1:11">
      <c r="A1500" t="str">
        <f>"300009"</f>
        <v>300009</v>
      </c>
      <c r="B1500" t="s">
        <v>1817</v>
      </c>
      <c r="C1500">
        <v>131.14</v>
      </c>
      <c r="D1500">
        <v>51.01</v>
      </c>
      <c r="E1500">
        <v>41.69</v>
      </c>
      <c r="F1500">
        <v>16.71</v>
      </c>
      <c r="G1500">
        <v>12.3</v>
      </c>
      <c r="H1500">
        <v>72023</v>
      </c>
      <c r="I1500">
        <v>4.28</v>
      </c>
      <c r="J1500">
        <v>24.23</v>
      </c>
      <c r="K1500" t="s">
        <v>184</v>
      </c>
    </row>
    <row r="1501" spans="1:11">
      <c r="A1501" t="str">
        <f>"300010"</f>
        <v>300010</v>
      </c>
      <c r="B1501" t="s">
        <v>1818</v>
      </c>
      <c r="C1501">
        <v>147.37</v>
      </c>
      <c r="D1501">
        <v>23.93</v>
      </c>
      <c r="E1501">
        <v>17.83</v>
      </c>
      <c r="F1501">
        <v>20.67</v>
      </c>
      <c r="G1501">
        <v>16.63</v>
      </c>
      <c r="H1501">
        <v>100518</v>
      </c>
      <c r="I1501">
        <v>10.27</v>
      </c>
      <c r="J1501">
        <v>149.64</v>
      </c>
      <c r="K1501" t="s">
        <v>198</v>
      </c>
    </row>
    <row r="1502" spans="1:11">
      <c r="A1502" t="str">
        <f>"300011"</f>
        <v>300011</v>
      </c>
      <c r="B1502" t="s">
        <v>1819</v>
      </c>
      <c r="C1502">
        <v>44.94</v>
      </c>
      <c r="D1502">
        <v>39.37</v>
      </c>
      <c r="E1502">
        <v>13.41</v>
      </c>
      <c r="F1502">
        <v>6.06</v>
      </c>
      <c r="G1502">
        <v>5.07</v>
      </c>
      <c r="H1502">
        <v>27163</v>
      </c>
      <c r="I1502">
        <v>3.69</v>
      </c>
      <c r="J1502">
        <v>314.15</v>
      </c>
      <c r="K1502" t="s">
        <v>22</v>
      </c>
    </row>
    <row r="1503" spans="1:11">
      <c r="A1503" t="str">
        <f>"300012"</f>
        <v>300012</v>
      </c>
      <c r="B1503" t="s">
        <v>1820</v>
      </c>
      <c r="C1503">
        <v>207.61</v>
      </c>
      <c r="D1503">
        <v>98.58</v>
      </c>
      <c r="E1503">
        <v>75.58</v>
      </c>
      <c r="F1503">
        <v>16.83</v>
      </c>
      <c r="G1503">
        <v>14.32</v>
      </c>
      <c r="H1503">
        <v>76571</v>
      </c>
      <c r="I1503">
        <v>3.23</v>
      </c>
      <c r="J1503">
        <v>22.53</v>
      </c>
      <c r="K1503" t="s">
        <v>1733</v>
      </c>
    </row>
    <row r="1504" spans="1:11">
      <c r="A1504" t="str">
        <f>"300013"</f>
        <v>300013</v>
      </c>
      <c r="B1504" t="s">
        <v>1821</v>
      </c>
      <c r="C1504">
        <v>18.24</v>
      </c>
      <c r="D1504">
        <v>5.67</v>
      </c>
      <c r="E1504">
        <v>1.96</v>
      </c>
      <c r="F1504">
        <v>5.58</v>
      </c>
      <c r="G1504">
        <v>4.46</v>
      </c>
      <c r="H1504">
        <v>22980</v>
      </c>
      <c r="I1504">
        <v>11.65</v>
      </c>
      <c r="J1504" t="s">
        <v>14</v>
      </c>
      <c r="K1504" t="s">
        <v>536</v>
      </c>
    </row>
    <row r="1505" spans="1:11">
      <c r="A1505" t="str">
        <f>"300014"</f>
        <v>300014</v>
      </c>
      <c r="B1505" t="s">
        <v>1822</v>
      </c>
      <c r="C1505">
        <v>1343.07</v>
      </c>
      <c r="D1505">
        <v>1163.7</v>
      </c>
      <c r="E1505">
        <v>398.72</v>
      </c>
      <c r="F1505">
        <v>20.74</v>
      </c>
      <c r="G1505">
        <v>20</v>
      </c>
      <c r="H1505">
        <v>187471</v>
      </c>
      <c r="I1505">
        <v>3.47</v>
      </c>
      <c r="J1505">
        <v>37.1</v>
      </c>
      <c r="K1505" t="s">
        <v>70</v>
      </c>
    </row>
    <row r="1506" spans="1:11">
      <c r="A1506" t="str">
        <f>"300015"</f>
        <v>300015</v>
      </c>
      <c r="B1506" t="s">
        <v>1823</v>
      </c>
      <c r="C1506">
        <v>932.37</v>
      </c>
      <c r="D1506">
        <v>358.36</v>
      </c>
      <c r="E1506">
        <v>224.34</v>
      </c>
      <c r="F1506">
        <v>93.25</v>
      </c>
      <c r="G1506">
        <v>79.55</v>
      </c>
      <c r="H1506">
        <v>344788</v>
      </c>
      <c r="I1506">
        <v>4.87</v>
      </c>
      <c r="J1506">
        <v>26.32</v>
      </c>
      <c r="K1506" t="s">
        <v>181</v>
      </c>
    </row>
    <row r="1507" spans="1:11">
      <c r="A1507" t="str">
        <f>"300016"</f>
        <v>300016</v>
      </c>
      <c r="B1507" t="s">
        <v>1824</v>
      </c>
      <c r="C1507">
        <v>54.92</v>
      </c>
      <c r="D1507">
        <v>32.22</v>
      </c>
      <c r="E1507">
        <v>22.11</v>
      </c>
      <c r="F1507">
        <v>5.63</v>
      </c>
      <c r="G1507">
        <v>5.62</v>
      </c>
      <c r="H1507">
        <v>42945</v>
      </c>
      <c r="I1507">
        <v>2.49</v>
      </c>
      <c r="J1507">
        <v>93.36</v>
      </c>
      <c r="K1507" t="s">
        <v>109</v>
      </c>
    </row>
    <row r="1508" spans="1:11">
      <c r="A1508" t="str">
        <f>"300017"</f>
        <v>300017</v>
      </c>
      <c r="B1508" t="s">
        <v>1825</v>
      </c>
      <c r="C1508">
        <v>278.58</v>
      </c>
      <c r="D1508">
        <v>121.17</v>
      </c>
      <c r="E1508">
        <v>101.39</v>
      </c>
      <c r="F1508">
        <v>24.59</v>
      </c>
      <c r="G1508">
        <v>23.06</v>
      </c>
      <c r="H1508">
        <v>171364</v>
      </c>
      <c r="I1508">
        <v>2.93</v>
      </c>
      <c r="J1508">
        <v>36.17</v>
      </c>
      <c r="K1508" t="s">
        <v>463</v>
      </c>
    </row>
    <row r="1509" spans="1:11">
      <c r="A1509" t="str">
        <f>"300018"</f>
        <v>300018</v>
      </c>
      <c r="B1509" t="s">
        <v>1826</v>
      </c>
      <c r="C1509">
        <v>55.31</v>
      </c>
      <c r="D1509">
        <v>16.6</v>
      </c>
      <c r="E1509">
        <v>13.84</v>
      </c>
      <c r="F1509">
        <v>4.85</v>
      </c>
      <c r="G1509">
        <v>4.49</v>
      </c>
      <c r="H1509">
        <v>26796</v>
      </c>
      <c r="I1509">
        <v>4.31</v>
      </c>
      <c r="J1509">
        <v>39.81</v>
      </c>
      <c r="K1509" t="s">
        <v>127</v>
      </c>
    </row>
    <row r="1510" spans="1:11">
      <c r="A1510" t="str">
        <f>"300019"</f>
        <v>300019</v>
      </c>
      <c r="B1510" t="s">
        <v>1827</v>
      </c>
      <c r="C1510">
        <v>74.16</v>
      </c>
      <c r="D1510">
        <v>40.69</v>
      </c>
      <c r="E1510">
        <v>26.75</v>
      </c>
      <c r="F1510">
        <v>3.93</v>
      </c>
      <c r="G1510">
        <v>3.38</v>
      </c>
      <c r="H1510">
        <v>37348</v>
      </c>
      <c r="I1510">
        <v>3.23</v>
      </c>
      <c r="J1510">
        <v>28.28</v>
      </c>
      <c r="K1510" t="s">
        <v>993</v>
      </c>
    </row>
    <row r="1511" spans="1:11">
      <c r="A1511" t="str">
        <f>"300020"</f>
        <v>300020</v>
      </c>
      <c r="B1511" t="s">
        <v>1828</v>
      </c>
      <c r="C1511">
        <v>30.21</v>
      </c>
      <c r="D1511">
        <v>51.16</v>
      </c>
      <c r="E1511">
        <v>26.77</v>
      </c>
      <c r="F1511">
        <v>7.95</v>
      </c>
      <c r="G1511">
        <v>7.67</v>
      </c>
      <c r="H1511">
        <v>28471</v>
      </c>
      <c r="I1511">
        <v>1.17</v>
      </c>
      <c r="J1511" t="s">
        <v>14</v>
      </c>
      <c r="K1511" t="s">
        <v>117</v>
      </c>
    </row>
    <row r="1512" spans="1:11">
      <c r="A1512" t="str">
        <f>"300021"</f>
        <v>300021</v>
      </c>
      <c r="B1512" t="s">
        <v>1829</v>
      </c>
      <c r="C1512">
        <v>42.76</v>
      </c>
      <c r="D1512">
        <v>91.94</v>
      </c>
      <c r="E1512">
        <v>25.23</v>
      </c>
      <c r="F1512">
        <v>10.22</v>
      </c>
      <c r="G1512">
        <v>8.73</v>
      </c>
      <c r="H1512">
        <v>48161</v>
      </c>
      <c r="I1512">
        <v>1.99</v>
      </c>
      <c r="J1512">
        <v>339.2</v>
      </c>
      <c r="K1512" t="s">
        <v>55</v>
      </c>
    </row>
    <row r="1513" spans="1:11">
      <c r="A1513" t="str">
        <f>"300022"</f>
        <v>300022</v>
      </c>
      <c r="B1513" t="s">
        <v>1830</v>
      </c>
      <c r="C1513">
        <v>40.68</v>
      </c>
      <c r="D1513">
        <v>21.07</v>
      </c>
      <c r="E1513">
        <v>5.32</v>
      </c>
      <c r="F1513">
        <v>4.94</v>
      </c>
      <c r="G1513">
        <v>4.94</v>
      </c>
      <c r="H1513">
        <v>21297</v>
      </c>
      <c r="I1513">
        <v>7.65</v>
      </c>
      <c r="J1513" t="s">
        <v>14</v>
      </c>
      <c r="K1513" t="s">
        <v>477</v>
      </c>
    </row>
    <row r="1514" spans="1:11">
      <c r="A1514" t="str">
        <f>"300024"</f>
        <v>300024</v>
      </c>
      <c r="B1514" t="s">
        <v>1527</v>
      </c>
      <c r="C1514">
        <v>286.58</v>
      </c>
      <c r="D1514">
        <v>119.96</v>
      </c>
      <c r="E1514">
        <v>42.96</v>
      </c>
      <c r="F1514">
        <v>15.66</v>
      </c>
      <c r="G1514">
        <v>15.4</v>
      </c>
      <c r="H1514">
        <v>181222</v>
      </c>
      <c r="I1514">
        <v>6.78</v>
      </c>
      <c r="J1514" t="s">
        <v>14</v>
      </c>
      <c r="K1514" t="s">
        <v>1527</v>
      </c>
    </row>
    <row r="1515" spans="1:11">
      <c r="A1515" t="str">
        <f>"300025"</f>
        <v>300025</v>
      </c>
      <c r="B1515" t="s">
        <v>1831</v>
      </c>
      <c r="C1515">
        <v>31.95</v>
      </c>
      <c r="D1515">
        <v>8.97</v>
      </c>
      <c r="E1515">
        <v>5.39</v>
      </c>
      <c r="F1515">
        <v>5.09</v>
      </c>
      <c r="G1515">
        <v>5.06</v>
      </c>
      <c r="H1515">
        <v>24470</v>
      </c>
      <c r="I1515">
        <v>5.95</v>
      </c>
      <c r="J1515" t="s">
        <v>14</v>
      </c>
      <c r="K1515" t="s">
        <v>520</v>
      </c>
    </row>
    <row r="1516" spans="1:11">
      <c r="A1516" t="str">
        <f>"300026"</f>
        <v>300026</v>
      </c>
      <c r="B1516" t="s">
        <v>1832</v>
      </c>
      <c r="C1516">
        <v>101.6</v>
      </c>
      <c r="D1516">
        <v>107.58</v>
      </c>
      <c r="E1516">
        <v>86.38</v>
      </c>
      <c r="F1516">
        <v>30.04</v>
      </c>
      <c r="G1516">
        <v>27.39</v>
      </c>
      <c r="H1516">
        <v>96308</v>
      </c>
      <c r="I1516">
        <v>1.29</v>
      </c>
      <c r="J1516">
        <v>103.5</v>
      </c>
      <c r="K1516" t="s">
        <v>155</v>
      </c>
    </row>
    <row r="1517" spans="1:11">
      <c r="A1517" t="str">
        <f>"300027"</f>
        <v>300027</v>
      </c>
      <c r="B1517" t="s">
        <v>1833</v>
      </c>
      <c r="C1517">
        <v>58.89</v>
      </c>
      <c r="D1517">
        <v>26.17</v>
      </c>
      <c r="E1517">
        <v>2.63</v>
      </c>
      <c r="F1517">
        <v>27.75</v>
      </c>
      <c r="G1517">
        <v>24.85</v>
      </c>
      <c r="H1517">
        <v>97103</v>
      </c>
      <c r="I1517">
        <v>24.95</v>
      </c>
      <c r="J1517" t="s">
        <v>14</v>
      </c>
      <c r="K1517" t="s">
        <v>452</v>
      </c>
    </row>
    <row r="1518" spans="1:11">
      <c r="A1518" t="str">
        <f>"300029"</f>
        <v>300029</v>
      </c>
      <c r="B1518" t="s">
        <v>1834</v>
      </c>
      <c r="C1518">
        <v>11.46</v>
      </c>
      <c r="D1518">
        <v>2.98</v>
      </c>
      <c r="E1518">
        <v>-0.18</v>
      </c>
      <c r="F1518">
        <v>2.01</v>
      </c>
      <c r="G1518">
        <v>2</v>
      </c>
      <c r="H1518">
        <v>7512</v>
      </c>
      <c r="I1518">
        <v>-65</v>
      </c>
      <c r="J1518" t="s">
        <v>14</v>
      </c>
      <c r="K1518" t="s">
        <v>55</v>
      </c>
    </row>
    <row r="1519" spans="1:11">
      <c r="A1519" t="str">
        <f>"300030"</f>
        <v>300030</v>
      </c>
      <c r="B1519" t="s">
        <v>1835</v>
      </c>
      <c r="C1519">
        <v>22.73</v>
      </c>
      <c r="D1519">
        <v>10.8</v>
      </c>
      <c r="E1519">
        <v>6.31</v>
      </c>
      <c r="F1519">
        <v>3.09</v>
      </c>
      <c r="G1519">
        <v>2.72</v>
      </c>
      <c r="H1519">
        <v>28504</v>
      </c>
      <c r="I1519">
        <v>4.09</v>
      </c>
      <c r="J1519">
        <v>80.53</v>
      </c>
      <c r="K1519" t="s">
        <v>1836</v>
      </c>
    </row>
    <row r="1520" spans="1:11">
      <c r="A1520" t="str">
        <f>"300031"</f>
        <v>300031</v>
      </c>
      <c r="B1520" t="s">
        <v>1837</v>
      </c>
      <c r="C1520">
        <v>90.23</v>
      </c>
      <c r="D1520">
        <v>63.29</v>
      </c>
      <c r="E1520">
        <v>40.62</v>
      </c>
      <c r="F1520">
        <v>4.19</v>
      </c>
      <c r="G1520">
        <v>3.52</v>
      </c>
      <c r="H1520">
        <v>57021</v>
      </c>
      <c r="I1520">
        <v>2.64</v>
      </c>
      <c r="J1520">
        <v>38.57</v>
      </c>
      <c r="K1520" t="s">
        <v>950</v>
      </c>
    </row>
    <row r="1521" spans="1:11">
      <c r="A1521" t="str">
        <f>"300032"</f>
        <v>300032</v>
      </c>
      <c r="B1521" t="s">
        <v>1838</v>
      </c>
      <c r="C1521">
        <v>43.85</v>
      </c>
      <c r="D1521">
        <v>16.49</v>
      </c>
      <c r="E1521">
        <v>6.91</v>
      </c>
      <c r="F1521">
        <v>8.03</v>
      </c>
      <c r="G1521">
        <v>8.03</v>
      </c>
      <c r="H1521">
        <v>41556</v>
      </c>
      <c r="I1521">
        <v>6.35</v>
      </c>
      <c r="J1521">
        <v>110.88</v>
      </c>
      <c r="K1521" t="s">
        <v>41</v>
      </c>
    </row>
    <row r="1522" spans="1:11">
      <c r="A1522" t="str">
        <f>"300033"</f>
        <v>300033</v>
      </c>
      <c r="B1522" t="s">
        <v>1839</v>
      </c>
      <c r="C1522">
        <v>1098.41</v>
      </c>
      <c r="D1522">
        <v>114.53</v>
      </c>
      <c r="E1522">
        <v>75.03</v>
      </c>
      <c r="F1522">
        <v>5.38</v>
      </c>
      <c r="G1522">
        <v>2.76</v>
      </c>
      <c r="H1522">
        <v>82582</v>
      </c>
      <c r="I1522">
        <v>28.57</v>
      </c>
      <c r="J1522">
        <v>133.27</v>
      </c>
      <c r="K1522" t="s">
        <v>117</v>
      </c>
    </row>
    <row r="1523" spans="1:11">
      <c r="A1523" t="str">
        <f>"300034"</f>
        <v>300034</v>
      </c>
      <c r="B1523" t="s">
        <v>1840</v>
      </c>
      <c r="C1523">
        <v>170.27</v>
      </c>
      <c r="D1523">
        <v>77.92</v>
      </c>
      <c r="E1523">
        <v>38.14</v>
      </c>
      <c r="F1523">
        <v>7.97</v>
      </c>
      <c r="G1523">
        <v>7.67</v>
      </c>
      <c r="H1523">
        <v>45059</v>
      </c>
      <c r="I1523">
        <v>4.64</v>
      </c>
      <c r="J1523">
        <v>106.58</v>
      </c>
      <c r="K1523" t="s">
        <v>353</v>
      </c>
    </row>
    <row r="1524" spans="1:11">
      <c r="A1524" t="str">
        <f>"300035"</f>
        <v>300035</v>
      </c>
      <c r="B1524" t="s">
        <v>1841</v>
      </c>
      <c r="C1524">
        <v>128.22</v>
      </c>
      <c r="D1524">
        <v>142.31</v>
      </c>
      <c r="E1524">
        <v>49.04</v>
      </c>
      <c r="F1524">
        <v>6.85</v>
      </c>
      <c r="G1524">
        <v>5.83</v>
      </c>
      <c r="H1524">
        <v>79319</v>
      </c>
      <c r="I1524">
        <v>3.07</v>
      </c>
      <c r="J1524">
        <v>28.13</v>
      </c>
      <c r="K1524" t="s">
        <v>24</v>
      </c>
    </row>
    <row r="1525" spans="1:11">
      <c r="A1525" t="str">
        <f>"300036"</f>
        <v>300036</v>
      </c>
      <c r="B1525" t="s">
        <v>1842</v>
      </c>
      <c r="C1525">
        <v>94.62</v>
      </c>
      <c r="D1525">
        <v>39.02</v>
      </c>
      <c r="E1525">
        <v>26.93</v>
      </c>
      <c r="F1525">
        <v>4.93</v>
      </c>
      <c r="G1525">
        <v>4.38</v>
      </c>
      <c r="H1525">
        <v>42000</v>
      </c>
      <c r="I1525">
        <v>3.95</v>
      </c>
      <c r="J1525">
        <v>185.67</v>
      </c>
      <c r="K1525" t="s">
        <v>117</v>
      </c>
    </row>
    <row r="1526" spans="1:11">
      <c r="A1526" t="str">
        <f>"300037"</f>
        <v>300037</v>
      </c>
      <c r="B1526" t="s">
        <v>1843</v>
      </c>
      <c r="C1526">
        <v>290.85</v>
      </c>
      <c r="D1526">
        <v>185.2</v>
      </c>
      <c r="E1526">
        <v>102.97</v>
      </c>
      <c r="F1526">
        <v>7.52</v>
      </c>
      <c r="G1526">
        <v>5.38</v>
      </c>
      <c r="H1526">
        <v>45629</v>
      </c>
      <c r="I1526">
        <v>4.03</v>
      </c>
      <c r="J1526">
        <v>40.72</v>
      </c>
      <c r="K1526" t="s">
        <v>24</v>
      </c>
    </row>
    <row r="1527" spans="1:11">
      <c r="A1527" t="str">
        <f>"300039"</f>
        <v>300039</v>
      </c>
      <c r="B1527" t="s">
        <v>1844</v>
      </c>
      <c r="C1527">
        <v>58.41</v>
      </c>
      <c r="D1527">
        <v>49.58</v>
      </c>
      <c r="E1527">
        <v>45.45</v>
      </c>
      <c r="F1527">
        <v>10.46</v>
      </c>
      <c r="G1527">
        <v>9.17</v>
      </c>
      <c r="H1527">
        <v>49334</v>
      </c>
      <c r="I1527">
        <v>1.47</v>
      </c>
      <c r="J1527">
        <v>26.72</v>
      </c>
      <c r="K1527" t="s">
        <v>155</v>
      </c>
    </row>
    <row r="1528" spans="1:11">
      <c r="A1528" t="str">
        <f>"300040"</f>
        <v>300040</v>
      </c>
      <c r="B1528" t="s">
        <v>1845</v>
      </c>
      <c r="C1528">
        <v>33.84</v>
      </c>
      <c r="D1528">
        <v>73.96</v>
      </c>
      <c r="E1528">
        <v>25.36</v>
      </c>
      <c r="F1528">
        <v>6.43</v>
      </c>
      <c r="G1528">
        <v>5.17</v>
      </c>
      <c r="H1528">
        <v>45517</v>
      </c>
      <c r="I1528">
        <v>1.64</v>
      </c>
      <c r="J1528">
        <v>73.19</v>
      </c>
      <c r="K1528" t="s">
        <v>505</v>
      </c>
    </row>
    <row r="1529" spans="1:11">
      <c r="A1529" t="str">
        <f>"300041"</f>
        <v>300041</v>
      </c>
      <c r="B1529" t="s">
        <v>1846</v>
      </c>
      <c r="C1529">
        <v>64.64</v>
      </c>
      <c r="D1529">
        <v>67.14</v>
      </c>
      <c r="E1529">
        <v>30.21</v>
      </c>
      <c r="F1529">
        <v>5.59</v>
      </c>
      <c r="G1529">
        <v>5.44</v>
      </c>
      <c r="H1529">
        <v>37879</v>
      </c>
      <c r="I1529">
        <v>2.3</v>
      </c>
      <c r="J1529">
        <v>23.09</v>
      </c>
      <c r="K1529" t="s">
        <v>1454</v>
      </c>
    </row>
    <row r="1530" spans="1:11">
      <c r="A1530" t="str">
        <f>"300042"</f>
        <v>300042</v>
      </c>
      <c r="B1530" t="s">
        <v>1847</v>
      </c>
      <c r="C1530">
        <v>57.03</v>
      </c>
      <c r="D1530">
        <v>12.77</v>
      </c>
      <c r="E1530">
        <v>10.02</v>
      </c>
      <c r="F1530">
        <v>2</v>
      </c>
      <c r="G1530">
        <v>2</v>
      </c>
      <c r="H1530">
        <v>28000</v>
      </c>
      <c r="I1530">
        <v>5.69</v>
      </c>
      <c r="J1530" t="s">
        <v>14</v>
      </c>
      <c r="K1530" t="s">
        <v>88</v>
      </c>
    </row>
    <row r="1531" spans="1:11">
      <c r="A1531" t="str">
        <f>"300043"</f>
        <v>300043</v>
      </c>
      <c r="B1531" t="s">
        <v>1848</v>
      </c>
      <c r="C1531">
        <v>87.17</v>
      </c>
      <c r="D1531">
        <v>34.6</v>
      </c>
      <c r="E1531">
        <v>17.18</v>
      </c>
      <c r="F1531">
        <v>12.44</v>
      </c>
      <c r="G1531">
        <v>12.44</v>
      </c>
      <c r="H1531">
        <v>68612</v>
      </c>
      <c r="I1531">
        <v>5.08</v>
      </c>
      <c r="J1531">
        <v>24.39</v>
      </c>
      <c r="K1531" t="s">
        <v>950</v>
      </c>
    </row>
    <row r="1532" spans="1:11">
      <c r="A1532" t="str">
        <f>"300044"</f>
        <v>300044</v>
      </c>
      <c r="B1532" t="s">
        <v>1849</v>
      </c>
      <c r="C1532">
        <v>44.14</v>
      </c>
      <c r="D1532">
        <v>10.91</v>
      </c>
      <c r="E1532">
        <v>0.72</v>
      </c>
      <c r="F1532">
        <v>7.64</v>
      </c>
      <c r="G1532">
        <v>7.15</v>
      </c>
      <c r="H1532">
        <v>52340</v>
      </c>
      <c r="I1532">
        <v>65.64</v>
      </c>
      <c r="J1532" t="s">
        <v>14</v>
      </c>
      <c r="K1532" t="s">
        <v>117</v>
      </c>
    </row>
    <row r="1533" spans="1:11">
      <c r="A1533" t="str">
        <f>"300045"</f>
        <v>300045</v>
      </c>
      <c r="B1533" t="s">
        <v>1850</v>
      </c>
      <c r="C1533">
        <v>174.1</v>
      </c>
      <c r="D1533">
        <v>23.97</v>
      </c>
      <c r="E1533">
        <v>16.06</v>
      </c>
      <c r="F1533">
        <v>6.63</v>
      </c>
      <c r="G1533">
        <v>5.16</v>
      </c>
      <c r="H1533">
        <v>97369</v>
      </c>
      <c r="I1533">
        <v>13.92</v>
      </c>
      <c r="J1533">
        <v>1785.16</v>
      </c>
      <c r="K1533" t="s">
        <v>223</v>
      </c>
    </row>
    <row r="1534" spans="1:11">
      <c r="A1534" t="str">
        <f>"300046"</f>
        <v>300046</v>
      </c>
      <c r="B1534" t="s">
        <v>1851</v>
      </c>
      <c r="C1534">
        <v>86.62</v>
      </c>
      <c r="D1534">
        <v>12.61</v>
      </c>
      <c r="E1534">
        <v>11.43</v>
      </c>
      <c r="F1534">
        <v>2.37</v>
      </c>
      <c r="G1534">
        <v>2.37</v>
      </c>
      <c r="H1534">
        <v>73688</v>
      </c>
      <c r="I1534">
        <v>7.58</v>
      </c>
      <c r="J1534">
        <v>114.6</v>
      </c>
      <c r="K1534" t="s">
        <v>1852</v>
      </c>
    </row>
    <row r="1535" spans="1:11">
      <c r="A1535" t="str">
        <f>"300047"</f>
        <v>300047</v>
      </c>
      <c r="B1535" t="s">
        <v>1853</v>
      </c>
      <c r="C1535">
        <v>91.29</v>
      </c>
      <c r="D1535">
        <v>62.05</v>
      </c>
      <c r="E1535">
        <v>32.97</v>
      </c>
      <c r="F1535">
        <v>6.38</v>
      </c>
      <c r="G1535">
        <v>5.47</v>
      </c>
      <c r="H1535">
        <v>83210</v>
      </c>
      <c r="I1535">
        <v>3.23</v>
      </c>
      <c r="J1535">
        <v>206.92</v>
      </c>
      <c r="K1535" t="s">
        <v>117</v>
      </c>
    </row>
    <row r="1536" spans="1:11">
      <c r="A1536" t="str">
        <f>"300048"</f>
        <v>300048</v>
      </c>
      <c r="B1536" t="s">
        <v>1854</v>
      </c>
      <c r="C1536">
        <v>76.45</v>
      </c>
      <c r="D1536">
        <v>49.71</v>
      </c>
      <c r="E1536">
        <v>18.35</v>
      </c>
      <c r="F1536">
        <v>11.28</v>
      </c>
      <c r="G1536">
        <v>11.26</v>
      </c>
      <c r="H1536">
        <v>27751</v>
      </c>
      <c r="I1536">
        <v>4.17</v>
      </c>
      <c r="J1536">
        <v>77.65</v>
      </c>
      <c r="K1536" t="s">
        <v>208</v>
      </c>
    </row>
    <row r="1537" spans="1:11">
      <c r="A1537" t="str">
        <f>"300049"</f>
        <v>300049</v>
      </c>
      <c r="B1537" t="s">
        <v>1855</v>
      </c>
      <c r="C1537">
        <v>196.49</v>
      </c>
      <c r="D1537">
        <v>32.12</v>
      </c>
      <c r="E1537">
        <v>19.05</v>
      </c>
      <c r="F1537">
        <v>2.65</v>
      </c>
      <c r="G1537">
        <v>2.34</v>
      </c>
      <c r="H1537">
        <v>26726</v>
      </c>
      <c r="I1537">
        <v>11.7</v>
      </c>
      <c r="J1537">
        <v>149.47</v>
      </c>
      <c r="K1537" t="s">
        <v>1836</v>
      </c>
    </row>
    <row r="1538" spans="1:11">
      <c r="A1538" t="str">
        <f>"300050"</f>
        <v>300050</v>
      </c>
      <c r="B1538" t="s">
        <v>1856</v>
      </c>
      <c r="C1538">
        <v>32.18</v>
      </c>
      <c r="D1538">
        <v>6.03</v>
      </c>
      <c r="E1538">
        <v>4.1</v>
      </c>
      <c r="F1538">
        <v>5.45</v>
      </c>
      <c r="G1538">
        <v>5.45</v>
      </c>
      <c r="H1538">
        <v>43847</v>
      </c>
      <c r="I1538">
        <v>7.86</v>
      </c>
      <c r="J1538">
        <v>156.41</v>
      </c>
      <c r="K1538" t="s">
        <v>520</v>
      </c>
    </row>
    <row r="1539" spans="1:11">
      <c r="A1539" t="str">
        <f>"300051"</f>
        <v>300051</v>
      </c>
      <c r="B1539" t="s">
        <v>1857</v>
      </c>
      <c r="C1539">
        <v>31.8</v>
      </c>
      <c r="D1539">
        <v>26.17</v>
      </c>
      <c r="E1539">
        <v>1.62</v>
      </c>
      <c r="F1539">
        <v>3.72</v>
      </c>
      <c r="G1539">
        <v>3.68</v>
      </c>
      <c r="H1539">
        <v>25348</v>
      </c>
      <c r="I1539">
        <v>19.89</v>
      </c>
      <c r="J1539" t="s">
        <v>14</v>
      </c>
      <c r="K1539" t="s">
        <v>43</v>
      </c>
    </row>
    <row r="1540" spans="1:11">
      <c r="A1540" t="str">
        <f>"300052"</f>
        <v>300052</v>
      </c>
      <c r="B1540" t="s">
        <v>1858</v>
      </c>
      <c r="C1540">
        <v>37.16</v>
      </c>
      <c r="D1540">
        <v>8.01</v>
      </c>
      <c r="E1540">
        <v>3.78</v>
      </c>
      <c r="F1540">
        <v>2.62</v>
      </c>
      <c r="G1540">
        <v>2.62</v>
      </c>
      <c r="H1540">
        <v>34887</v>
      </c>
      <c r="I1540">
        <v>9.83</v>
      </c>
      <c r="J1540" t="s">
        <v>14</v>
      </c>
      <c r="K1540" t="s">
        <v>950</v>
      </c>
    </row>
    <row r="1541" spans="1:11">
      <c r="A1541" t="str">
        <f>"300053"</f>
        <v>300053</v>
      </c>
      <c r="B1541" t="s">
        <v>1859</v>
      </c>
      <c r="C1541">
        <v>144.29</v>
      </c>
      <c r="D1541">
        <v>24.55</v>
      </c>
      <c r="E1541">
        <v>17.02</v>
      </c>
      <c r="F1541">
        <v>6.97</v>
      </c>
      <c r="G1541">
        <v>6.51</v>
      </c>
      <c r="H1541">
        <v>77385</v>
      </c>
      <c r="I1541">
        <v>9.08</v>
      </c>
      <c r="J1541" t="s">
        <v>14</v>
      </c>
      <c r="K1541" t="s">
        <v>691</v>
      </c>
    </row>
    <row r="1542" spans="1:11">
      <c r="A1542" t="str">
        <f>"300054"</f>
        <v>300054</v>
      </c>
      <c r="B1542" t="s">
        <v>1860</v>
      </c>
      <c r="C1542">
        <v>323.59</v>
      </c>
      <c r="D1542">
        <v>89.78</v>
      </c>
      <c r="E1542">
        <v>49.69</v>
      </c>
      <c r="F1542">
        <v>9.47</v>
      </c>
      <c r="G1542">
        <v>7.37</v>
      </c>
      <c r="H1542">
        <v>38000</v>
      </c>
      <c r="I1542">
        <v>8.39</v>
      </c>
      <c r="J1542">
        <v>60.05</v>
      </c>
      <c r="K1542" t="s">
        <v>884</v>
      </c>
    </row>
    <row r="1543" spans="1:11">
      <c r="A1543" t="str">
        <f>"300055"</f>
        <v>300055</v>
      </c>
      <c r="B1543" t="s">
        <v>1861</v>
      </c>
      <c r="C1543">
        <v>50.68</v>
      </c>
      <c r="D1543">
        <v>87.18</v>
      </c>
      <c r="E1543">
        <v>51.67</v>
      </c>
      <c r="F1543">
        <v>8.37</v>
      </c>
      <c r="G1543">
        <v>6.33</v>
      </c>
      <c r="H1543">
        <v>32178</v>
      </c>
      <c r="I1543">
        <v>1.3</v>
      </c>
      <c r="J1543">
        <v>201.13</v>
      </c>
      <c r="K1543" t="s">
        <v>312</v>
      </c>
    </row>
    <row r="1544" spans="1:11">
      <c r="A1544" t="str">
        <f>"300056"</f>
        <v>300056</v>
      </c>
      <c r="B1544" t="s">
        <v>1862</v>
      </c>
      <c r="C1544">
        <v>32.51</v>
      </c>
      <c r="D1544">
        <v>7.48</v>
      </c>
      <c r="E1544">
        <v>1.48</v>
      </c>
      <c r="F1544">
        <v>3.85</v>
      </c>
      <c r="G1544">
        <v>3.85</v>
      </c>
      <c r="H1544">
        <v>21508</v>
      </c>
      <c r="I1544">
        <v>22.04</v>
      </c>
      <c r="J1544" t="s">
        <v>14</v>
      </c>
      <c r="K1544" t="s">
        <v>1330</v>
      </c>
    </row>
    <row r="1545" spans="1:11">
      <c r="A1545" t="str">
        <f>"300057"</f>
        <v>300057</v>
      </c>
      <c r="B1545" t="s">
        <v>1863</v>
      </c>
      <c r="C1545">
        <v>42.42</v>
      </c>
      <c r="D1545">
        <v>105.83</v>
      </c>
      <c r="E1545">
        <v>51.84</v>
      </c>
      <c r="F1545">
        <v>8.98</v>
      </c>
      <c r="G1545">
        <v>7.25</v>
      </c>
      <c r="H1545">
        <v>37790</v>
      </c>
      <c r="I1545">
        <v>1.01</v>
      </c>
      <c r="J1545" t="s">
        <v>14</v>
      </c>
      <c r="K1545" t="s">
        <v>288</v>
      </c>
    </row>
    <row r="1546" spans="1:11">
      <c r="A1546" t="str">
        <f>"300058"</f>
        <v>300058</v>
      </c>
      <c r="B1546" t="s">
        <v>1864</v>
      </c>
      <c r="C1546">
        <v>752.73</v>
      </c>
      <c r="D1546">
        <v>242.78</v>
      </c>
      <c r="E1546">
        <v>79.34</v>
      </c>
      <c r="F1546">
        <v>35.9</v>
      </c>
      <c r="G1546">
        <v>34.8</v>
      </c>
      <c r="H1546">
        <v>205710</v>
      </c>
      <c r="I1546">
        <v>9.79</v>
      </c>
      <c r="J1546">
        <v>297.64</v>
      </c>
      <c r="K1546" t="s">
        <v>333</v>
      </c>
    </row>
    <row r="1547" spans="1:11">
      <c r="A1547" t="str">
        <f>"300059"</f>
        <v>300059</v>
      </c>
      <c r="B1547" t="s">
        <v>1865</v>
      </c>
      <c r="C1547">
        <v>3306.64</v>
      </c>
      <c r="D1547">
        <v>3802.55</v>
      </c>
      <c r="E1547">
        <v>888.79</v>
      </c>
      <c r="F1547">
        <v>158.04</v>
      </c>
      <c r="G1547">
        <v>133.76</v>
      </c>
      <c r="H1547">
        <v>1013879</v>
      </c>
      <c r="I1547">
        <v>4.4</v>
      </c>
      <c r="J1547">
        <v>32.21</v>
      </c>
      <c r="K1547" t="s">
        <v>120</v>
      </c>
    </row>
    <row r="1548" spans="1:11">
      <c r="A1548" t="str">
        <f>"300061"</f>
        <v>300061</v>
      </c>
      <c r="B1548" t="s">
        <v>1866</v>
      </c>
      <c r="C1548">
        <v>71.92</v>
      </c>
      <c r="D1548">
        <v>12.91</v>
      </c>
      <c r="E1548">
        <v>5.24</v>
      </c>
      <c r="F1548">
        <v>6.59</v>
      </c>
      <c r="G1548">
        <v>6.22</v>
      </c>
      <c r="H1548">
        <v>53082</v>
      </c>
      <c r="I1548">
        <v>14.54</v>
      </c>
      <c r="J1548" t="s">
        <v>14</v>
      </c>
      <c r="K1548" t="s">
        <v>283</v>
      </c>
    </row>
    <row r="1549" spans="1:11">
      <c r="A1549" t="str">
        <f>"300062"</f>
        <v>300062</v>
      </c>
      <c r="B1549" t="s">
        <v>1867</v>
      </c>
      <c r="C1549">
        <v>48.6</v>
      </c>
      <c r="D1549">
        <v>29.48</v>
      </c>
      <c r="E1549">
        <v>12.46</v>
      </c>
      <c r="F1549">
        <v>6.3</v>
      </c>
      <c r="G1549">
        <v>4.58</v>
      </c>
      <c r="H1549">
        <v>28200</v>
      </c>
      <c r="I1549">
        <v>4.89</v>
      </c>
      <c r="J1549">
        <v>979.6</v>
      </c>
      <c r="K1549" t="s">
        <v>208</v>
      </c>
    </row>
    <row r="1550" spans="1:11">
      <c r="A1550" t="str">
        <f>"300063"</f>
        <v>300063</v>
      </c>
      <c r="B1550" t="s">
        <v>1868</v>
      </c>
      <c r="C1550">
        <v>109.21</v>
      </c>
      <c r="D1550">
        <v>33.76</v>
      </c>
      <c r="E1550">
        <v>17.39</v>
      </c>
      <c r="F1550">
        <v>7.59</v>
      </c>
      <c r="G1550">
        <v>6.27</v>
      </c>
      <c r="H1550">
        <v>78605</v>
      </c>
      <c r="I1550">
        <v>7.6</v>
      </c>
      <c r="J1550">
        <v>89.4</v>
      </c>
      <c r="K1550" t="s">
        <v>333</v>
      </c>
    </row>
    <row r="1551" spans="1:11">
      <c r="A1551" t="str">
        <f>"300065"</f>
        <v>300065</v>
      </c>
      <c r="B1551" t="s">
        <v>1869</v>
      </c>
      <c r="C1551">
        <v>158.44</v>
      </c>
      <c r="D1551">
        <v>22.46</v>
      </c>
      <c r="E1551">
        <v>17.55</v>
      </c>
      <c r="F1551">
        <v>7.22</v>
      </c>
      <c r="G1551">
        <v>6.57</v>
      </c>
      <c r="H1551">
        <v>102335</v>
      </c>
      <c r="I1551">
        <v>9.9</v>
      </c>
      <c r="J1551">
        <v>327.88</v>
      </c>
      <c r="K1551" t="s">
        <v>1816</v>
      </c>
    </row>
    <row r="1552" spans="1:11">
      <c r="A1552" t="str">
        <f>"300066"</f>
        <v>300066</v>
      </c>
      <c r="B1552" t="s">
        <v>1870</v>
      </c>
      <c r="C1552">
        <v>68</v>
      </c>
      <c r="D1552">
        <v>32.08</v>
      </c>
      <c r="E1552">
        <v>26.15</v>
      </c>
      <c r="F1552">
        <v>10.4</v>
      </c>
      <c r="G1552">
        <v>10.06</v>
      </c>
      <c r="H1552">
        <v>67291</v>
      </c>
      <c r="I1552">
        <v>2.69</v>
      </c>
      <c r="J1552">
        <v>36.65</v>
      </c>
      <c r="K1552" t="s">
        <v>952</v>
      </c>
    </row>
    <row r="1553" spans="1:11">
      <c r="A1553" t="str">
        <f>"300067"</f>
        <v>300067</v>
      </c>
      <c r="B1553" t="s">
        <v>1871</v>
      </c>
      <c r="C1553">
        <v>51.09</v>
      </c>
      <c r="D1553">
        <v>35.59</v>
      </c>
      <c r="E1553">
        <v>24.97</v>
      </c>
      <c r="F1553">
        <v>11.54</v>
      </c>
      <c r="G1553">
        <v>9.37</v>
      </c>
      <c r="H1553">
        <v>45107</v>
      </c>
      <c r="I1553">
        <v>2.52</v>
      </c>
      <c r="J1553" t="s">
        <v>14</v>
      </c>
      <c r="K1553" t="s">
        <v>812</v>
      </c>
    </row>
    <row r="1554" spans="1:11">
      <c r="A1554" t="str">
        <f>"300068"</f>
        <v>300068</v>
      </c>
      <c r="B1554" t="s">
        <v>1872</v>
      </c>
      <c r="C1554">
        <v>144.02</v>
      </c>
      <c r="D1554">
        <v>173.99</v>
      </c>
      <c r="E1554">
        <v>38.45</v>
      </c>
      <c r="F1554">
        <v>8.98</v>
      </c>
      <c r="G1554">
        <v>8.53</v>
      </c>
      <c r="H1554">
        <v>115048</v>
      </c>
      <c r="I1554">
        <v>3.94</v>
      </c>
      <c r="J1554" t="s">
        <v>14</v>
      </c>
      <c r="K1554" t="s">
        <v>1365</v>
      </c>
    </row>
    <row r="1555" spans="1:11">
      <c r="A1555" t="str">
        <f>"300069"</f>
        <v>300069</v>
      </c>
      <c r="B1555" t="s">
        <v>1873</v>
      </c>
      <c r="C1555">
        <v>21.95</v>
      </c>
      <c r="D1555">
        <v>6.4</v>
      </c>
      <c r="E1555">
        <v>2.82</v>
      </c>
      <c r="F1555">
        <v>1.17</v>
      </c>
      <c r="G1555">
        <v>1.17</v>
      </c>
      <c r="H1555">
        <v>15650</v>
      </c>
      <c r="I1555">
        <v>7.77</v>
      </c>
      <c r="J1555">
        <v>226.93</v>
      </c>
      <c r="K1555" t="s">
        <v>383</v>
      </c>
    </row>
    <row r="1556" spans="1:11">
      <c r="A1556" t="str">
        <f>"300070"</f>
        <v>300070</v>
      </c>
      <c r="B1556" t="s">
        <v>1874</v>
      </c>
      <c r="C1556">
        <v>136.56</v>
      </c>
      <c r="D1556">
        <v>824.03</v>
      </c>
      <c r="E1556">
        <v>271.99</v>
      </c>
      <c r="F1556">
        <v>36.24</v>
      </c>
      <c r="G1556">
        <v>33.72</v>
      </c>
      <c r="H1556">
        <v>74184</v>
      </c>
      <c r="I1556">
        <v>0.54</v>
      </c>
      <c r="J1556" t="s">
        <v>14</v>
      </c>
      <c r="K1556" t="s">
        <v>90</v>
      </c>
    </row>
    <row r="1557" spans="1:11">
      <c r="A1557" t="str">
        <f>"300071"</f>
        <v>300071</v>
      </c>
      <c r="B1557" t="s">
        <v>1875</v>
      </c>
      <c r="C1557">
        <v>81.3</v>
      </c>
      <c r="D1557">
        <v>9.97</v>
      </c>
      <c r="E1557">
        <v>1.4</v>
      </c>
      <c r="F1557">
        <v>9.64</v>
      </c>
      <c r="G1557">
        <v>9.45</v>
      </c>
      <c r="H1557">
        <v>57990</v>
      </c>
      <c r="I1557">
        <v>58.9</v>
      </c>
      <c r="J1557" t="s">
        <v>14</v>
      </c>
      <c r="K1557" t="s">
        <v>333</v>
      </c>
    </row>
    <row r="1558" spans="1:11">
      <c r="A1558" t="str">
        <f>"300072"</f>
        <v>300072</v>
      </c>
      <c r="B1558" t="s">
        <v>1876</v>
      </c>
      <c r="C1558">
        <v>116.57</v>
      </c>
      <c r="D1558">
        <v>84.34</v>
      </c>
      <c r="E1558">
        <v>60.34</v>
      </c>
      <c r="F1558">
        <v>23.5</v>
      </c>
      <c r="G1558">
        <v>23.31</v>
      </c>
      <c r="H1558">
        <v>64158</v>
      </c>
      <c r="I1558">
        <v>1.95</v>
      </c>
      <c r="J1558">
        <v>152.05</v>
      </c>
      <c r="K1558" t="s">
        <v>511</v>
      </c>
    </row>
    <row r="1559" spans="1:11">
      <c r="A1559" t="str">
        <f>"300073"</f>
        <v>300073</v>
      </c>
      <c r="B1559" t="s">
        <v>1877</v>
      </c>
      <c r="C1559">
        <v>304.85</v>
      </c>
      <c r="D1559">
        <v>203.08</v>
      </c>
      <c r="E1559">
        <v>145.64</v>
      </c>
      <c r="F1559">
        <v>5.44</v>
      </c>
      <c r="G1559">
        <v>5.06</v>
      </c>
      <c r="H1559">
        <v>86399</v>
      </c>
      <c r="I1559">
        <v>2.25</v>
      </c>
      <c r="J1559">
        <v>48.92</v>
      </c>
      <c r="K1559" t="s">
        <v>24</v>
      </c>
    </row>
    <row r="1560" spans="1:11">
      <c r="A1560" t="str">
        <f>"300074"</f>
        <v>300074</v>
      </c>
      <c r="B1560" t="s">
        <v>1878</v>
      </c>
      <c r="C1560">
        <v>28.42</v>
      </c>
      <c r="D1560">
        <v>15.51</v>
      </c>
      <c r="E1560">
        <v>9.85</v>
      </c>
      <c r="F1560">
        <v>5.47</v>
      </c>
      <c r="G1560">
        <v>5.44</v>
      </c>
      <c r="H1560">
        <v>26197</v>
      </c>
      <c r="I1560">
        <v>2.9</v>
      </c>
      <c r="J1560" t="s">
        <v>14</v>
      </c>
      <c r="K1560" t="s">
        <v>117</v>
      </c>
    </row>
    <row r="1561" spans="1:11">
      <c r="A1561" t="str">
        <f>"300075"</f>
        <v>300075</v>
      </c>
      <c r="B1561" t="s">
        <v>1879</v>
      </c>
      <c r="C1561">
        <v>89.74</v>
      </c>
      <c r="D1561">
        <v>40.74</v>
      </c>
      <c r="E1561">
        <v>34.85</v>
      </c>
      <c r="F1561">
        <v>6.21</v>
      </c>
      <c r="G1561">
        <v>5.15</v>
      </c>
      <c r="H1561">
        <v>68734</v>
      </c>
      <c r="I1561">
        <v>3.1</v>
      </c>
      <c r="J1561" t="s">
        <v>14</v>
      </c>
      <c r="K1561" t="s">
        <v>117</v>
      </c>
    </row>
    <row r="1562" spans="1:11">
      <c r="A1562" t="str">
        <f>"300076"</f>
        <v>300076</v>
      </c>
      <c r="B1562" t="s">
        <v>1880</v>
      </c>
      <c r="C1562">
        <v>35.19</v>
      </c>
      <c r="D1562">
        <v>10.07</v>
      </c>
      <c r="E1562">
        <v>8.99</v>
      </c>
      <c r="F1562">
        <v>4.24</v>
      </c>
      <c r="G1562">
        <v>4.24</v>
      </c>
      <c r="H1562">
        <v>27386</v>
      </c>
      <c r="I1562">
        <v>3.91</v>
      </c>
      <c r="J1562" t="s">
        <v>14</v>
      </c>
      <c r="K1562" t="s">
        <v>39</v>
      </c>
    </row>
    <row r="1563" spans="1:11">
      <c r="A1563" t="str">
        <f>"300077"</f>
        <v>300077</v>
      </c>
      <c r="B1563" t="s">
        <v>1881</v>
      </c>
      <c r="C1563">
        <v>127.71</v>
      </c>
      <c r="D1563">
        <v>35.66</v>
      </c>
      <c r="E1563">
        <v>9.62</v>
      </c>
      <c r="F1563">
        <v>5.83</v>
      </c>
      <c r="G1563">
        <v>5.66</v>
      </c>
      <c r="H1563">
        <v>141886</v>
      </c>
      <c r="I1563">
        <v>13.67</v>
      </c>
      <c r="J1563" t="s">
        <v>14</v>
      </c>
      <c r="K1563" t="s">
        <v>691</v>
      </c>
    </row>
    <row r="1564" spans="1:11">
      <c r="A1564" t="str">
        <f>"300078"</f>
        <v>300078</v>
      </c>
      <c r="B1564" t="s">
        <v>1882</v>
      </c>
      <c r="C1564">
        <v>68.03</v>
      </c>
      <c r="D1564">
        <v>10.09</v>
      </c>
      <c r="E1564">
        <v>5.78</v>
      </c>
      <c r="F1564">
        <v>11.18</v>
      </c>
      <c r="G1564">
        <v>11.13</v>
      </c>
      <c r="H1564">
        <v>58359</v>
      </c>
      <c r="I1564">
        <v>11.82</v>
      </c>
      <c r="J1564" t="s">
        <v>14</v>
      </c>
      <c r="K1564" t="s">
        <v>117</v>
      </c>
    </row>
    <row r="1565" spans="1:11">
      <c r="A1565" t="str">
        <f>"300079"</f>
        <v>300079</v>
      </c>
      <c r="B1565" t="s">
        <v>1883</v>
      </c>
      <c r="C1565">
        <v>77.91</v>
      </c>
      <c r="D1565">
        <v>46.51</v>
      </c>
      <c r="E1565">
        <v>42.18</v>
      </c>
      <c r="F1565">
        <v>14.26</v>
      </c>
      <c r="G1565">
        <v>12.81</v>
      </c>
      <c r="H1565">
        <v>81371</v>
      </c>
      <c r="I1565">
        <v>2.06</v>
      </c>
      <c r="J1565">
        <v>264.11</v>
      </c>
      <c r="K1565" t="s">
        <v>117</v>
      </c>
    </row>
    <row r="1566" spans="1:11">
      <c r="A1566" t="str">
        <f>"300080"</f>
        <v>300080</v>
      </c>
      <c r="B1566" t="s">
        <v>1884</v>
      </c>
      <c r="C1566">
        <v>95.23</v>
      </c>
      <c r="D1566">
        <v>145.07</v>
      </c>
      <c r="E1566">
        <v>48.26</v>
      </c>
      <c r="F1566">
        <v>18.73</v>
      </c>
      <c r="G1566">
        <v>18.71</v>
      </c>
      <c r="H1566">
        <v>40076</v>
      </c>
      <c r="I1566">
        <v>1.98</v>
      </c>
      <c r="J1566" t="s">
        <v>14</v>
      </c>
      <c r="K1566" t="s">
        <v>815</v>
      </c>
    </row>
    <row r="1567" spans="1:11">
      <c r="A1567" t="str">
        <f>"300081"</f>
        <v>300081</v>
      </c>
      <c r="B1567" t="s">
        <v>1885</v>
      </c>
      <c r="C1567">
        <v>36.83</v>
      </c>
      <c r="D1567">
        <v>17.95</v>
      </c>
      <c r="E1567">
        <v>10.62</v>
      </c>
      <c r="F1567">
        <v>6.05</v>
      </c>
      <c r="G1567">
        <v>6.05</v>
      </c>
      <c r="H1567">
        <v>49058</v>
      </c>
      <c r="I1567">
        <v>3.47</v>
      </c>
      <c r="J1567" t="s">
        <v>14</v>
      </c>
      <c r="K1567" t="s">
        <v>486</v>
      </c>
    </row>
    <row r="1568" spans="1:11">
      <c r="A1568" t="str">
        <f>"300082"</f>
        <v>300082</v>
      </c>
      <c r="B1568" t="s">
        <v>1886</v>
      </c>
      <c r="C1568">
        <v>70.47</v>
      </c>
      <c r="D1568">
        <v>55.77</v>
      </c>
      <c r="E1568">
        <v>27.37</v>
      </c>
      <c r="F1568">
        <v>6.8</v>
      </c>
      <c r="G1568">
        <v>6.78</v>
      </c>
      <c r="H1568">
        <v>29988</v>
      </c>
      <c r="I1568">
        <v>2.58</v>
      </c>
      <c r="J1568" t="s">
        <v>14</v>
      </c>
      <c r="K1568" t="s">
        <v>1201</v>
      </c>
    </row>
    <row r="1569" spans="1:11">
      <c r="A1569" t="str">
        <f>"300083"</f>
        <v>300083</v>
      </c>
      <c r="B1569" t="s">
        <v>1887</v>
      </c>
      <c r="C1569">
        <v>143.33</v>
      </c>
      <c r="D1569">
        <v>115.47</v>
      </c>
      <c r="E1569">
        <v>54.28</v>
      </c>
      <c r="F1569">
        <v>16.65</v>
      </c>
      <c r="G1569">
        <v>14.93</v>
      </c>
      <c r="H1569">
        <v>95105</v>
      </c>
      <c r="I1569">
        <v>2.94</v>
      </c>
      <c r="J1569">
        <v>34.45</v>
      </c>
      <c r="K1569" t="s">
        <v>141</v>
      </c>
    </row>
    <row r="1570" spans="1:11">
      <c r="A1570" t="str">
        <f>"300084"</f>
        <v>300084</v>
      </c>
      <c r="B1570" t="s">
        <v>1888</v>
      </c>
      <c r="C1570">
        <v>37.29</v>
      </c>
      <c r="D1570">
        <v>20.04</v>
      </c>
      <c r="E1570">
        <v>12.53</v>
      </c>
      <c r="F1570">
        <v>5.1</v>
      </c>
      <c r="G1570">
        <v>3.45</v>
      </c>
      <c r="H1570">
        <v>21332</v>
      </c>
      <c r="I1570">
        <v>4.41</v>
      </c>
      <c r="J1570" t="s">
        <v>14</v>
      </c>
      <c r="K1570" t="s">
        <v>491</v>
      </c>
    </row>
    <row r="1571" spans="1:11">
      <c r="A1571" t="str">
        <f>"300085"</f>
        <v>300085</v>
      </c>
      <c r="B1571" t="s">
        <v>1889</v>
      </c>
      <c r="C1571">
        <v>307.23</v>
      </c>
      <c r="D1571">
        <v>9.72</v>
      </c>
      <c r="E1571">
        <v>5.01</v>
      </c>
      <c r="F1571">
        <v>7.07</v>
      </c>
      <c r="G1571">
        <v>6.52</v>
      </c>
      <c r="H1571">
        <v>113692</v>
      </c>
      <c r="I1571">
        <v>66.46</v>
      </c>
      <c r="J1571" t="s">
        <v>14</v>
      </c>
      <c r="K1571" t="s">
        <v>117</v>
      </c>
    </row>
    <row r="1572" spans="1:11">
      <c r="A1572" t="str">
        <f>"300086"</f>
        <v>300086</v>
      </c>
      <c r="B1572" t="s">
        <v>1890</v>
      </c>
      <c r="C1572">
        <v>48.92</v>
      </c>
      <c r="D1572">
        <v>18.79</v>
      </c>
      <c r="E1572">
        <v>10.5</v>
      </c>
      <c r="F1572">
        <v>4.55</v>
      </c>
      <c r="G1572">
        <v>4.41</v>
      </c>
      <c r="H1572">
        <v>41838</v>
      </c>
      <c r="I1572">
        <v>4.81</v>
      </c>
      <c r="J1572" t="s">
        <v>14</v>
      </c>
      <c r="K1572" t="s">
        <v>109</v>
      </c>
    </row>
    <row r="1573" spans="1:11">
      <c r="A1573" t="str">
        <f>"300087"</f>
        <v>300087</v>
      </c>
      <c r="B1573" t="s">
        <v>1891</v>
      </c>
      <c r="C1573">
        <v>91.99</v>
      </c>
      <c r="D1573">
        <v>75.37</v>
      </c>
      <c r="E1573">
        <v>17.42</v>
      </c>
      <c r="F1573">
        <v>9.47</v>
      </c>
      <c r="G1573">
        <v>8.96</v>
      </c>
      <c r="H1573">
        <v>35000</v>
      </c>
      <c r="I1573">
        <v>5.58</v>
      </c>
      <c r="J1573" t="s">
        <v>14</v>
      </c>
      <c r="K1573" t="s">
        <v>373</v>
      </c>
    </row>
    <row r="1574" spans="1:11">
      <c r="A1574" t="str">
        <f>"300088"</f>
        <v>300088</v>
      </c>
      <c r="B1574" t="s">
        <v>1892</v>
      </c>
      <c r="C1574">
        <v>159.32</v>
      </c>
      <c r="D1574">
        <v>184.11</v>
      </c>
      <c r="E1574">
        <v>87.39</v>
      </c>
      <c r="F1574">
        <v>24.98</v>
      </c>
      <c r="G1574">
        <v>24.86</v>
      </c>
      <c r="H1574">
        <v>120569</v>
      </c>
      <c r="I1574">
        <v>1.83</v>
      </c>
      <c r="J1574">
        <v>42.06</v>
      </c>
      <c r="K1574" t="s">
        <v>66</v>
      </c>
    </row>
    <row r="1575" spans="1:11">
      <c r="A1575" t="str">
        <f>"300091"</f>
        <v>300091</v>
      </c>
      <c r="B1575" t="s">
        <v>1893</v>
      </c>
      <c r="C1575">
        <v>47.68</v>
      </c>
      <c r="D1575">
        <v>39.7</v>
      </c>
      <c r="E1575">
        <v>4.15</v>
      </c>
      <c r="F1575">
        <v>14.89</v>
      </c>
      <c r="G1575">
        <v>14.76</v>
      </c>
      <c r="H1575">
        <v>42643</v>
      </c>
      <c r="I1575">
        <v>11.62</v>
      </c>
      <c r="J1575" t="s">
        <v>14</v>
      </c>
      <c r="K1575" t="s">
        <v>744</v>
      </c>
    </row>
    <row r="1576" spans="1:11">
      <c r="A1576" t="str">
        <f>"300092"</f>
        <v>300092</v>
      </c>
      <c r="B1576" t="s">
        <v>1894</v>
      </c>
      <c r="C1576">
        <v>35.64</v>
      </c>
      <c r="D1576">
        <v>22.88</v>
      </c>
      <c r="E1576">
        <v>16.24</v>
      </c>
      <c r="F1576">
        <v>2.74</v>
      </c>
      <c r="G1576">
        <v>2.1</v>
      </c>
      <c r="H1576">
        <v>22183</v>
      </c>
      <c r="I1576">
        <v>2.86</v>
      </c>
      <c r="J1576">
        <v>63.21</v>
      </c>
      <c r="K1576" t="s">
        <v>491</v>
      </c>
    </row>
    <row r="1577" spans="1:11">
      <c r="A1577" t="str">
        <f>"300093"</f>
        <v>300093</v>
      </c>
      <c r="B1577" t="s">
        <v>1895</v>
      </c>
      <c r="C1577">
        <v>50.33</v>
      </c>
      <c r="D1577">
        <v>28.85</v>
      </c>
      <c r="E1577">
        <v>-11.93</v>
      </c>
      <c r="F1577">
        <v>5.4</v>
      </c>
      <c r="G1577">
        <v>2.79</v>
      </c>
      <c r="H1577">
        <v>15297</v>
      </c>
      <c r="I1577">
        <v>-3.27</v>
      </c>
      <c r="J1577" t="s">
        <v>14</v>
      </c>
      <c r="K1577" t="s">
        <v>667</v>
      </c>
    </row>
    <row r="1578" spans="1:11">
      <c r="A1578" t="str">
        <f>"300094"</f>
        <v>300094</v>
      </c>
      <c r="B1578" t="s">
        <v>1896</v>
      </c>
      <c r="C1578">
        <v>43.56</v>
      </c>
      <c r="D1578">
        <v>35.08</v>
      </c>
      <c r="E1578">
        <v>10.29</v>
      </c>
      <c r="F1578">
        <v>11.28</v>
      </c>
      <c r="G1578">
        <v>11.06</v>
      </c>
      <c r="H1578">
        <v>52761</v>
      </c>
      <c r="I1578">
        <v>4.32</v>
      </c>
      <c r="J1578" t="s">
        <v>14</v>
      </c>
      <c r="K1578" t="s">
        <v>831</v>
      </c>
    </row>
    <row r="1579" spans="1:11">
      <c r="A1579" t="str">
        <f>"300095"</f>
        <v>300095</v>
      </c>
      <c r="B1579" t="s">
        <v>1897</v>
      </c>
      <c r="C1579">
        <v>40.31</v>
      </c>
      <c r="D1579">
        <v>32.88</v>
      </c>
      <c r="E1579">
        <v>16.7</v>
      </c>
      <c r="F1579">
        <v>4.2</v>
      </c>
      <c r="G1579">
        <v>3.39</v>
      </c>
      <c r="H1579">
        <v>38030</v>
      </c>
      <c r="I1579">
        <v>2.99</v>
      </c>
      <c r="J1579">
        <v>90.99</v>
      </c>
      <c r="K1579" t="s">
        <v>491</v>
      </c>
    </row>
    <row r="1580" spans="1:11">
      <c r="A1580" t="str">
        <f>"300096"</f>
        <v>300096</v>
      </c>
      <c r="B1580" t="s">
        <v>1898</v>
      </c>
      <c r="C1580">
        <v>33.02</v>
      </c>
      <c r="D1580">
        <v>8.79</v>
      </c>
      <c r="E1580">
        <v>3.51</v>
      </c>
      <c r="F1580">
        <v>4.3</v>
      </c>
      <c r="G1580">
        <v>4.3</v>
      </c>
      <c r="H1580">
        <v>16323</v>
      </c>
      <c r="I1580">
        <v>9.42</v>
      </c>
      <c r="J1580">
        <v>65.28</v>
      </c>
      <c r="K1580" t="s">
        <v>117</v>
      </c>
    </row>
    <row r="1581" spans="1:11">
      <c r="A1581" t="str">
        <f>"300097"</f>
        <v>300097</v>
      </c>
      <c r="B1581" t="s">
        <v>1899</v>
      </c>
      <c r="C1581">
        <v>20.36</v>
      </c>
      <c r="D1581">
        <v>7.46</v>
      </c>
      <c r="E1581">
        <v>3.8</v>
      </c>
      <c r="F1581">
        <v>2.89</v>
      </c>
      <c r="G1581">
        <v>2.7</v>
      </c>
      <c r="H1581">
        <v>15921</v>
      </c>
      <c r="I1581">
        <v>5.73</v>
      </c>
      <c r="J1581" t="s">
        <v>14</v>
      </c>
      <c r="K1581" t="s">
        <v>493</v>
      </c>
    </row>
    <row r="1582" spans="1:11">
      <c r="A1582" t="str">
        <f>"300098"</f>
        <v>300098</v>
      </c>
      <c r="B1582" t="s">
        <v>1900</v>
      </c>
      <c r="C1582">
        <v>108.69</v>
      </c>
      <c r="D1582">
        <v>49.7</v>
      </c>
      <c r="E1582">
        <v>27.16</v>
      </c>
      <c r="F1582">
        <v>17.38</v>
      </c>
      <c r="G1582">
        <v>15.42</v>
      </c>
      <c r="H1582">
        <v>89047</v>
      </c>
      <c r="I1582">
        <v>4.51</v>
      </c>
      <c r="J1582">
        <v>144.58</v>
      </c>
      <c r="K1582" t="s">
        <v>117</v>
      </c>
    </row>
    <row r="1583" spans="1:11">
      <c r="A1583" t="str">
        <f>"300099"</f>
        <v>300099</v>
      </c>
      <c r="B1583" t="s">
        <v>1901</v>
      </c>
      <c r="C1583">
        <v>46.63</v>
      </c>
      <c r="D1583">
        <v>28.08</v>
      </c>
      <c r="E1583">
        <v>22.86</v>
      </c>
      <c r="F1583">
        <v>7.37</v>
      </c>
      <c r="G1583">
        <v>5.81</v>
      </c>
      <c r="H1583">
        <v>32489</v>
      </c>
      <c r="I1583">
        <v>2.59</v>
      </c>
      <c r="J1583">
        <v>76.99</v>
      </c>
      <c r="K1583" t="s">
        <v>491</v>
      </c>
    </row>
    <row r="1584" spans="1:11">
      <c r="A1584" t="str">
        <f>"300100"</f>
        <v>300100</v>
      </c>
      <c r="B1584" t="s">
        <v>1902</v>
      </c>
      <c r="C1584">
        <v>218.03</v>
      </c>
      <c r="D1584">
        <v>67.78</v>
      </c>
      <c r="E1584">
        <v>30.78</v>
      </c>
      <c r="F1584">
        <v>5.72</v>
      </c>
      <c r="G1584">
        <v>5.52</v>
      </c>
      <c r="H1584">
        <v>80154</v>
      </c>
      <c r="I1584">
        <v>7.33</v>
      </c>
      <c r="J1584">
        <v>42.09</v>
      </c>
      <c r="K1584" t="s">
        <v>356</v>
      </c>
    </row>
    <row r="1585" spans="1:11">
      <c r="A1585" t="str">
        <f>"300101"</f>
        <v>300101</v>
      </c>
      <c r="B1585" t="s">
        <v>1903</v>
      </c>
      <c r="C1585">
        <v>171.28</v>
      </c>
      <c r="D1585">
        <v>30.06</v>
      </c>
      <c r="E1585">
        <v>18.43</v>
      </c>
      <c r="F1585">
        <v>5.68</v>
      </c>
      <c r="G1585">
        <v>5.66</v>
      </c>
      <c r="H1585">
        <v>38808</v>
      </c>
      <c r="I1585">
        <v>9.32</v>
      </c>
      <c r="J1585">
        <v>138.92</v>
      </c>
      <c r="K1585" t="s">
        <v>223</v>
      </c>
    </row>
    <row r="1586" spans="1:11">
      <c r="A1586" t="str">
        <f>"300102"</f>
        <v>300102</v>
      </c>
      <c r="B1586" t="s">
        <v>1904</v>
      </c>
      <c r="C1586">
        <v>317.51</v>
      </c>
      <c r="D1586">
        <v>64.49</v>
      </c>
      <c r="E1586">
        <v>42.36</v>
      </c>
      <c r="F1586">
        <v>9.2</v>
      </c>
      <c r="G1586">
        <v>9.16</v>
      </c>
      <c r="H1586">
        <v>72200</v>
      </c>
      <c r="I1586">
        <v>7.53</v>
      </c>
      <c r="J1586">
        <v>271.94</v>
      </c>
      <c r="K1586" t="s">
        <v>216</v>
      </c>
    </row>
    <row r="1587" spans="1:11">
      <c r="A1587" t="str">
        <f>"300103"</f>
        <v>300103</v>
      </c>
      <c r="B1587" t="s">
        <v>1905</v>
      </c>
      <c r="C1587">
        <v>25.26</v>
      </c>
      <c r="D1587">
        <v>7.75</v>
      </c>
      <c r="E1587">
        <v>4.86</v>
      </c>
      <c r="F1587">
        <v>3.18</v>
      </c>
      <c r="G1587">
        <v>3.17</v>
      </c>
      <c r="H1587">
        <v>14069</v>
      </c>
      <c r="I1587">
        <v>5.2</v>
      </c>
      <c r="J1587" t="s">
        <v>14</v>
      </c>
      <c r="K1587" t="s">
        <v>493</v>
      </c>
    </row>
    <row r="1588" spans="1:11">
      <c r="A1588" t="str">
        <f>"300105"</f>
        <v>300105</v>
      </c>
      <c r="B1588" t="s">
        <v>1906</v>
      </c>
      <c r="C1588">
        <v>38.38</v>
      </c>
      <c r="D1588">
        <v>27.2</v>
      </c>
      <c r="E1588">
        <v>19.26</v>
      </c>
      <c r="F1588">
        <v>5.16</v>
      </c>
      <c r="G1588">
        <v>5.16</v>
      </c>
      <c r="H1588">
        <v>23508</v>
      </c>
      <c r="I1588">
        <v>1.99</v>
      </c>
      <c r="J1588">
        <v>76.43</v>
      </c>
      <c r="K1588" t="s">
        <v>228</v>
      </c>
    </row>
    <row r="1589" spans="1:11">
      <c r="A1589" t="str">
        <f>"300106"</f>
        <v>300106</v>
      </c>
      <c r="B1589" t="s">
        <v>1907</v>
      </c>
      <c r="C1589">
        <v>23.35</v>
      </c>
      <c r="D1589">
        <v>10.56</v>
      </c>
      <c r="E1589">
        <v>3.86</v>
      </c>
      <c r="F1589">
        <v>2.11</v>
      </c>
      <c r="G1589">
        <v>2.11</v>
      </c>
      <c r="H1589">
        <v>21800</v>
      </c>
      <c r="I1589">
        <v>6.05</v>
      </c>
      <c r="J1589" t="s">
        <v>14</v>
      </c>
      <c r="K1589" t="s">
        <v>699</v>
      </c>
    </row>
    <row r="1590" spans="1:11">
      <c r="A1590" t="str">
        <f>"300107"</f>
        <v>300107</v>
      </c>
      <c r="B1590" t="s">
        <v>1908</v>
      </c>
      <c r="C1590">
        <v>25.39</v>
      </c>
      <c r="D1590">
        <v>16.66</v>
      </c>
      <c r="E1590">
        <v>15.04</v>
      </c>
      <c r="F1590">
        <v>5.63</v>
      </c>
      <c r="G1590">
        <v>3.47</v>
      </c>
      <c r="H1590">
        <v>34031</v>
      </c>
      <c r="I1590">
        <v>2.73</v>
      </c>
      <c r="J1590">
        <v>516.31</v>
      </c>
      <c r="K1590" t="s">
        <v>812</v>
      </c>
    </row>
    <row r="1591" spans="1:11">
      <c r="A1591" t="str">
        <f>"300109"</f>
        <v>300109</v>
      </c>
      <c r="B1591" t="s">
        <v>1909</v>
      </c>
      <c r="C1591">
        <v>78.75</v>
      </c>
      <c r="D1591">
        <v>42.43</v>
      </c>
      <c r="E1591">
        <v>37.22</v>
      </c>
      <c r="F1591">
        <v>4.86</v>
      </c>
      <c r="G1591">
        <v>4.5</v>
      </c>
      <c r="H1591">
        <v>19000</v>
      </c>
      <c r="I1591">
        <v>2.29</v>
      </c>
      <c r="J1591">
        <v>31.72</v>
      </c>
      <c r="K1591" t="s">
        <v>511</v>
      </c>
    </row>
    <row r="1592" spans="1:11">
      <c r="A1592" t="str">
        <f>"300110"</f>
        <v>300110</v>
      </c>
      <c r="B1592" t="s">
        <v>1910</v>
      </c>
      <c r="C1592">
        <v>39.09</v>
      </c>
      <c r="D1592">
        <v>33.97</v>
      </c>
      <c r="E1592">
        <v>13.55</v>
      </c>
      <c r="F1592">
        <v>11.82</v>
      </c>
      <c r="G1592">
        <v>11.81</v>
      </c>
      <c r="H1592">
        <v>40000</v>
      </c>
      <c r="I1592">
        <v>2.89</v>
      </c>
      <c r="J1592">
        <v>53.77</v>
      </c>
      <c r="K1592" t="s">
        <v>109</v>
      </c>
    </row>
    <row r="1593" spans="1:11">
      <c r="A1593" t="str">
        <f>"300111"</f>
        <v>300111</v>
      </c>
      <c r="B1593" t="s">
        <v>1911</v>
      </c>
      <c r="C1593">
        <v>79.81</v>
      </c>
      <c r="D1593">
        <v>9.69</v>
      </c>
      <c r="E1593">
        <v>6.88</v>
      </c>
      <c r="F1593">
        <v>12.87</v>
      </c>
      <c r="G1593">
        <v>12.87</v>
      </c>
      <c r="H1593">
        <v>133023</v>
      </c>
      <c r="I1593">
        <v>11.61</v>
      </c>
      <c r="J1593">
        <v>4583.1</v>
      </c>
      <c r="K1593" t="s">
        <v>109</v>
      </c>
    </row>
    <row r="1594" spans="1:11">
      <c r="A1594" t="str">
        <f>"300112"</f>
        <v>300112</v>
      </c>
      <c r="B1594" t="s">
        <v>1912</v>
      </c>
      <c r="C1594">
        <v>21.36</v>
      </c>
      <c r="D1594">
        <v>17.29</v>
      </c>
      <c r="E1594">
        <v>10.61</v>
      </c>
      <c r="F1594">
        <v>2.9</v>
      </c>
      <c r="G1594">
        <v>2.38</v>
      </c>
      <c r="H1594">
        <v>20042</v>
      </c>
      <c r="I1594">
        <v>2.6</v>
      </c>
      <c r="J1594" t="s">
        <v>14</v>
      </c>
      <c r="K1594" t="s">
        <v>952</v>
      </c>
    </row>
    <row r="1595" spans="1:11">
      <c r="A1595" t="str">
        <f>"300113"</f>
        <v>300113</v>
      </c>
      <c r="B1595" t="s">
        <v>1913</v>
      </c>
      <c r="C1595">
        <v>125.04</v>
      </c>
      <c r="D1595">
        <v>30.65</v>
      </c>
      <c r="E1595">
        <v>25.26</v>
      </c>
      <c r="F1595">
        <v>6.84</v>
      </c>
      <c r="G1595">
        <v>5.18</v>
      </c>
      <c r="H1595">
        <v>54185</v>
      </c>
      <c r="I1595">
        <v>6.53</v>
      </c>
      <c r="J1595">
        <v>38.21</v>
      </c>
      <c r="K1595" t="s">
        <v>950</v>
      </c>
    </row>
    <row r="1596" spans="1:11">
      <c r="A1596" t="str">
        <f>"300115"</f>
        <v>300115</v>
      </c>
      <c r="B1596" t="s">
        <v>1914</v>
      </c>
      <c r="C1596">
        <v>564.32</v>
      </c>
      <c r="D1596">
        <v>225.7</v>
      </c>
      <c r="E1596">
        <v>82.84</v>
      </c>
      <c r="F1596">
        <v>13.61</v>
      </c>
      <c r="G1596">
        <v>13.57</v>
      </c>
      <c r="H1596">
        <v>172381</v>
      </c>
      <c r="I1596">
        <v>6.83</v>
      </c>
      <c r="J1596">
        <v>90.71</v>
      </c>
      <c r="K1596" t="s">
        <v>41</v>
      </c>
    </row>
    <row r="1597" spans="1:11">
      <c r="A1597" t="str">
        <f>"300118"</f>
        <v>300118</v>
      </c>
      <c r="B1597" t="s">
        <v>1915</v>
      </c>
      <c r="C1597">
        <v>163.68</v>
      </c>
      <c r="D1597">
        <v>359.9</v>
      </c>
      <c r="E1597">
        <v>105.18</v>
      </c>
      <c r="F1597">
        <v>11.4</v>
      </c>
      <c r="G1597">
        <v>9.27</v>
      </c>
      <c r="H1597">
        <v>76193</v>
      </c>
      <c r="I1597">
        <v>1.91</v>
      </c>
      <c r="J1597" t="s">
        <v>14</v>
      </c>
      <c r="K1597" t="s">
        <v>815</v>
      </c>
    </row>
    <row r="1598" spans="1:11">
      <c r="A1598" t="str">
        <f>"300119"</f>
        <v>300119</v>
      </c>
      <c r="B1598" t="s">
        <v>1916</v>
      </c>
      <c r="C1598">
        <v>66.69</v>
      </c>
      <c r="D1598">
        <v>76.91</v>
      </c>
      <c r="E1598">
        <v>46.73</v>
      </c>
      <c r="F1598">
        <v>4.65</v>
      </c>
      <c r="G1598">
        <v>3.35</v>
      </c>
      <c r="H1598">
        <v>25854</v>
      </c>
      <c r="I1598">
        <v>1.98</v>
      </c>
      <c r="J1598">
        <v>19.15</v>
      </c>
      <c r="K1598" t="s">
        <v>912</v>
      </c>
    </row>
    <row r="1599" spans="1:11">
      <c r="A1599" t="str">
        <f>"300120"</f>
        <v>300120</v>
      </c>
      <c r="B1599" t="s">
        <v>1917</v>
      </c>
      <c r="C1599">
        <v>47.63</v>
      </c>
      <c r="D1599">
        <v>46.4</v>
      </c>
      <c r="E1599">
        <v>29.84</v>
      </c>
      <c r="F1599">
        <v>5.74</v>
      </c>
      <c r="G1599">
        <v>5.27</v>
      </c>
      <c r="H1599">
        <v>43804</v>
      </c>
      <c r="I1599">
        <v>1.74</v>
      </c>
      <c r="J1599" t="s">
        <v>14</v>
      </c>
      <c r="K1599" t="s">
        <v>39</v>
      </c>
    </row>
    <row r="1600" spans="1:11">
      <c r="A1600" t="str">
        <f>"300121"</f>
        <v>300121</v>
      </c>
      <c r="B1600" t="s">
        <v>1918</v>
      </c>
      <c r="C1600">
        <v>56.25</v>
      </c>
      <c r="D1600">
        <v>45.82</v>
      </c>
      <c r="E1600">
        <v>35.67</v>
      </c>
      <c r="F1600">
        <v>4.45</v>
      </c>
      <c r="G1600">
        <v>4.29</v>
      </c>
      <c r="H1600">
        <v>29080</v>
      </c>
      <c r="I1600">
        <v>1.68</v>
      </c>
      <c r="J1600">
        <v>27.37</v>
      </c>
      <c r="K1600" t="s">
        <v>1919</v>
      </c>
    </row>
    <row r="1601" spans="1:11">
      <c r="A1601" t="str">
        <f>"300122"</f>
        <v>300122</v>
      </c>
      <c r="B1601" t="s">
        <v>1920</v>
      </c>
      <c r="C1601">
        <v>283.29</v>
      </c>
      <c r="D1601">
        <v>463.92</v>
      </c>
      <c r="E1601">
        <v>293.31</v>
      </c>
      <c r="F1601">
        <v>23.94</v>
      </c>
      <c r="G1601">
        <v>14.14</v>
      </c>
      <c r="H1601">
        <v>124518</v>
      </c>
      <c r="I1601">
        <v>1.63</v>
      </c>
      <c r="J1601" t="s">
        <v>14</v>
      </c>
      <c r="K1601" t="s">
        <v>1921</v>
      </c>
    </row>
    <row r="1602" spans="1:11">
      <c r="A1602" t="str">
        <f>"300123"</f>
        <v>300123</v>
      </c>
      <c r="B1602" t="s">
        <v>1922</v>
      </c>
      <c r="C1602">
        <v>89.64</v>
      </c>
      <c r="D1602">
        <v>48.71</v>
      </c>
      <c r="E1602">
        <v>14.71</v>
      </c>
      <c r="F1602">
        <v>10.22</v>
      </c>
      <c r="G1602">
        <v>10</v>
      </c>
      <c r="H1602">
        <v>88235</v>
      </c>
      <c r="I1602">
        <v>6.22</v>
      </c>
      <c r="J1602" t="s">
        <v>14</v>
      </c>
      <c r="K1602" t="s">
        <v>223</v>
      </c>
    </row>
    <row r="1603" spans="1:11">
      <c r="A1603" t="str">
        <f>"300124"</f>
        <v>300124</v>
      </c>
      <c r="B1603" t="s">
        <v>1923</v>
      </c>
      <c r="C1603">
        <v>1869.68</v>
      </c>
      <c r="D1603">
        <v>678.02</v>
      </c>
      <c r="E1603">
        <v>343.77</v>
      </c>
      <c r="F1603">
        <v>27.07</v>
      </c>
      <c r="G1603">
        <v>23.99</v>
      </c>
      <c r="H1603">
        <v>167108</v>
      </c>
      <c r="I1603">
        <v>6.14</v>
      </c>
      <c r="J1603">
        <v>37.2</v>
      </c>
      <c r="K1603" t="s">
        <v>663</v>
      </c>
    </row>
    <row r="1604" spans="1:11">
      <c r="A1604" t="str">
        <f>"300125"</f>
        <v>300125</v>
      </c>
      <c r="B1604" t="s">
        <v>1924</v>
      </c>
      <c r="C1604">
        <v>26.66</v>
      </c>
      <c r="D1604">
        <v>9.17</v>
      </c>
      <c r="E1604">
        <v>-6.65</v>
      </c>
      <c r="F1604">
        <v>6.66</v>
      </c>
      <c r="G1604">
        <v>3.61</v>
      </c>
      <c r="H1604">
        <v>11011</v>
      </c>
      <c r="I1604">
        <v>-2.97</v>
      </c>
      <c r="J1604" t="s">
        <v>14</v>
      </c>
      <c r="K1604" t="s">
        <v>815</v>
      </c>
    </row>
    <row r="1605" spans="1:11">
      <c r="A1605" t="str">
        <f>"300126"</f>
        <v>300126</v>
      </c>
      <c r="B1605" t="s">
        <v>1925</v>
      </c>
      <c r="C1605">
        <v>18.35</v>
      </c>
      <c r="D1605">
        <v>12.58</v>
      </c>
      <c r="E1605">
        <v>10.45</v>
      </c>
      <c r="F1605">
        <v>3.04</v>
      </c>
      <c r="G1605">
        <v>2.11</v>
      </c>
      <c r="H1605">
        <v>19199</v>
      </c>
      <c r="I1605">
        <v>2.53</v>
      </c>
      <c r="J1605" t="s">
        <v>14</v>
      </c>
      <c r="K1605" t="s">
        <v>744</v>
      </c>
    </row>
    <row r="1606" spans="1:11">
      <c r="A1606" t="str">
        <f>"300127"</f>
        <v>300127</v>
      </c>
      <c r="B1606" t="s">
        <v>1926</v>
      </c>
      <c r="C1606">
        <v>77.28</v>
      </c>
      <c r="D1606">
        <v>15.82</v>
      </c>
      <c r="E1606">
        <v>14.82</v>
      </c>
      <c r="F1606">
        <v>3.23</v>
      </c>
      <c r="G1606">
        <v>2.31</v>
      </c>
      <c r="H1606">
        <v>37945</v>
      </c>
      <c r="I1606">
        <v>7.3</v>
      </c>
      <c r="J1606">
        <v>55.85</v>
      </c>
      <c r="K1606" t="s">
        <v>442</v>
      </c>
    </row>
    <row r="1607" spans="1:11">
      <c r="A1607" t="str">
        <f>"300128"</f>
        <v>300128</v>
      </c>
      <c r="B1607" t="s">
        <v>1927</v>
      </c>
      <c r="C1607">
        <v>101.48</v>
      </c>
      <c r="D1607">
        <v>33.29</v>
      </c>
      <c r="E1607">
        <v>6.61</v>
      </c>
      <c r="F1607">
        <v>12.99</v>
      </c>
      <c r="G1607">
        <v>12.98</v>
      </c>
      <c r="H1607">
        <v>40122</v>
      </c>
      <c r="I1607">
        <v>15.36</v>
      </c>
      <c r="J1607" t="s">
        <v>14</v>
      </c>
      <c r="K1607" t="s">
        <v>66</v>
      </c>
    </row>
    <row r="1608" spans="1:11">
      <c r="A1608" t="str">
        <f>"300129"</f>
        <v>300129</v>
      </c>
      <c r="B1608" t="s">
        <v>1928</v>
      </c>
      <c r="C1608">
        <v>102.2</v>
      </c>
      <c r="D1608">
        <v>103.86</v>
      </c>
      <c r="E1608">
        <v>45.9</v>
      </c>
      <c r="F1608">
        <v>9.35</v>
      </c>
      <c r="G1608">
        <v>6.46</v>
      </c>
      <c r="H1608">
        <v>44815</v>
      </c>
      <c r="I1608">
        <v>3.22</v>
      </c>
      <c r="J1608">
        <v>51.18</v>
      </c>
      <c r="K1608" t="s">
        <v>456</v>
      </c>
    </row>
    <row r="1609" spans="1:11">
      <c r="A1609" t="str">
        <f>"300130"</f>
        <v>300130</v>
      </c>
      <c r="B1609" t="s">
        <v>1929</v>
      </c>
      <c r="C1609">
        <v>130.55</v>
      </c>
      <c r="D1609">
        <v>61.23</v>
      </c>
      <c r="E1609">
        <v>43.37</v>
      </c>
      <c r="F1609">
        <v>5.67</v>
      </c>
      <c r="G1609">
        <v>4.34</v>
      </c>
      <c r="H1609">
        <v>52329</v>
      </c>
      <c r="I1609">
        <v>3.93</v>
      </c>
      <c r="J1609">
        <v>31.39</v>
      </c>
      <c r="K1609" t="s">
        <v>88</v>
      </c>
    </row>
    <row r="1610" spans="1:11">
      <c r="A1610" t="str">
        <f>"300131"</f>
        <v>300131</v>
      </c>
      <c r="B1610" t="s">
        <v>1930</v>
      </c>
      <c r="C1610">
        <v>159.15</v>
      </c>
      <c r="D1610">
        <v>35.29</v>
      </c>
      <c r="E1610">
        <v>17.67</v>
      </c>
      <c r="F1610">
        <v>11.35</v>
      </c>
      <c r="G1610">
        <v>10.42</v>
      </c>
      <c r="H1610">
        <v>65479</v>
      </c>
      <c r="I1610">
        <v>9.81</v>
      </c>
      <c r="J1610">
        <v>498.61</v>
      </c>
      <c r="K1610" t="s">
        <v>82</v>
      </c>
    </row>
    <row r="1611" spans="1:11">
      <c r="A1611" t="str">
        <f>"300132"</f>
        <v>300132</v>
      </c>
      <c r="B1611" t="s">
        <v>1931</v>
      </c>
      <c r="C1611">
        <v>44.15</v>
      </c>
      <c r="D1611">
        <v>22.34</v>
      </c>
      <c r="E1611">
        <v>14.09</v>
      </c>
      <c r="F1611">
        <v>5.17</v>
      </c>
      <c r="G1611">
        <v>5.08</v>
      </c>
      <c r="H1611">
        <v>25264</v>
      </c>
      <c r="I1611">
        <v>3.19</v>
      </c>
      <c r="J1611">
        <v>30.4</v>
      </c>
      <c r="K1611" t="s">
        <v>856</v>
      </c>
    </row>
    <row r="1612" spans="1:11">
      <c r="A1612" t="str">
        <f>"300133"</f>
        <v>300133</v>
      </c>
      <c r="B1612" t="s">
        <v>1932</v>
      </c>
      <c r="C1612">
        <v>156.71</v>
      </c>
      <c r="D1612">
        <v>115.77</v>
      </c>
      <c r="E1612">
        <v>73.01</v>
      </c>
      <c r="F1612">
        <v>18.88</v>
      </c>
      <c r="G1612">
        <v>16.12</v>
      </c>
      <c r="H1612">
        <v>73582</v>
      </c>
      <c r="I1612">
        <v>2.53</v>
      </c>
      <c r="J1612">
        <v>78.6</v>
      </c>
      <c r="K1612" t="s">
        <v>452</v>
      </c>
    </row>
    <row r="1613" spans="1:11">
      <c r="A1613" t="str">
        <f>"300134"</f>
        <v>300134</v>
      </c>
      <c r="B1613" t="s">
        <v>1933</v>
      </c>
      <c r="C1613">
        <v>92.97</v>
      </c>
      <c r="D1613">
        <v>58.56</v>
      </c>
      <c r="E1613">
        <v>38.1</v>
      </c>
      <c r="F1613">
        <v>7.67</v>
      </c>
      <c r="G1613">
        <v>7.12</v>
      </c>
      <c r="H1613">
        <v>47596</v>
      </c>
      <c r="I1613">
        <v>2.63</v>
      </c>
      <c r="J1613" t="s">
        <v>14</v>
      </c>
      <c r="K1613" t="s">
        <v>972</v>
      </c>
    </row>
    <row r="1614" spans="1:11">
      <c r="A1614" t="str">
        <f>"300135"</f>
        <v>300135</v>
      </c>
      <c r="B1614" t="s">
        <v>1934</v>
      </c>
      <c r="C1614">
        <v>37.97</v>
      </c>
      <c r="D1614">
        <v>16.07</v>
      </c>
      <c r="E1614">
        <v>9.45</v>
      </c>
      <c r="F1614">
        <v>9.22</v>
      </c>
      <c r="G1614">
        <v>9.22</v>
      </c>
      <c r="H1614">
        <v>38684</v>
      </c>
      <c r="I1614">
        <v>4.02</v>
      </c>
      <c r="J1614" t="s">
        <v>14</v>
      </c>
      <c r="K1614" t="s">
        <v>312</v>
      </c>
    </row>
    <row r="1615" spans="1:11">
      <c r="A1615" t="str">
        <f>"300136"</f>
        <v>300136</v>
      </c>
      <c r="B1615" t="s">
        <v>1935</v>
      </c>
      <c r="C1615">
        <v>620.9</v>
      </c>
      <c r="D1615">
        <v>135.73</v>
      </c>
      <c r="E1615">
        <v>76.79</v>
      </c>
      <c r="F1615">
        <v>9.68</v>
      </c>
      <c r="G1615">
        <v>8.25</v>
      </c>
      <c r="H1615">
        <v>74651</v>
      </c>
      <c r="I1615">
        <v>9.49</v>
      </c>
      <c r="J1615">
        <v>112.32</v>
      </c>
      <c r="K1615" t="s">
        <v>41</v>
      </c>
    </row>
    <row r="1616" spans="1:11">
      <c r="A1616" t="str">
        <f>"300137"</f>
        <v>300137</v>
      </c>
      <c r="B1616" t="s">
        <v>1936</v>
      </c>
      <c r="C1616">
        <v>55.65</v>
      </c>
      <c r="D1616">
        <v>20.05</v>
      </c>
      <c r="E1616">
        <v>16.32</v>
      </c>
      <c r="F1616">
        <v>5.37</v>
      </c>
      <c r="G1616">
        <v>5.3</v>
      </c>
      <c r="H1616">
        <v>23667</v>
      </c>
      <c r="I1616">
        <v>3.45</v>
      </c>
      <c r="J1616">
        <v>763.57</v>
      </c>
      <c r="K1616" t="s">
        <v>1443</v>
      </c>
    </row>
    <row r="1617" spans="1:11">
      <c r="A1617" t="str">
        <f>"300138"</f>
        <v>300138</v>
      </c>
      <c r="B1617" t="s">
        <v>1937</v>
      </c>
      <c r="C1617">
        <v>54.89</v>
      </c>
      <c r="D1617">
        <v>79.6</v>
      </c>
      <c r="E1617">
        <v>33.35</v>
      </c>
      <c r="F1617">
        <v>4.83</v>
      </c>
      <c r="G1617">
        <v>3.98</v>
      </c>
      <c r="H1617">
        <v>16669</v>
      </c>
      <c r="I1617">
        <v>2</v>
      </c>
      <c r="J1617">
        <v>16.43</v>
      </c>
      <c r="K1617" t="s">
        <v>560</v>
      </c>
    </row>
    <row r="1618" spans="1:11">
      <c r="A1618" t="str">
        <f>"300139"</f>
        <v>300139</v>
      </c>
      <c r="B1618" t="s">
        <v>1938</v>
      </c>
      <c r="C1618">
        <v>89.05</v>
      </c>
      <c r="D1618">
        <v>14.55</v>
      </c>
      <c r="E1618">
        <v>11.08</v>
      </c>
      <c r="F1618">
        <v>2.74</v>
      </c>
      <c r="G1618">
        <v>2.34</v>
      </c>
      <c r="H1618">
        <v>46693</v>
      </c>
      <c r="I1618">
        <v>9.42</v>
      </c>
      <c r="J1618">
        <v>101.97</v>
      </c>
      <c r="K1618" t="s">
        <v>173</v>
      </c>
    </row>
    <row r="1619" spans="1:11">
      <c r="A1619" t="str">
        <f>"300140"</f>
        <v>300140</v>
      </c>
      <c r="B1619" t="s">
        <v>1939</v>
      </c>
      <c r="C1619">
        <v>71.2</v>
      </c>
      <c r="D1619">
        <v>304.85</v>
      </c>
      <c r="E1619">
        <v>140.61</v>
      </c>
      <c r="F1619">
        <v>30.99</v>
      </c>
      <c r="G1619">
        <v>10.2</v>
      </c>
      <c r="H1619">
        <v>23097</v>
      </c>
      <c r="I1619">
        <v>1.54</v>
      </c>
      <c r="J1619">
        <v>18.38</v>
      </c>
      <c r="K1619" t="s">
        <v>59</v>
      </c>
    </row>
    <row r="1620" spans="1:11">
      <c r="A1620" t="str">
        <f>"300141"</f>
        <v>300141</v>
      </c>
      <c r="B1620" t="s">
        <v>1940</v>
      </c>
      <c r="C1620">
        <v>48.88</v>
      </c>
      <c r="D1620">
        <v>10.93</v>
      </c>
      <c r="E1620">
        <v>6.62</v>
      </c>
      <c r="F1620">
        <v>2.58</v>
      </c>
      <c r="G1620">
        <v>2.55</v>
      </c>
      <c r="H1620">
        <v>17706</v>
      </c>
      <c r="I1620">
        <v>7.48</v>
      </c>
      <c r="J1620" t="s">
        <v>14</v>
      </c>
      <c r="K1620" t="s">
        <v>943</v>
      </c>
    </row>
    <row r="1621" spans="1:11">
      <c r="A1621" t="str">
        <f>"300142"</f>
        <v>300142</v>
      </c>
      <c r="B1621" t="s">
        <v>1941</v>
      </c>
      <c r="C1621">
        <v>198.69</v>
      </c>
      <c r="D1621">
        <v>132.52</v>
      </c>
      <c r="E1621">
        <v>96.83</v>
      </c>
      <c r="F1621">
        <v>15.99</v>
      </c>
      <c r="G1621">
        <v>15.56</v>
      </c>
      <c r="H1621">
        <v>114040</v>
      </c>
      <c r="I1621">
        <v>2.11</v>
      </c>
      <c r="J1621">
        <v>93.72</v>
      </c>
      <c r="K1621" t="s">
        <v>1921</v>
      </c>
    </row>
    <row r="1622" spans="1:11">
      <c r="A1622" t="str">
        <f>"300143"</f>
        <v>300143</v>
      </c>
      <c r="B1622" t="s">
        <v>1942</v>
      </c>
      <c r="C1622">
        <v>83.25</v>
      </c>
      <c r="D1622">
        <v>42.57</v>
      </c>
      <c r="E1622">
        <v>25.25</v>
      </c>
      <c r="F1622">
        <v>7.49</v>
      </c>
      <c r="G1622">
        <v>6.41</v>
      </c>
      <c r="H1622">
        <v>26187</v>
      </c>
      <c r="I1622">
        <v>3.85</v>
      </c>
      <c r="J1622">
        <v>84.02</v>
      </c>
      <c r="K1622" t="s">
        <v>181</v>
      </c>
    </row>
    <row r="1623" spans="1:11">
      <c r="A1623" t="str">
        <f>"300144"</f>
        <v>300144</v>
      </c>
      <c r="B1623" t="s">
        <v>1943</v>
      </c>
      <c r="C1623">
        <v>201.21</v>
      </c>
      <c r="D1623">
        <v>101.49</v>
      </c>
      <c r="E1623">
        <v>83.71</v>
      </c>
      <c r="F1623">
        <v>26.25</v>
      </c>
      <c r="G1623">
        <v>23.59</v>
      </c>
      <c r="H1623">
        <v>86291</v>
      </c>
      <c r="I1623">
        <v>2.67</v>
      </c>
      <c r="J1623">
        <v>22.28</v>
      </c>
      <c r="K1623" t="s">
        <v>163</v>
      </c>
    </row>
    <row r="1624" spans="1:11">
      <c r="A1624" t="str">
        <f>"300145"</f>
        <v>300145</v>
      </c>
      <c r="B1624" t="s">
        <v>1944</v>
      </c>
      <c r="C1624">
        <v>89.48</v>
      </c>
      <c r="D1624">
        <v>83.14</v>
      </c>
      <c r="E1624">
        <v>29.41</v>
      </c>
      <c r="F1624">
        <v>19.21</v>
      </c>
      <c r="G1624">
        <v>19.12</v>
      </c>
      <c r="H1624">
        <v>55127</v>
      </c>
      <c r="I1624">
        <v>3.06</v>
      </c>
      <c r="J1624">
        <v>23.73</v>
      </c>
      <c r="K1624" t="s">
        <v>424</v>
      </c>
    </row>
    <row r="1625" spans="1:11">
      <c r="A1625" t="str">
        <f>"300146"</f>
        <v>300146</v>
      </c>
      <c r="B1625" t="s">
        <v>1945</v>
      </c>
      <c r="C1625">
        <v>138.42</v>
      </c>
      <c r="D1625">
        <v>140.02</v>
      </c>
      <c r="E1625">
        <v>113.15</v>
      </c>
      <c r="F1625">
        <v>16.92</v>
      </c>
      <c r="G1625">
        <v>11.21</v>
      </c>
      <c r="H1625">
        <v>71105</v>
      </c>
      <c r="I1625">
        <v>1.85</v>
      </c>
      <c r="J1625">
        <v>17.27</v>
      </c>
      <c r="K1625" t="s">
        <v>1409</v>
      </c>
    </row>
    <row r="1626" spans="1:11">
      <c r="A1626" t="str">
        <f>"300147"</f>
        <v>300147</v>
      </c>
      <c r="B1626" t="s">
        <v>1946</v>
      </c>
      <c r="C1626">
        <v>60.94</v>
      </c>
      <c r="D1626">
        <v>73.65</v>
      </c>
      <c r="E1626">
        <v>6.93</v>
      </c>
      <c r="F1626">
        <v>6.61</v>
      </c>
      <c r="G1626">
        <v>6.57</v>
      </c>
      <c r="H1626">
        <v>34981</v>
      </c>
      <c r="I1626">
        <v>8.85</v>
      </c>
      <c r="J1626" t="s">
        <v>14</v>
      </c>
      <c r="K1626" t="s">
        <v>155</v>
      </c>
    </row>
    <row r="1627" spans="1:11">
      <c r="A1627" t="str">
        <f>"300148"</f>
        <v>300148</v>
      </c>
      <c r="B1627" t="s">
        <v>1947</v>
      </c>
      <c r="C1627">
        <v>42.82</v>
      </c>
      <c r="D1627">
        <v>14.81</v>
      </c>
      <c r="E1627">
        <v>10.31</v>
      </c>
      <c r="F1627">
        <v>8.43</v>
      </c>
      <c r="G1627">
        <v>8.14</v>
      </c>
      <c r="H1627">
        <v>47485</v>
      </c>
      <c r="I1627">
        <v>4.3</v>
      </c>
      <c r="J1627">
        <v>59.41</v>
      </c>
      <c r="K1627" t="s">
        <v>1948</v>
      </c>
    </row>
    <row r="1628" spans="1:11">
      <c r="A1628" t="str">
        <f>"300149"</f>
        <v>300149</v>
      </c>
      <c r="B1628" t="s">
        <v>1949</v>
      </c>
      <c r="C1628">
        <v>58.61</v>
      </c>
      <c r="D1628">
        <v>19.89</v>
      </c>
      <c r="E1628">
        <v>12.54</v>
      </c>
      <c r="F1628">
        <v>4.98</v>
      </c>
      <c r="G1628">
        <v>4.75</v>
      </c>
      <c r="H1628">
        <v>37377</v>
      </c>
      <c r="I1628">
        <v>4.91</v>
      </c>
      <c r="J1628">
        <v>650.44</v>
      </c>
      <c r="K1628" t="s">
        <v>1595</v>
      </c>
    </row>
    <row r="1629" spans="1:11">
      <c r="A1629" t="str">
        <f>"300150"</f>
        <v>300150</v>
      </c>
      <c r="B1629" t="s">
        <v>1950</v>
      </c>
      <c r="C1629">
        <v>26.69</v>
      </c>
      <c r="D1629">
        <v>20.09</v>
      </c>
      <c r="E1629">
        <v>15.75</v>
      </c>
      <c r="F1629">
        <v>5.85</v>
      </c>
      <c r="G1629">
        <v>4.6</v>
      </c>
      <c r="H1629">
        <v>29811</v>
      </c>
      <c r="I1629">
        <v>2.15</v>
      </c>
      <c r="J1629">
        <v>61.13</v>
      </c>
      <c r="K1629" t="s">
        <v>117</v>
      </c>
    </row>
    <row r="1630" spans="1:11">
      <c r="A1630" t="str">
        <f>"300151"</f>
        <v>300151</v>
      </c>
      <c r="B1630" t="s">
        <v>1951</v>
      </c>
      <c r="C1630">
        <v>58.78</v>
      </c>
      <c r="D1630">
        <v>26.78</v>
      </c>
      <c r="E1630">
        <v>16.28</v>
      </c>
      <c r="F1630">
        <v>5.33</v>
      </c>
      <c r="G1630">
        <v>3.69</v>
      </c>
      <c r="H1630">
        <v>24376</v>
      </c>
      <c r="I1630">
        <v>5.47</v>
      </c>
      <c r="J1630">
        <v>131.44</v>
      </c>
      <c r="K1630" t="s">
        <v>493</v>
      </c>
    </row>
    <row r="1631" spans="1:11">
      <c r="A1631" t="str">
        <f>"300152"</f>
        <v>300152</v>
      </c>
      <c r="B1631" t="s">
        <v>1952</v>
      </c>
      <c r="C1631">
        <v>16.03</v>
      </c>
      <c r="D1631">
        <v>7.46</v>
      </c>
      <c r="E1631">
        <v>2.36</v>
      </c>
      <c r="F1631">
        <v>7.13</v>
      </c>
      <c r="G1631">
        <v>7.13</v>
      </c>
      <c r="H1631">
        <v>45230</v>
      </c>
      <c r="I1631">
        <v>6.82</v>
      </c>
      <c r="J1631" t="s">
        <v>14</v>
      </c>
      <c r="K1631" t="s">
        <v>228</v>
      </c>
    </row>
    <row r="1632" spans="1:11">
      <c r="A1632" t="str">
        <f>"300153"</f>
        <v>300153</v>
      </c>
      <c r="B1632" t="s">
        <v>1953</v>
      </c>
      <c r="C1632">
        <v>110.01</v>
      </c>
      <c r="D1632">
        <v>20.88</v>
      </c>
      <c r="E1632">
        <v>9.09</v>
      </c>
      <c r="F1632">
        <v>3.2</v>
      </c>
      <c r="G1632">
        <v>3.18</v>
      </c>
      <c r="H1632">
        <v>64942</v>
      </c>
      <c r="I1632">
        <v>12.17</v>
      </c>
      <c r="J1632">
        <v>217.28</v>
      </c>
      <c r="K1632" t="s">
        <v>1010</v>
      </c>
    </row>
    <row r="1633" spans="1:11">
      <c r="A1633" t="str">
        <f>"300154"</f>
        <v>300154</v>
      </c>
      <c r="B1633" t="s">
        <v>1954</v>
      </c>
      <c r="C1633">
        <v>29.74</v>
      </c>
      <c r="D1633">
        <v>27.53</v>
      </c>
      <c r="E1633">
        <v>17.86</v>
      </c>
      <c r="F1633">
        <v>4.5</v>
      </c>
      <c r="G1633">
        <v>3.15</v>
      </c>
      <c r="H1633">
        <v>18953</v>
      </c>
      <c r="I1633">
        <v>2.38</v>
      </c>
      <c r="J1633">
        <v>32.88</v>
      </c>
      <c r="K1633" t="s">
        <v>744</v>
      </c>
    </row>
    <row r="1634" spans="1:11">
      <c r="A1634" t="str">
        <f>"300155"</f>
        <v>300155</v>
      </c>
      <c r="B1634" t="s">
        <v>1955</v>
      </c>
      <c r="C1634">
        <v>24.8</v>
      </c>
      <c r="D1634">
        <v>13.76</v>
      </c>
      <c r="E1634">
        <v>12.25</v>
      </c>
      <c r="F1634">
        <v>5.61</v>
      </c>
      <c r="G1634">
        <v>3.31</v>
      </c>
      <c r="H1634">
        <v>20134</v>
      </c>
      <c r="I1634">
        <v>3.44</v>
      </c>
      <c r="J1634" t="s">
        <v>14</v>
      </c>
      <c r="K1634" t="s">
        <v>1022</v>
      </c>
    </row>
    <row r="1635" spans="1:11">
      <c r="A1635" t="str">
        <f>"300157"</f>
        <v>300157</v>
      </c>
      <c r="B1635" t="s">
        <v>1956</v>
      </c>
      <c r="C1635">
        <v>36.17</v>
      </c>
      <c r="D1635">
        <v>23.29</v>
      </c>
      <c r="E1635">
        <v>1.51</v>
      </c>
      <c r="F1635">
        <v>7.54</v>
      </c>
      <c r="G1635">
        <v>7.08</v>
      </c>
      <c r="H1635">
        <v>54343</v>
      </c>
      <c r="I1635">
        <v>-19.36</v>
      </c>
      <c r="J1635">
        <v>36.76</v>
      </c>
      <c r="K1635" t="s">
        <v>744</v>
      </c>
    </row>
    <row r="1636" spans="1:11">
      <c r="A1636" t="str">
        <f>"300158"</f>
        <v>300158</v>
      </c>
      <c r="B1636" t="s">
        <v>1957</v>
      </c>
      <c r="C1636">
        <v>62.97</v>
      </c>
      <c r="D1636">
        <v>45.11</v>
      </c>
      <c r="E1636">
        <v>36.68</v>
      </c>
      <c r="F1636">
        <v>9.92</v>
      </c>
      <c r="G1636">
        <v>9.92</v>
      </c>
      <c r="H1636">
        <v>48391</v>
      </c>
      <c r="I1636">
        <v>1.74</v>
      </c>
      <c r="J1636">
        <v>232.07</v>
      </c>
      <c r="K1636" t="s">
        <v>109</v>
      </c>
    </row>
    <row r="1637" spans="1:11">
      <c r="A1637" t="str">
        <f>"300159"</f>
        <v>300159</v>
      </c>
      <c r="B1637" t="s">
        <v>1958</v>
      </c>
      <c r="C1637">
        <v>60.27</v>
      </c>
      <c r="D1637">
        <v>24.48</v>
      </c>
      <c r="E1637">
        <v>-5.06</v>
      </c>
      <c r="F1637">
        <v>32.9</v>
      </c>
      <c r="G1637">
        <v>18.32</v>
      </c>
      <c r="H1637">
        <v>56443</v>
      </c>
      <c r="I1637">
        <v>-9.73</v>
      </c>
      <c r="J1637" t="s">
        <v>14</v>
      </c>
      <c r="K1637" t="s">
        <v>1556</v>
      </c>
    </row>
    <row r="1638" spans="1:11">
      <c r="A1638" t="str">
        <f>"300160"</f>
        <v>300160</v>
      </c>
      <c r="B1638" t="s">
        <v>1959</v>
      </c>
      <c r="C1638">
        <v>43.84</v>
      </c>
      <c r="D1638">
        <v>31.58</v>
      </c>
      <c r="E1638">
        <v>26.19</v>
      </c>
      <c r="F1638">
        <v>7.73</v>
      </c>
      <c r="G1638">
        <v>7.62</v>
      </c>
      <c r="H1638">
        <v>35359</v>
      </c>
      <c r="I1638">
        <v>1.7</v>
      </c>
      <c r="J1638">
        <v>19.49</v>
      </c>
      <c r="K1638" t="s">
        <v>134</v>
      </c>
    </row>
    <row r="1639" spans="1:11">
      <c r="A1639" t="str">
        <f>"300161"</f>
        <v>300161</v>
      </c>
      <c r="B1639" t="s">
        <v>1960</v>
      </c>
      <c r="C1639">
        <v>61.58</v>
      </c>
      <c r="D1639">
        <v>45.4</v>
      </c>
      <c r="E1639">
        <v>15.37</v>
      </c>
      <c r="F1639">
        <v>1.99</v>
      </c>
      <c r="G1639">
        <v>1.95</v>
      </c>
      <c r="H1639">
        <v>28465</v>
      </c>
      <c r="I1639">
        <v>4.08</v>
      </c>
      <c r="J1639" t="s">
        <v>14</v>
      </c>
      <c r="K1639" t="s">
        <v>141</v>
      </c>
    </row>
    <row r="1640" spans="1:11">
      <c r="A1640" t="str">
        <f>"300162"</f>
        <v>300162</v>
      </c>
      <c r="B1640" t="s">
        <v>1961</v>
      </c>
      <c r="C1640">
        <v>28.74</v>
      </c>
      <c r="D1640">
        <v>16.35</v>
      </c>
      <c r="E1640">
        <v>8.94</v>
      </c>
      <c r="F1640">
        <v>4.2</v>
      </c>
      <c r="G1640">
        <v>3.42</v>
      </c>
      <c r="H1640">
        <v>28018</v>
      </c>
      <c r="I1640">
        <v>3.94</v>
      </c>
      <c r="J1640">
        <v>298.08</v>
      </c>
      <c r="K1640" t="s">
        <v>216</v>
      </c>
    </row>
    <row r="1641" spans="1:11">
      <c r="A1641" t="str">
        <f>"300163"</f>
        <v>300163</v>
      </c>
      <c r="B1641" t="s">
        <v>1962</v>
      </c>
      <c r="C1641">
        <v>21.92</v>
      </c>
      <c r="D1641">
        <v>6.4</v>
      </c>
      <c r="E1641">
        <v>5.87</v>
      </c>
      <c r="F1641">
        <v>4.74</v>
      </c>
      <c r="G1641">
        <v>4.54</v>
      </c>
      <c r="H1641">
        <v>21452</v>
      </c>
      <c r="I1641">
        <v>3.9</v>
      </c>
      <c r="J1641">
        <v>17.71</v>
      </c>
      <c r="K1641" t="s">
        <v>625</v>
      </c>
    </row>
    <row r="1642" spans="1:11">
      <c r="A1642" t="str">
        <f>"300164"</f>
        <v>300164</v>
      </c>
      <c r="B1642" t="s">
        <v>1963</v>
      </c>
      <c r="C1642">
        <v>47.12</v>
      </c>
      <c r="D1642">
        <v>20.47</v>
      </c>
      <c r="E1642">
        <v>14.57</v>
      </c>
      <c r="F1642">
        <v>5.88</v>
      </c>
      <c r="G1642">
        <v>5.83</v>
      </c>
      <c r="H1642">
        <v>54989</v>
      </c>
      <c r="I1642">
        <v>3.26</v>
      </c>
      <c r="J1642">
        <v>63.43</v>
      </c>
      <c r="K1642" t="s">
        <v>1336</v>
      </c>
    </row>
    <row r="1643" spans="1:11">
      <c r="A1643" t="str">
        <f>"300165"</f>
        <v>300165</v>
      </c>
      <c r="B1643" t="s">
        <v>1964</v>
      </c>
      <c r="C1643">
        <v>21.28</v>
      </c>
      <c r="D1643">
        <v>33.38</v>
      </c>
      <c r="E1643">
        <v>12.77</v>
      </c>
      <c r="F1643">
        <v>4.96</v>
      </c>
      <c r="G1643">
        <v>4.21</v>
      </c>
      <c r="H1643">
        <v>15675</v>
      </c>
      <c r="I1643">
        <v>1.96</v>
      </c>
      <c r="J1643" t="s">
        <v>14</v>
      </c>
      <c r="K1643" t="s">
        <v>952</v>
      </c>
    </row>
    <row r="1644" spans="1:11">
      <c r="A1644" t="str">
        <f>"300166"</f>
        <v>300166</v>
      </c>
      <c r="B1644" t="s">
        <v>1965</v>
      </c>
      <c r="C1644">
        <v>109.33</v>
      </c>
      <c r="D1644">
        <v>95.19</v>
      </c>
      <c r="E1644">
        <v>58.51</v>
      </c>
      <c r="F1644">
        <v>11.39</v>
      </c>
      <c r="G1644">
        <v>9.06</v>
      </c>
      <c r="H1644">
        <v>79953</v>
      </c>
      <c r="I1644">
        <v>2.35</v>
      </c>
      <c r="J1644" t="s">
        <v>14</v>
      </c>
      <c r="K1644" t="s">
        <v>117</v>
      </c>
    </row>
    <row r="1645" spans="1:11">
      <c r="A1645" t="str">
        <f>"300167"</f>
        <v>300167</v>
      </c>
      <c r="B1645" t="s">
        <v>1966</v>
      </c>
      <c r="C1645">
        <v>18.27</v>
      </c>
      <c r="D1645">
        <v>5.91</v>
      </c>
      <c r="E1645">
        <v>0.29</v>
      </c>
      <c r="F1645">
        <v>3.89</v>
      </c>
      <c r="G1645">
        <v>3.59</v>
      </c>
      <c r="H1645">
        <v>10587</v>
      </c>
      <c r="I1645">
        <v>68.78</v>
      </c>
      <c r="J1645" t="s">
        <v>14</v>
      </c>
      <c r="K1645" t="s">
        <v>117</v>
      </c>
    </row>
    <row r="1646" spans="1:11">
      <c r="A1646" t="str">
        <f>"300168"</f>
        <v>300168</v>
      </c>
      <c r="B1646" t="s">
        <v>1967</v>
      </c>
      <c r="C1646">
        <v>113.84</v>
      </c>
      <c r="D1646">
        <v>58.8</v>
      </c>
      <c r="E1646">
        <v>12.33</v>
      </c>
      <c r="F1646">
        <v>14.41</v>
      </c>
      <c r="G1646">
        <v>14.39</v>
      </c>
      <c r="H1646">
        <v>56970</v>
      </c>
      <c r="I1646">
        <v>9.24</v>
      </c>
      <c r="J1646" t="s">
        <v>14</v>
      </c>
      <c r="K1646" t="s">
        <v>117</v>
      </c>
    </row>
    <row r="1647" spans="1:11">
      <c r="A1647" t="str">
        <f>"300169"</f>
        <v>300169</v>
      </c>
      <c r="B1647" t="s">
        <v>1968</v>
      </c>
      <c r="C1647">
        <v>19.7</v>
      </c>
      <c r="D1647">
        <v>7.7</v>
      </c>
      <c r="E1647">
        <v>-0.31</v>
      </c>
      <c r="F1647">
        <v>3.26</v>
      </c>
      <c r="G1647">
        <v>3.02</v>
      </c>
      <c r="H1647">
        <v>33592</v>
      </c>
      <c r="I1647">
        <v>-69.47</v>
      </c>
      <c r="J1647" t="s">
        <v>14</v>
      </c>
      <c r="K1647" t="s">
        <v>549</v>
      </c>
    </row>
    <row r="1648" spans="1:11">
      <c r="A1648" t="str">
        <f>"300170"</f>
        <v>300170</v>
      </c>
      <c r="B1648" t="s">
        <v>1969</v>
      </c>
      <c r="C1648">
        <v>294.77</v>
      </c>
      <c r="D1648">
        <v>66.05</v>
      </c>
      <c r="E1648">
        <v>55.08</v>
      </c>
      <c r="F1648">
        <v>10.2</v>
      </c>
      <c r="G1648">
        <v>9.75</v>
      </c>
      <c r="H1648">
        <v>129000</v>
      </c>
      <c r="I1648">
        <v>5.58</v>
      </c>
      <c r="J1648">
        <v>159.26</v>
      </c>
      <c r="K1648" t="s">
        <v>1970</v>
      </c>
    </row>
    <row r="1649" spans="1:11">
      <c r="A1649" t="str">
        <f>"300171"</f>
        <v>300171</v>
      </c>
      <c r="B1649" t="s">
        <v>1971</v>
      </c>
      <c r="C1649">
        <v>101.17</v>
      </c>
      <c r="D1649">
        <v>133</v>
      </c>
      <c r="E1649">
        <v>78.52</v>
      </c>
      <c r="F1649">
        <v>7.66</v>
      </c>
      <c r="G1649">
        <v>5.63</v>
      </c>
      <c r="H1649">
        <v>31415</v>
      </c>
      <c r="I1649">
        <v>1.75</v>
      </c>
      <c r="J1649">
        <v>78.49</v>
      </c>
      <c r="K1649" t="s">
        <v>1972</v>
      </c>
    </row>
    <row r="1650" spans="1:11">
      <c r="A1650" t="str">
        <f>"300172"</f>
        <v>300172</v>
      </c>
      <c r="B1650" t="s">
        <v>1973</v>
      </c>
      <c r="C1650">
        <v>30</v>
      </c>
      <c r="D1650">
        <v>28.2</v>
      </c>
      <c r="E1650">
        <v>19.38</v>
      </c>
      <c r="F1650">
        <v>6.77</v>
      </c>
      <c r="G1650">
        <v>5.24</v>
      </c>
      <c r="H1650">
        <v>38603</v>
      </c>
      <c r="I1650">
        <v>2</v>
      </c>
      <c r="J1650">
        <v>32.72</v>
      </c>
      <c r="K1650" t="s">
        <v>90</v>
      </c>
    </row>
    <row r="1651" spans="1:11">
      <c r="A1651" t="str">
        <f>"300173"</f>
        <v>300173</v>
      </c>
      <c r="B1651" t="s">
        <v>1974</v>
      </c>
      <c r="C1651">
        <v>32.47</v>
      </c>
      <c r="D1651">
        <v>37.67</v>
      </c>
      <c r="E1651">
        <v>9.67</v>
      </c>
      <c r="F1651">
        <v>7.35</v>
      </c>
      <c r="G1651">
        <v>7.35</v>
      </c>
      <c r="H1651">
        <v>50473</v>
      </c>
      <c r="I1651">
        <v>3.36</v>
      </c>
      <c r="J1651" t="s">
        <v>14</v>
      </c>
      <c r="K1651" t="s">
        <v>1975</v>
      </c>
    </row>
    <row r="1652" spans="1:11">
      <c r="A1652" t="str">
        <f>"300174"</f>
        <v>300174</v>
      </c>
      <c r="B1652" t="s">
        <v>1976</v>
      </c>
      <c r="C1652">
        <v>59.2</v>
      </c>
      <c r="D1652">
        <v>42.33</v>
      </c>
      <c r="E1652">
        <v>34.61</v>
      </c>
      <c r="F1652">
        <v>3.64</v>
      </c>
      <c r="G1652">
        <v>3.63</v>
      </c>
      <c r="H1652">
        <v>16534</v>
      </c>
      <c r="I1652">
        <v>1.72</v>
      </c>
      <c r="J1652">
        <v>25.82</v>
      </c>
      <c r="K1652" t="s">
        <v>511</v>
      </c>
    </row>
    <row r="1653" spans="1:11">
      <c r="A1653" t="str">
        <f>"300175"</f>
        <v>300175</v>
      </c>
      <c r="B1653" t="s">
        <v>1977</v>
      </c>
      <c r="C1653">
        <v>29.61</v>
      </c>
      <c r="D1653">
        <v>5.9</v>
      </c>
      <c r="E1653">
        <v>5.16</v>
      </c>
      <c r="F1653">
        <v>4.71</v>
      </c>
      <c r="G1653">
        <v>4.71</v>
      </c>
      <c r="H1653">
        <v>15837</v>
      </c>
      <c r="I1653">
        <v>5.74</v>
      </c>
      <c r="J1653" t="s">
        <v>14</v>
      </c>
      <c r="K1653" t="s">
        <v>592</v>
      </c>
    </row>
    <row r="1654" spans="1:11">
      <c r="A1654" t="str">
        <f>"300176"</f>
        <v>300176</v>
      </c>
      <c r="B1654" t="s">
        <v>1978</v>
      </c>
      <c r="C1654">
        <v>26.49</v>
      </c>
      <c r="D1654">
        <v>23.27</v>
      </c>
      <c r="E1654">
        <v>9.54</v>
      </c>
      <c r="F1654">
        <v>3.87</v>
      </c>
      <c r="G1654">
        <v>3.87</v>
      </c>
      <c r="H1654">
        <v>24923</v>
      </c>
      <c r="I1654">
        <v>2.78</v>
      </c>
      <c r="J1654">
        <v>71.82</v>
      </c>
      <c r="K1654" t="s">
        <v>51</v>
      </c>
    </row>
    <row r="1655" spans="1:11">
      <c r="A1655" t="str">
        <f>"300177"</f>
        <v>300177</v>
      </c>
      <c r="B1655" t="s">
        <v>1979</v>
      </c>
      <c r="C1655">
        <v>65.91</v>
      </c>
      <c r="D1655">
        <v>29.23</v>
      </c>
      <c r="E1655">
        <v>15.1</v>
      </c>
      <c r="F1655">
        <v>7.44</v>
      </c>
      <c r="G1655">
        <v>6.06</v>
      </c>
      <c r="H1655">
        <v>65036</v>
      </c>
      <c r="I1655">
        <v>5.36</v>
      </c>
      <c r="J1655" t="s">
        <v>14</v>
      </c>
      <c r="K1655" t="s">
        <v>223</v>
      </c>
    </row>
    <row r="1656" spans="1:11">
      <c r="A1656" t="str">
        <f>"300179"</f>
        <v>300179</v>
      </c>
      <c r="B1656" t="s">
        <v>1980</v>
      </c>
      <c r="C1656">
        <v>60.02</v>
      </c>
      <c r="D1656">
        <v>21.11</v>
      </c>
      <c r="E1656">
        <v>11.95</v>
      </c>
      <c r="F1656">
        <v>4.86</v>
      </c>
      <c r="G1656">
        <v>3.74</v>
      </c>
      <c r="H1656">
        <v>31422</v>
      </c>
      <c r="I1656">
        <v>6.53</v>
      </c>
      <c r="J1656">
        <v>98.16</v>
      </c>
      <c r="K1656" t="s">
        <v>1069</v>
      </c>
    </row>
    <row r="1657" spans="1:11">
      <c r="A1657" t="str">
        <f>"300180"</f>
        <v>300180</v>
      </c>
      <c r="B1657" t="s">
        <v>1981</v>
      </c>
      <c r="C1657">
        <v>123.12</v>
      </c>
      <c r="D1657">
        <v>63.14</v>
      </c>
      <c r="E1657">
        <v>47.16</v>
      </c>
      <c r="F1657">
        <v>17.61</v>
      </c>
      <c r="G1657">
        <v>17.12</v>
      </c>
      <c r="H1657">
        <v>92000</v>
      </c>
      <c r="I1657">
        <v>2.68</v>
      </c>
      <c r="J1657">
        <v>99.63</v>
      </c>
      <c r="K1657" t="s">
        <v>1187</v>
      </c>
    </row>
    <row r="1658" spans="1:11">
      <c r="A1658" t="str">
        <f>"300181"</f>
        <v>300181</v>
      </c>
      <c r="B1658" t="s">
        <v>1982</v>
      </c>
      <c r="C1658">
        <v>101.89</v>
      </c>
      <c r="D1658">
        <v>46.43</v>
      </c>
      <c r="E1658">
        <v>31.17</v>
      </c>
      <c r="F1658">
        <v>7.01</v>
      </c>
      <c r="G1658">
        <v>6.03</v>
      </c>
      <c r="H1658">
        <v>41403</v>
      </c>
      <c r="I1658">
        <v>3.8</v>
      </c>
      <c r="J1658">
        <v>17.43</v>
      </c>
      <c r="K1658" t="s">
        <v>155</v>
      </c>
    </row>
    <row r="1659" spans="1:11">
      <c r="A1659" t="str">
        <f>"300182"</f>
        <v>300182</v>
      </c>
      <c r="B1659" t="s">
        <v>1983</v>
      </c>
      <c r="C1659">
        <v>154.28</v>
      </c>
      <c r="D1659">
        <v>115.92</v>
      </c>
      <c r="E1659">
        <v>84.05</v>
      </c>
      <c r="F1659">
        <v>26.64</v>
      </c>
      <c r="G1659">
        <v>22.59</v>
      </c>
      <c r="H1659">
        <v>80000</v>
      </c>
      <c r="I1659">
        <v>2.16</v>
      </c>
      <c r="J1659">
        <v>64.27</v>
      </c>
      <c r="K1659" t="s">
        <v>452</v>
      </c>
    </row>
    <row r="1660" spans="1:11">
      <c r="A1660" t="str">
        <f>"300183"</f>
        <v>300183</v>
      </c>
      <c r="B1660" t="s">
        <v>1984</v>
      </c>
      <c r="C1660">
        <v>64.8</v>
      </c>
      <c r="D1660">
        <v>34.79</v>
      </c>
      <c r="E1660">
        <v>30.95</v>
      </c>
      <c r="F1660">
        <v>4.63</v>
      </c>
      <c r="G1660">
        <v>4.07</v>
      </c>
      <c r="H1660">
        <v>32520</v>
      </c>
      <c r="I1660">
        <v>2.38</v>
      </c>
      <c r="J1660" t="s">
        <v>14</v>
      </c>
      <c r="K1660" t="s">
        <v>933</v>
      </c>
    </row>
    <row r="1661" spans="1:11">
      <c r="A1661" t="str">
        <f>"300184"</f>
        <v>300184</v>
      </c>
      <c r="B1661" t="s">
        <v>1985</v>
      </c>
      <c r="C1661">
        <v>111.53</v>
      </c>
      <c r="D1661">
        <v>67.3</v>
      </c>
      <c r="E1661">
        <v>41.1</v>
      </c>
      <c r="F1661">
        <v>11.51</v>
      </c>
      <c r="G1661">
        <v>10.46</v>
      </c>
      <c r="H1661">
        <v>115500</v>
      </c>
      <c r="I1661">
        <v>2.99</v>
      </c>
      <c r="J1661">
        <v>59.03</v>
      </c>
      <c r="K1661" t="s">
        <v>82</v>
      </c>
    </row>
    <row r="1662" spans="1:11">
      <c r="A1662" t="str">
        <f>"300185"</f>
        <v>300185</v>
      </c>
      <c r="B1662" t="s">
        <v>1986</v>
      </c>
      <c r="C1662">
        <v>110.47</v>
      </c>
      <c r="D1662">
        <v>148.95</v>
      </c>
      <c r="E1662">
        <v>68.93</v>
      </c>
      <c r="F1662">
        <v>38.97</v>
      </c>
      <c r="G1662">
        <v>37.07</v>
      </c>
      <c r="H1662">
        <v>134092</v>
      </c>
      <c r="I1662">
        <v>1.75</v>
      </c>
      <c r="J1662">
        <v>103.91</v>
      </c>
      <c r="K1662" t="s">
        <v>456</v>
      </c>
    </row>
    <row r="1663" spans="1:11">
      <c r="A1663" t="str">
        <f>"300187"</f>
        <v>300187</v>
      </c>
      <c r="B1663" t="s">
        <v>1987</v>
      </c>
      <c r="C1663">
        <v>32.88</v>
      </c>
      <c r="D1663">
        <v>34.97</v>
      </c>
      <c r="E1663">
        <v>11.29</v>
      </c>
      <c r="F1663">
        <v>6.46</v>
      </c>
      <c r="G1663">
        <v>6.42</v>
      </c>
      <c r="H1663">
        <v>19600</v>
      </c>
      <c r="I1663">
        <v>2.93</v>
      </c>
      <c r="J1663">
        <v>25.1</v>
      </c>
      <c r="K1663" t="s">
        <v>370</v>
      </c>
    </row>
    <row r="1664" spans="1:11">
      <c r="A1664" t="str">
        <f>"300188"</f>
        <v>300188</v>
      </c>
      <c r="B1664" t="s">
        <v>1988</v>
      </c>
      <c r="C1664">
        <v>135.85</v>
      </c>
      <c r="D1664">
        <v>50.49</v>
      </c>
      <c r="E1664">
        <v>30.94</v>
      </c>
      <c r="F1664">
        <v>8.59</v>
      </c>
      <c r="G1664">
        <v>8.56</v>
      </c>
      <c r="H1664">
        <v>48736</v>
      </c>
      <c r="I1664">
        <v>4.41</v>
      </c>
      <c r="J1664" t="s">
        <v>14</v>
      </c>
      <c r="K1664" t="s">
        <v>17</v>
      </c>
    </row>
    <row r="1665" spans="1:11">
      <c r="A1665" t="str">
        <f>"300189"</f>
        <v>300189</v>
      </c>
      <c r="B1665" t="s">
        <v>1989</v>
      </c>
      <c r="C1665">
        <v>61.06</v>
      </c>
      <c r="D1665">
        <v>13.2</v>
      </c>
      <c r="E1665">
        <v>7.3</v>
      </c>
      <c r="F1665">
        <v>10.24</v>
      </c>
      <c r="G1665">
        <v>8.86</v>
      </c>
      <c r="H1665">
        <v>75531</v>
      </c>
      <c r="I1665">
        <v>9.66</v>
      </c>
      <c r="J1665">
        <v>935.71</v>
      </c>
      <c r="K1665" t="s">
        <v>373</v>
      </c>
    </row>
    <row r="1666" spans="1:11">
      <c r="A1666" t="str">
        <f>"300190"</f>
        <v>300190</v>
      </c>
      <c r="B1666" t="s">
        <v>1990</v>
      </c>
      <c r="C1666">
        <v>35.69</v>
      </c>
      <c r="D1666">
        <v>69.39</v>
      </c>
      <c r="E1666">
        <v>28.97</v>
      </c>
      <c r="F1666">
        <v>8.16</v>
      </c>
      <c r="G1666">
        <v>8.13</v>
      </c>
      <c r="H1666">
        <v>19600</v>
      </c>
      <c r="I1666">
        <v>1.23</v>
      </c>
      <c r="J1666">
        <v>334.12</v>
      </c>
      <c r="K1666" t="s">
        <v>59</v>
      </c>
    </row>
    <row r="1667" spans="1:11">
      <c r="A1667" t="str">
        <f>"300191"</f>
        <v>300191</v>
      </c>
      <c r="B1667" t="s">
        <v>1991</v>
      </c>
      <c r="C1667">
        <v>47.76</v>
      </c>
      <c r="D1667">
        <v>36.81</v>
      </c>
      <c r="E1667">
        <v>10.62</v>
      </c>
      <c r="F1667">
        <v>3.2</v>
      </c>
      <c r="G1667">
        <v>2.21</v>
      </c>
      <c r="H1667">
        <v>16386</v>
      </c>
      <c r="I1667">
        <v>6.5</v>
      </c>
      <c r="J1667" t="s">
        <v>14</v>
      </c>
      <c r="K1667" t="s">
        <v>988</v>
      </c>
    </row>
    <row r="1668" spans="1:11">
      <c r="A1668" t="str">
        <f>"300192"</f>
        <v>300192</v>
      </c>
      <c r="B1668" t="s">
        <v>1992</v>
      </c>
      <c r="C1668">
        <v>83.33</v>
      </c>
      <c r="D1668">
        <v>13.07</v>
      </c>
      <c r="E1668">
        <v>9.81</v>
      </c>
      <c r="F1668">
        <v>3.29</v>
      </c>
      <c r="G1668">
        <v>3.25</v>
      </c>
      <c r="H1668">
        <v>43881</v>
      </c>
      <c r="I1668">
        <v>8.61</v>
      </c>
      <c r="J1668">
        <v>68.54</v>
      </c>
      <c r="K1668" t="s">
        <v>198</v>
      </c>
    </row>
    <row r="1669" spans="1:11">
      <c r="A1669" t="str">
        <f>"300193"</f>
        <v>300193</v>
      </c>
      <c r="B1669" t="s">
        <v>1993</v>
      </c>
      <c r="C1669">
        <v>38.61</v>
      </c>
      <c r="D1669">
        <v>29.78</v>
      </c>
      <c r="E1669">
        <v>23.04</v>
      </c>
      <c r="F1669">
        <v>4.76</v>
      </c>
      <c r="G1669">
        <v>4.2</v>
      </c>
      <c r="H1669">
        <v>29130</v>
      </c>
      <c r="I1669">
        <v>1.9</v>
      </c>
      <c r="J1669">
        <v>20.47</v>
      </c>
      <c r="K1669" t="s">
        <v>744</v>
      </c>
    </row>
    <row r="1670" spans="1:11">
      <c r="A1670" t="str">
        <f>"300194"</f>
        <v>300194</v>
      </c>
      <c r="B1670" t="s">
        <v>1994</v>
      </c>
      <c r="C1670">
        <v>44.74</v>
      </c>
      <c r="D1670">
        <v>59.67</v>
      </c>
      <c r="E1670">
        <v>44.52</v>
      </c>
      <c r="F1670">
        <v>11.9</v>
      </c>
      <c r="G1670">
        <v>9.68</v>
      </c>
      <c r="H1670">
        <v>38845</v>
      </c>
      <c r="I1670">
        <v>1.23</v>
      </c>
      <c r="J1670">
        <v>24.79</v>
      </c>
      <c r="K1670" t="s">
        <v>109</v>
      </c>
    </row>
    <row r="1671" spans="1:11">
      <c r="A1671" t="str">
        <f>"300195"</f>
        <v>300195</v>
      </c>
      <c r="B1671" t="s">
        <v>1995</v>
      </c>
      <c r="C1671">
        <v>27.15</v>
      </c>
      <c r="D1671">
        <v>63.3</v>
      </c>
      <c r="E1671">
        <v>26.77</v>
      </c>
      <c r="F1671">
        <v>4.24</v>
      </c>
      <c r="G1671">
        <v>3.14</v>
      </c>
      <c r="H1671">
        <v>25113</v>
      </c>
      <c r="I1671">
        <v>1.37</v>
      </c>
      <c r="J1671">
        <v>413.04</v>
      </c>
      <c r="K1671" t="s">
        <v>657</v>
      </c>
    </row>
    <row r="1672" spans="1:11">
      <c r="A1672" t="str">
        <f>"300196"</f>
        <v>300196</v>
      </c>
      <c r="B1672" t="s">
        <v>1996</v>
      </c>
      <c r="C1672">
        <v>36.1</v>
      </c>
      <c r="D1672">
        <v>74.76</v>
      </c>
      <c r="E1672">
        <v>47.61</v>
      </c>
      <c r="F1672">
        <v>4.09</v>
      </c>
      <c r="G1672">
        <v>2.47</v>
      </c>
      <c r="H1672">
        <v>22194</v>
      </c>
      <c r="I1672">
        <v>1.28</v>
      </c>
      <c r="J1672">
        <v>17.41</v>
      </c>
      <c r="K1672" t="s">
        <v>842</v>
      </c>
    </row>
    <row r="1673" spans="1:11">
      <c r="A1673" t="str">
        <f>"300197"</f>
        <v>300197</v>
      </c>
      <c r="B1673" t="s">
        <v>1997</v>
      </c>
      <c r="C1673">
        <v>55.15</v>
      </c>
      <c r="D1673">
        <v>258.32</v>
      </c>
      <c r="E1673">
        <v>19.03</v>
      </c>
      <c r="F1673">
        <v>29.65</v>
      </c>
      <c r="G1673">
        <v>29.65</v>
      </c>
      <c r="H1673">
        <v>52602</v>
      </c>
      <c r="I1673">
        <v>5.62</v>
      </c>
      <c r="J1673" t="s">
        <v>14</v>
      </c>
      <c r="K1673" t="s">
        <v>370</v>
      </c>
    </row>
    <row r="1674" spans="1:11">
      <c r="A1674" t="str">
        <f>"300198"</f>
        <v>300198</v>
      </c>
      <c r="B1674" t="s">
        <v>1998</v>
      </c>
      <c r="C1674">
        <v>26.78</v>
      </c>
      <c r="D1674">
        <v>20.54</v>
      </c>
      <c r="E1674">
        <v>0.19</v>
      </c>
      <c r="F1674">
        <v>10.32</v>
      </c>
      <c r="G1674">
        <v>10.26</v>
      </c>
      <c r="H1674">
        <v>24638</v>
      </c>
      <c r="I1674">
        <v>145</v>
      </c>
      <c r="J1674" t="s">
        <v>14</v>
      </c>
      <c r="K1674" t="s">
        <v>874</v>
      </c>
    </row>
    <row r="1675" spans="1:11">
      <c r="A1675" t="str">
        <f>"300199"</f>
        <v>300199</v>
      </c>
      <c r="B1675" t="s">
        <v>1999</v>
      </c>
      <c r="C1675">
        <v>158.91</v>
      </c>
      <c r="D1675">
        <v>31.71</v>
      </c>
      <c r="E1675">
        <v>6.49</v>
      </c>
      <c r="F1675">
        <v>8.83</v>
      </c>
      <c r="G1675">
        <v>7.46</v>
      </c>
      <c r="H1675">
        <v>110118</v>
      </c>
      <c r="I1675">
        <v>28.99</v>
      </c>
      <c r="J1675">
        <v>197.84</v>
      </c>
      <c r="K1675" t="s">
        <v>109</v>
      </c>
    </row>
    <row r="1676" spans="1:11">
      <c r="A1676" t="str">
        <f>"300200"</f>
        <v>300200</v>
      </c>
      <c r="B1676" t="s">
        <v>2000</v>
      </c>
      <c r="C1676">
        <v>62.94</v>
      </c>
      <c r="D1676">
        <v>24.32</v>
      </c>
      <c r="E1676">
        <v>16.42</v>
      </c>
      <c r="F1676">
        <v>4.31</v>
      </c>
      <c r="G1676">
        <v>4.23</v>
      </c>
      <c r="H1676">
        <v>33281</v>
      </c>
      <c r="I1676">
        <v>3.9</v>
      </c>
      <c r="J1676">
        <v>41.99</v>
      </c>
      <c r="K1676" t="s">
        <v>1454</v>
      </c>
    </row>
    <row r="1677" spans="1:11">
      <c r="A1677" t="str">
        <f>"300201"</f>
        <v>300201</v>
      </c>
      <c r="B1677" t="s">
        <v>2001</v>
      </c>
      <c r="C1677">
        <v>74.48</v>
      </c>
      <c r="D1677">
        <v>26.39</v>
      </c>
      <c r="E1677">
        <v>16.88</v>
      </c>
      <c r="F1677">
        <v>10.09</v>
      </c>
      <c r="G1677">
        <v>10.04</v>
      </c>
      <c r="H1677">
        <v>47783</v>
      </c>
      <c r="I1677">
        <v>4.44</v>
      </c>
      <c r="J1677">
        <v>31.83</v>
      </c>
      <c r="K1677" t="s">
        <v>115</v>
      </c>
    </row>
    <row r="1678" spans="1:11">
      <c r="A1678" t="str">
        <f>"300203"</f>
        <v>300203</v>
      </c>
      <c r="B1678" t="s">
        <v>2002</v>
      </c>
      <c r="C1678">
        <v>74.74</v>
      </c>
      <c r="D1678">
        <v>87.81</v>
      </c>
      <c r="E1678">
        <v>28.48</v>
      </c>
      <c r="F1678">
        <v>4.49</v>
      </c>
      <c r="G1678">
        <v>4.48</v>
      </c>
      <c r="H1678">
        <v>23013</v>
      </c>
      <c r="I1678">
        <v>2.63</v>
      </c>
      <c r="J1678" t="s">
        <v>14</v>
      </c>
      <c r="K1678" t="s">
        <v>952</v>
      </c>
    </row>
    <row r="1679" spans="1:11">
      <c r="A1679" t="str">
        <f>"300204"</f>
        <v>300204</v>
      </c>
      <c r="B1679" t="s">
        <v>2003</v>
      </c>
      <c r="C1679">
        <v>138</v>
      </c>
      <c r="D1679">
        <v>12.64</v>
      </c>
      <c r="E1679">
        <v>8.71</v>
      </c>
      <c r="F1679">
        <v>4.78</v>
      </c>
      <c r="G1679">
        <v>4.54</v>
      </c>
      <c r="H1679">
        <v>46538</v>
      </c>
      <c r="I1679">
        <v>16.7</v>
      </c>
      <c r="J1679" t="s">
        <v>14</v>
      </c>
      <c r="K1679" t="s">
        <v>210</v>
      </c>
    </row>
    <row r="1680" spans="1:11">
      <c r="A1680" t="str">
        <f>"300205"</f>
        <v>300205</v>
      </c>
      <c r="B1680" t="s">
        <v>2004</v>
      </c>
      <c r="C1680">
        <v>20.26</v>
      </c>
      <c r="D1680">
        <v>17.21</v>
      </c>
      <c r="E1680">
        <v>9.83</v>
      </c>
      <c r="F1680">
        <v>4.3</v>
      </c>
      <c r="G1680">
        <v>4.3</v>
      </c>
      <c r="H1680">
        <v>12398</v>
      </c>
      <c r="I1680">
        <v>2.06</v>
      </c>
      <c r="J1680" t="s">
        <v>14</v>
      </c>
      <c r="K1680" t="s">
        <v>770</v>
      </c>
    </row>
    <row r="1681" spans="1:11">
      <c r="A1681" t="str">
        <f>"300206"</f>
        <v>300206</v>
      </c>
      <c r="B1681" t="s">
        <v>2005</v>
      </c>
      <c r="C1681">
        <v>51.03</v>
      </c>
      <c r="D1681">
        <v>25.06</v>
      </c>
      <c r="E1681">
        <v>21.44</v>
      </c>
      <c r="F1681">
        <v>5.8</v>
      </c>
      <c r="G1681">
        <v>3.38</v>
      </c>
      <c r="H1681">
        <v>22448</v>
      </c>
      <c r="I1681">
        <v>4.08</v>
      </c>
      <c r="J1681">
        <v>25.55</v>
      </c>
      <c r="K1681" t="s">
        <v>1836</v>
      </c>
    </row>
    <row r="1682" spans="1:11">
      <c r="A1682" t="str">
        <f>"300207"</f>
        <v>300207</v>
      </c>
      <c r="B1682" t="s">
        <v>2006</v>
      </c>
      <c r="C1682">
        <v>422.12</v>
      </c>
      <c r="D1682">
        <v>1004.42</v>
      </c>
      <c r="E1682">
        <v>249.53</v>
      </c>
      <c r="F1682">
        <v>18.47</v>
      </c>
      <c r="G1682">
        <v>17.14</v>
      </c>
      <c r="H1682">
        <v>135270</v>
      </c>
      <c r="I1682">
        <v>1.82</v>
      </c>
      <c r="J1682">
        <v>24.28</v>
      </c>
      <c r="K1682" t="s">
        <v>70</v>
      </c>
    </row>
    <row r="1683" spans="1:11">
      <c r="A1683" t="str">
        <f>"300209"</f>
        <v>300209</v>
      </c>
      <c r="B1683" t="s">
        <v>2007</v>
      </c>
      <c r="C1683">
        <v>29.35</v>
      </c>
      <c r="D1683">
        <v>11.48</v>
      </c>
      <c r="E1683">
        <v>9.57</v>
      </c>
      <c r="F1683">
        <v>9.29</v>
      </c>
      <c r="G1683">
        <v>4.9</v>
      </c>
      <c r="H1683">
        <v>24180</v>
      </c>
      <c r="I1683">
        <v>5.81</v>
      </c>
      <c r="J1683">
        <v>1481.84</v>
      </c>
      <c r="K1683" t="s">
        <v>1102</v>
      </c>
    </row>
    <row r="1684" spans="1:11">
      <c r="A1684" t="str">
        <f>"300210"</f>
        <v>300210</v>
      </c>
      <c r="B1684" t="s">
        <v>2008</v>
      </c>
      <c r="C1684">
        <v>54.13</v>
      </c>
      <c r="D1684">
        <v>10</v>
      </c>
      <c r="E1684">
        <v>4.13</v>
      </c>
      <c r="F1684">
        <v>4.84</v>
      </c>
      <c r="G1684">
        <v>4.84</v>
      </c>
      <c r="H1684">
        <v>22473</v>
      </c>
      <c r="I1684">
        <v>13.12</v>
      </c>
      <c r="J1684">
        <v>481.6</v>
      </c>
      <c r="K1684" t="s">
        <v>493</v>
      </c>
    </row>
    <row r="1685" spans="1:11">
      <c r="A1685" t="str">
        <f>"300211"</f>
        <v>300211</v>
      </c>
      <c r="B1685" t="s">
        <v>2009</v>
      </c>
      <c r="C1685">
        <v>26.98</v>
      </c>
      <c r="D1685">
        <v>6.38</v>
      </c>
      <c r="E1685">
        <v>4.64</v>
      </c>
      <c r="F1685">
        <v>3.04</v>
      </c>
      <c r="G1685">
        <v>2.97</v>
      </c>
      <c r="H1685">
        <v>12498</v>
      </c>
      <c r="I1685">
        <v>5.95</v>
      </c>
      <c r="J1685" t="s">
        <v>14</v>
      </c>
      <c r="K1685" t="s">
        <v>933</v>
      </c>
    </row>
    <row r="1686" spans="1:11">
      <c r="A1686" t="str">
        <f>"300212"</f>
        <v>300212</v>
      </c>
      <c r="B1686" t="s">
        <v>2010</v>
      </c>
      <c r="C1686">
        <v>162.19</v>
      </c>
      <c r="D1686">
        <v>105.2</v>
      </c>
      <c r="E1686">
        <v>2.72</v>
      </c>
      <c r="F1686">
        <v>7.2</v>
      </c>
      <c r="G1686">
        <v>6.99</v>
      </c>
      <c r="H1686">
        <v>66301</v>
      </c>
      <c r="I1686">
        <v>61.43</v>
      </c>
      <c r="J1686" t="s">
        <v>14</v>
      </c>
      <c r="K1686" t="s">
        <v>117</v>
      </c>
    </row>
    <row r="1687" spans="1:11">
      <c r="A1687" t="str">
        <f>"300213"</f>
        <v>300213</v>
      </c>
      <c r="B1687" t="s">
        <v>2011</v>
      </c>
      <c r="C1687">
        <v>57.32</v>
      </c>
      <c r="D1687">
        <v>30.77</v>
      </c>
      <c r="E1687">
        <v>21.95</v>
      </c>
      <c r="F1687">
        <v>5.94</v>
      </c>
      <c r="G1687">
        <v>5.52</v>
      </c>
      <c r="H1687">
        <v>34954</v>
      </c>
      <c r="I1687">
        <v>2.81</v>
      </c>
      <c r="J1687" t="s">
        <v>14</v>
      </c>
      <c r="K1687" t="s">
        <v>933</v>
      </c>
    </row>
    <row r="1688" spans="1:11">
      <c r="A1688" t="str">
        <f>"300214"</f>
        <v>300214</v>
      </c>
      <c r="B1688" t="s">
        <v>2012</v>
      </c>
      <c r="C1688">
        <v>31.59</v>
      </c>
      <c r="D1688">
        <v>49.7</v>
      </c>
      <c r="E1688">
        <v>24.21</v>
      </c>
      <c r="F1688">
        <v>4.65</v>
      </c>
      <c r="G1688">
        <v>4.5</v>
      </c>
      <c r="H1688">
        <v>17385</v>
      </c>
      <c r="I1688">
        <v>1.35</v>
      </c>
      <c r="J1688">
        <v>609.49</v>
      </c>
      <c r="K1688" t="s">
        <v>1529</v>
      </c>
    </row>
    <row r="1689" spans="1:11">
      <c r="A1689" t="str">
        <f>"300215"</f>
        <v>300215</v>
      </c>
      <c r="B1689" t="s">
        <v>2013</v>
      </c>
      <c r="C1689">
        <v>34.39</v>
      </c>
      <c r="D1689">
        <v>24.94</v>
      </c>
      <c r="E1689">
        <v>19.61</v>
      </c>
      <c r="F1689">
        <v>7.49</v>
      </c>
      <c r="G1689">
        <v>5</v>
      </c>
      <c r="H1689">
        <v>30007</v>
      </c>
      <c r="I1689">
        <v>2.63</v>
      </c>
      <c r="J1689" t="s">
        <v>14</v>
      </c>
      <c r="K1689" t="s">
        <v>1733</v>
      </c>
    </row>
    <row r="1690" spans="1:11">
      <c r="A1690" t="str">
        <f>"300217"</f>
        <v>300217</v>
      </c>
      <c r="B1690" t="s">
        <v>2014</v>
      </c>
      <c r="C1690">
        <v>66.62</v>
      </c>
      <c r="D1690">
        <v>62.88</v>
      </c>
      <c r="E1690">
        <v>41.99</v>
      </c>
      <c r="F1690">
        <v>14.78</v>
      </c>
      <c r="G1690">
        <v>12.27</v>
      </c>
      <c r="H1690">
        <v>47742</v>
      </c>
      <c r="I1690">
        <v>1.91</v>
      </c>
      <c r="J1690">
        <v>40.02</v>
      </c>
      <c r="K1690" t="s">
        <v>134</v>
      </c>
    </row>
    <row r="1691" spans="1:11">
      <c r="A1691" t="str">
        <f>"300218"</f>
        <v>300218</v>
      </c>
      <c r="B1691" t="s">
        <v>2015</v>
      </c>
      <c r="C1691">
        <v>35.6</v>
      </c>
      <c r="D1691">
        <v>24.25</v>
      </c>
      <c r="E1691">
        <v>15.44</v>
      </c>
      <c r="F1691">
        <v>2.17</v>
      </c>
      <c r="G1691">
        <v>2.16</v>
      </c>
      <c r="H1691">
        <v>17921</v>
      </c>
      <c r="I1691">
        <v>2.31</v>
      </c>
      <c r="J1691">
        <v>22.07</v>
      </c>
      <c r="K1691" t="s">
        <v>1187</v>
      </c>
    </row>
    <row r="1692" spans="1:11">
      <c r="A1692" t="str">
        <f>"300219"</f>
        <v>300219</v>
      </c>
      <c r="B1692" t="s">
        <v>2016</v>
      </c>
      <c r="C1692">
        <v>52.36</v>
      </c>
      <c r="D1692">
        <v>60.12</v>
      </c>
      <c r="E1692">
        <v>26.48</v>
      </c>
      <c r="F1692">
        <v>7.08</v>
      </c>
      <c r="G1692">
        <v>7.07</v>
      </c>
      <c r="H1692">
        <v>36811</v>
      </c>
      <c r="I1692">
        <v>1.98</v>
      </c>
      <c r="J1692">
        <v>51.77</v>
      </c>
      <c r="K1692" t="s">
        <v>216</v>
      </c>
    </row>
    <row r="1693" spans="1:11">
      <c r="A1693" t="str">
        <f>"300220"</f>
        <v>300220</v>
      </c>
      <c r="B1693" t="s">
        <v>2017</v>
      </c>
      <c r="C1693">
        <v>23.36</v>
      </c>
      <c r="D1693">
        <v>2.95</v>
      </c>
      <c r="E1693">
        <v>0.63</v>
      </c>
      <c r="F1693">
        <v>1.51</v>
      </c>
      <c r="G1693">
        <v>1.51</v>
      </c>
      <c r="H1693">
        <v>20222</v>
      </c>
      <c r="I1693">
        <v>37.1</v>
      </c>
      <c r="J1693">
        <v>1748.53</v>
      </c>
      <c r="K1693" t="s">
        <v>604</v>
      </c>
    </row>
    <row r="1694" spans="1:11">
      <c r="A1694" t="str">
        <f>"300221"</f>
        <v>300221</v>
      </c>
      <c r="B1694" t="s">
        <v>2018</v>
      </c>
      <c r="C1694">
        <v>51.13</v>
      </c>
      <c r="D1694">
        <v>22.81</v>
      </c>
      <c r="E1694">
        <v>14.37</v>
      </c>
      <c r="F1694">
        <v>4.74</v>
      </c>
      <c r="G1694">
        <v>4.56</v>
      </c>
      <c r="H1694">
        <v>34572</v>
      </c>
      <c r="I1694">
        <v>3.69</v>
      </c>
      <c r="J1694">
        <v>46.98</v>
      </c>
      <c r="K1694" t="s">
        <v>1113</v>
      </c>
    </row>
    <row r="1695" spans="1:11">
      <c r="A1695" t="str">
        <f>"300222"</f>
        <v>300222</v>
      </c>
      <c r="B1695" t="s">
        <v>2019</v>
      </c>
      <c r="C1695">
        <v>77.2</v>
      </c>
      <c r="D1695">
        <v>46.19</v>
      </c>
      <c r="E1695">
        <v>17.17</v>
      </c>
      <c r="F1695">
        <v>7.78</v>
      </c>
      <c r="G1695">
        <v>6.34</v>
      </c>
      <c r="H1695">
        <v>83564</v>
      </c>
      <c r="I1695">
        <v>5.52</v>
      </c>
      <c r="J1695">
        <v>99.31</v>
      </c>
      <c r="K1695" t="s">
        <v>127</v>
      </c>
    </row>
    <row r="1696" spans="1:11">
      <c r="A1696" t="str">
        <f>"300223"</f>
        <v>300223</v>
      </c>
      <c r="B1696" t="s">
        <v>2020</v>
      </c>
      <c r="C1696">
        <v>484.2</v>
      </c>
      <c r="D1696">
        <v>135.41</v>
      </c>
      <c r="E1696">
        <v>124</v>
      </c>
      <c r="F1696">
        <v>4.83</v>
      </c>
      <c r="G1696">
        <v>4.21</v>
      </c>
      <c r="H1696">
        <v>82447</v>
      </c>
      <c r="I1696">
        <v>4.48</v>
      </c>
      <c r="J1696">
        <v>162.92</v>
      </c>
      <c r="K1696" t="s">
        <v>691</v>
      </c>
    </row>
    <row r="1697" spans="1:11">
      <c r="A1697" t="str">
        <f>"300224"</f>
        <v>300224</v>
      </c>
      <c r="B1697" t="s">
        <v>2021</v>
      </c>
      <c r="C1697">
        <v>152.23</v>
      </c>
      <c r="D1697">
        <v>87.43</v>
      </c>
      <c r="E1697">
        <v>50.62</v>
      </c>
      <c r="F1697">
        <v>9.31</v>
      </c>
      <c r="G1697">
        <v>9.25</v>
      </c>
      <c r="H1697">
        <v>82557</v>
      </c>
      <c r="I1697">
        <v>3.03</v>
      </c>
      <c r="J1697">
        <v>50.37</v>
      </c>
      <c r="K1697" t="s">
        <v>442</v>
      </c>
    </row>
    <row r="1698" spans="1:11">
      <c r="A1698" t="str">
        <f>"300225"</f>
        <v>300225</v>
      </c>
      <c r="B1698" t="s">
        <v>2022</v>
      </c>
      <c r="C1698">
        <v>27.6</v>
      </c>
      <c r="D1698">
        <v>14.26</v>
      </c>
      <c r="E1698">
        <v>8.63</v>
      </c>
      <c r="F1698">
        <v>4.75</v>
      </c>
      <c r="G1698">
        <v>4.75</v>
      </c>
      <c r="H1698">
        <v>18592</v>
      </c>
      <c r="I1698">
        <v>3.2</v>
      </c>
      <c r="J1698">
        <v>117.69</v>
      </c>
      <c r="K1698" t="s">
        <v>246</v>
      </c>
    </row>
    <row r="1699" spans="1:11">
      <c r="A1699" t="str">
        <f>"300226"</f>
        <v>300226</v>
      </c>
      <c r="B1699" t="s">
        <v>2023</v>
      </c>
      <c r="C1699">
        <v>100.06</v>
      </c>
      <c r="D1699">
        <v>295.84</v>
      </c>
      <c r="E1699">
        <v>21.43</v>
      </c>
      <c r="F1699">
        <v>3.19</v>
      </c>
      <c r="G1699">
        <v>3.06</v>
      </c>
      <c r="H1699">
        <v>37196</v>
      </c>
      <c r="I1699">
        <v>4.86</v>
      </c>
      <c r="J1699">
        <v>46.6</v>
      </c>
      <c r="K1699" t="s">
        <v>858</v>
      </c>
    </row>
    <row r="1700" spans="1:11">
      <c r="A1700" t="str">
        <f>"300227"</f>
        <v>300227</v>
      </c>
      <c r="B1700" t="s">
        <v>2024</v>
      </c>
      <c r="C1700">
        <v>43.35</v>
      </c>
      <c r="D1700">
        <v>38.1</v>
      </c>
      <c r="E1700">
        <v>15.32</v>
      </c>
      <c r="F1700">
        <v>5.57</v>
      </c>
      <c r="G1700">
        <v>4.33</v>
      </c>
      <c r="H1700">
        <v>36860</v>
      </c>
      <c r="I1700">
        <v>3.55</v>
      </c>
      <c r="J1700" t="s">
        <v>14</v>
      </c>
      <c r="K1700" t="s">
        <v>604</v>
      </c>
    </row>
    <row r="1701" spans="1:11">
      <c r="A1701" t="str">
        <f>"300228"</f>
        <v>300228</v>
      </c>
      <c r="B1701" t="s">
        <v>2025</v>
      </c>
      <c r="C1701">
        <v>57.39</v>
      </c>
      <c r="D1701">
        <v>40.64</v>
      </c>
      <c r="E1701">
        <v>23.61</v>
      </c>
      <c r="F1701">
        <v>5.97</v>
      </c>
      <c r="G1701">
        <v>5.62</v>
      </c>
      <c r="H1701">
        <v>54331</v>
      </c>
      <c r="I1701">
        <v>2.54</v>
      </c>
      <c r="J1701">
        <v>26.47</v>
      </c>
      <c r="K1701" t="s">
        <v>493</v>
      </c>
    </row>
    <row r="1702" spans="1:11">
      <c r="A1702" t="str">
        <f>"300229"</f>
        <v>300229</v>
      </c>
      <c r="B1702" t="s">
        <v>2026</v>
      </c>
      <c r="C1702">
        <v>269.59</v>
      </c>
      <c r="D1702">
        <v>42.83</v>
      </c>
      <c r="E1702">
        <v>39.65</v>
      </c>
      <c r="F1702">
        <v>8.74</v>
      </c>
      <c r="G1702">
        <v>8.73</v>
      </c>
      <c r="H1702">
        <v>116661</v>
      </c>
      <c r="I1702">
        <v>6.8</v>
      </c>
      <c r="J1702" t="s">
        <v>14</v>
      </c>
      <c r="K1702" t="s">
        <v>117</v>
      </c>
    </row>
    <row r="1703" spans="1:11">
      <c r="A1703" t="str">
        <f>"300230"</f>
        <v>300230</v>
      </c>
      <c r="B1703" t="s">
        <v>2027</v>
      </c>
      <c r="C1703">
        <v>31.62</v>
      </c>
      <c r="D1703">
        <v>43.17</v>
      </c>
      <c r="E1703">
        <v>32.58</v>
      </c>
      <c r="F1703">
        <v>8.13</v>
      </c>
      <c r="G1703">
        <v>6.3</v>
      </c>
      <c r="H1703">
        <v>24601</v>
      </c>
      <c r="I1703">
        <v>1.25</v>
      </c>
      <c r="J1703">
        <v>18.85</v>
      </c>
      <c r="K1703" t="s">
        <v>549</v>
      </c>
    </row>
    <row r="1704" spans="1:11">
      <c r="A1704" t="str">
        <f>"300231"</f>
        <v>300231</v>
      </c>
      <c r="B1704" t="s">
        <v>2028</v>
      </c>
      <c r="C1704">
        <v>51.76</v>
      </c>
      <c r="D1704">
        <v>21.85</v>
      </c>
      <c r="E1704">
        <v>16.52</v>
      </c>
      <c r="F1704">
        <v>4.44</v>
      </c>
      <c r="G1704">
        <v>4.44</v>
      </c>
      <c r="H1704">
        <v>45604</v>
      </c>
      <c r="I1704">
        <v>3.18</v>
      </c>
      <c r="J1704">
        <v>73.68</v>
      </c>
      <c r="K1704" t="s">
        <v>117</v>
      </c>
    </row>
    <row r="1705" spans="1:11">
      <c r="A1705" t="str">
        <f>"300232"</f>
        <v>300232</v>
      </c>
      <c r="B1705" t="s">
        <v>2029</v>
      </c>
      <c r="C1705">
        <v>70.85</v>
      </c>
      <c r="D1705">
        <v>106.97</v>
      </c>
      <c r="E1705">
        <v>46.51</v>
      </c>
      <c r="F1705">
        <v>10.87</v>
      </c>
      <c r="G1705">
        <v>8.83</v>
      </c>
      <c r="H1705">
        <v>41817</v>
      </c>
      <c r="I1705">
        <v>1.88</v>
      </c>
      <c r="J1705">
        <v>51.85</v>
      </c>
      <c r="K1705" t="s">
        <v>216</v>
      </c>
    </row>
    <row r="1706" spans="1:11">
      <c r="A1706" t="str">
        <f>"300233"</f>
        <v>300233</v>
      </c>
      <c r="B1706" t="s">
        <v>2030</v>
      </c>
      <c r="C1706">
        <v>58.25</v>
      </c>
      <c r="D1706">
        <v>51.41</v>
      </c>
      <c r="E1706">
        <v>36.5</v>
      </c>
      <c r="F1706">
        <v>3.84</v>
      </c>
      <c r="G1706">
        <v>3.72</v>
      </c>
      <c r="H1706">
        <v>27736</v>
      </c>
      <c r="I1706">
        <v>1.65</v>
      </c>
      <c r="J1706">
        <v>142.87</v>
      </c>
      <c r="K1706" t="s">
        <v>109</v>
      </c>
    </row>
    <row r="1707" spans="1:11">
      <c r="A1707" t="str">
        <f>"300234"</f>
        <v>300234</v>
      </c>
      <c r="B1707" t="s">
        <v>2031</v>
      </c>
      <c r="C1707">
        <v>20.26</v>
      </c>
      <c r="D1707">
        <v>13.65</v>
      </c>
      <c r="E1707">
        <v>11.54</v>
      </c>
      <c r="F1707">
        <v>5.03</v>
      </c>
      <c r="G1707">
        <v>3.44</v>
      </c>
      <c r="H1707">
        <v>21920</v>
      </c>
      <c r="I1707">
        <v>2.57</v>
      </c>
      <c r="J1707">
        <v>107.92</v>
      </c>
      <c r="K1707" t="s">
        <v>935</v>
      </c>
    </row>
    <row r="1708" spans="1:11">
      <c r="A1708" t="str">
        <f>"300235"</f>
        <v>300235</v>
      </c>
      <c r="B1708" t="s">
        <v>2032</v>
      </c>
      <c r="C1708">
        <v>36.75</v>
      </c>
      <c r="D1708">
        <v>7.11</v>
      </c>
      <c r="E1708">
        <v>6.97</v>
      </c>
      <c r="F1708">
        <v>2.52</v>
      </c>
      <c r="G1708">
        <v>2.03</v>
      </c>
      <c r="H1708">
        <v>21080</v>
      </c>
      <c r="I1708">
        <v>6.53</v>
      </c>
      <c r="J1708">
        <v>485.11</v>
      </c>
      <c r="K1708" t="s">
        <v>117</v>
      </c>
    </row>
    <row r="1709" spans="1:11">
      <c r="A1709" t="str">
        <f>"300236"</f>
        <v>300236</v>
      </c>
      <c r="B1709" t="s">
        <v>2033</v>
      </c>
      <c r="C1709">
        <v>211.55</v>
      </c>
      <c r="D1709">
        <v>72.24</v>
      </c>
      <c r="E1709">
        <v>54.3</v>
      </c>
      <c r="F1709">
        <v>3.13</v>
      </c>
      <c r="G1709">
        <v>2.79</v>
      </c>
      <c r="H1709">
        <v>39722</v>
      </c>
      <c r="I1709">
        <v>4.38</v>
      </c>
      <c r="J1709">
        <v>84.5</v>
      </c>
      <c r="K1709" t="s">
        <v>884</v>
      </c>
    </row>
    <row r="1710" spans="1:11">
      <c r="A1710" t="str">
        <f>"300237"</f>
        <v>300237</v>
      </c>
      <c r="B1710" t="s">
        <v>2034</v>
      </c>
      <c r="C1710">
        <v>36.05</v>
      </c>
      <c r="D1710">
        <v>52.12</v>
      </c>
      <c r="E1710">
        <v>-1.75</v>
      </c>
      <c r="F1710">
        <v>14.42</v>
      </c>
      <c r="G1710">
        <v>14.42</v>
      </c>
      <c r="H1710">
        <v>42227</v>
      </c>
      <c r="I1710">
        <v>-20.66</v>
      </c>
      <c r="J1710" t="s">
        <v>14</v>
      </c>
      <c r="K1710" t="s">
        <v>517</v>
      </c>
    </row>
    <row r="1711" spans="1:11">
      <c r="A1711" t="str">
        <f>"300238"</f>
        <v>300238</v>
      </c>
      <c r="B1711" t="s">
        <v>2035</v>
      </c>
      <c r="C1711">
        <v>45.87</v>
      </c>
      <c r="D1711">
        <v>7.75</v>
      </c>
      <c r="E1711">
        <v>5.72</v>
      </c>
      <c r="F1711">
        <v>2.65</v>
      </c>
      <c r="G1711">
        <v>2.65</v>
      </c>
      <c r="H1711">
        <v>27775</v>
      </c>
      <c r="I1711">
        <v>8.02</v>
      </c>
      <c r="J1711">
        <v>128.77</v>
      </c>
      <c r="K1711" t="s">
        <v>1173</v>
      </c>
    </row>
    <row r="1712" spans="1:11">
      <c r="A1712" t="str">
        <f>"300239"</f>
        <v>300239</v>
      </c>
      <c r="B1712" t="s">
        <v>2036</v>
      </c>
      <c r="C1712">
        <v>38.22</v>
      </c>
      <c r="D1712">
        <v>25.44</v>
      </c>
      <c r="E1712">
        <v>17.17</v>
      </c>
      <c r="F1712">
        <v>5.94</v>
      </c>
      <c r="G1712">
        <v>5.9</v>
      </c>
      <c r="H1712">
        <v>20471</v>
      </c>
      <c r="I1712">
        <v>2.27</v>
      </c>
      <c r="J1712">
        <v>59.55</v>
      </c>
      <c r="K1712" t="s">
        <v>210</v>
      </c>
    </row>
    <row r="1713" spans="1:11">
      <c r="A1713" t="str">
        <f>"300240"</f>
        <v>300240</v>
      </c>
      <c r="B1713" t="s">
        <v>2037</v>
      </c>
      <c r="C1713">
        <v>28.34</v>
      </c>
      <c r="D1713">
        <v>41.78</v>
      </c>
      <c r="E1713">
        <v>14.76</v>
      </c>
      <c r="F1713">
        <v>3.72</v>
      </c>
      <c r="G1713">
        <v>3.63</v>
      </c>
      <c r="H1713">
        <v>28379</v>
      </c>
      <c r="I1713">
        <v>1.96</v>
      </c>
      <c r="J1713">
        <v>65.49</v>
      </c>
      <c r="K1713" t="s">
        <v>536</v>
      </c>
    </row>
    <row r="1714" spans="1:11">
      <c r="A1714" t="str">
        <f>"300241"</f>
        <v>300241</v>
      </c>
      <c r="B1714" t="s">
        <v>2038</v>
      </c>
      <c r="C1714">
        <v>34.3</v>
      </c>
      <c r="D1714">
        <v>36.45</v>
      </c>
      <c r="E1714">
        <v>22.35</v>
      </c>
      <c r="F1714">
        <v>7</v>
      </c>
      <c r="G1714">
        <v>5.86</v>
      </c>
      <c r="H1714">
        <v>43328</v>
      </c>
      <c r="I1714">
        <v>1.83</v>
      </c>
      <c r="J1714">
        <v>60</v>
      </c>
      <c r="K1714" t="s">
        <v>216</v>
      </c>
    </row>
    <row r="1715" spans="1:11">
      <c r="A1715" t="str">
        <f>"300242"</f>
        <v>300242</v>
      </c>
      <c r="B1715" t="s">
        <v>2039</v>
      </c>
      <c r="C1715">
        <v>37.82</v>
      </c>
      <c r="D1715">
        <v>2.54</v>
      </c>
      <c r="E1715">
        <v>2.64</v>
      </c>
      <c r="F1715">
        <v>6.35</v>
      </c>
      <c r="G1715">
        <v>6.35</v>
      </c>
      <c r="H1715">
        <v>37728</v>
      </c>
      <c r="I1715">
        <v>14.33</v>
      </c>
      <c r="J1715" t="s">
        <v>14</v>
      </c>
      <c r="K1715" t="s">
        <v>333</v>
      </c>
    </row>
    <row r="1716" spans="1:11">
      <c r="A1716" t="str">
        <f>"300243"</f>
        <v>300243</v>
      </c>
      <c r="B1716" t="s">
        <v>2040</v>
      </c>
      <c r="C1716">
        <v>20.82</v>
      </c>
      <c r="D1716">
        <v>23.4</v>
      </c>
      <c r="E1716">
        <v>11.49</v>
      </c>
      <c r="F1716">
        <v>2.5</v>
      </c>
      <c r="G1716">
        <v>1.94</v>
      </c>
      <c r="H1716">
        <v>17445</v>
      </c>
      <c r="I1716">
        <v>2.5</v>
      </c>
      <c r="J1716">
        <v>82.53</v>
      </c>
      <c r="K1716" t="s">
        <v>1529</v>
      </c>
    </row>
    <row r="1717" spans="1:11">
      <c r="A1717" t="str">
        <f>"300244"</f>
        <v>300244</v>
      </c>
      <c r="B1717" t="s">
        <v>2041</v>
      </c>
      <c r="C1717">
        <v>147.93</v>
      </c>
      <c r="D1717">
        <v>147.65</v>
      </c>
      <c r="E1717">
        <v>64.7</v>
      </c>
      <c r="F1717">
        <v>6.25</v>
      </c>
      <c r="G1717">
        <v>5.01</v>
      </c>
      <c r="H1717">
        <v>45695</v>
      </c>
      <c r="I1717">
        <v>2.85</v>
      </c>
      <c r="J1717">
        <v>243.85</v>
      </c>
      <c r="K1717" t="s">
        <v>368</v>
      </c>
    </row>
    <row r="1718" spans="1:11">
      <c r="A1718" t="str">
        <f>"300245"</f>
        <v>300245</v>
      </c>
      <c r="B1718" t="s">
        <v>2042</v>
      </c>
      <c r="C1718">
        <v>42.89</v>
      </c>
      <c r="D1718">
        <v>15.53</v>
      </c>
      <c r="E1718">
        <v>12.43</v>
      </c>
      <c r="F1718">
        <v>3.05</v>
      </c>
      <c r="G1718">
        <v>3.04</v>
      </c>
      <c r="H1718">
        <v>51532</v>
      </c>
      <c r="I1718">
        <v>3.55</v>
      </c>
      <c r="J1718" t="s">
        <v>14</v>
      </c>
      <c r="K1718" t="s">
        <v>117</v>
      </c>
    </row>
    <row r="1719" spans="1:11">
      <c r="A1719" t="str">
        <f>"300246"</f>
        <v>300246</v>
      </c>
      <c r="B1719" t="s">
        <v>2043</v>
      </c>
      <c r="C1719">
        <v>29.01</v>
      </c>
      <c r="D1719">
        <v>25.28</v>
      </c>
      <c r="E1719">
        <v>12.12</v>
      </c>
      <c r="F1719">
        <v>2.65</v>
      </c>
      <c r="G1719">
        <v>2.11</v>
      </c>
      <c r="H1719">
        <v>21178</v>
      </c>
      <c r="I1719">
        <v>3.14</v>
      </c>
      <c r="J1719" t="s">
        <v>14</v>
      </c>
      <c r="K1719" t="s">
        <v>1836</v>
      </c>
    </row>
    <row r="1720" spans="1:11">
      <c r="A1720" t="str">
        <f>"300247"</f>
        <v>300247</v>
      </c>
      <c r="B1720" t="s">
        <v>2044</v>
      </c>
      <c r="C1720">
        <v>44.18</v>
      </c>
      <c r="D1720">
        <v>14.84</v>
      </c>
      <c r="E1720">
        <v>11.3</v>
      </c>
      <c r="F1720">
        <v>8.04</v>
      </c>
      <c r="G1720">
        <v>8.03</v>
      </c>
      <c r="H1720">
        <v>32010</v>
      </c>
      <c r="I1720">
        <v>3.91</v>
      </c>
      <c r="J1720">
        <v>49.85</v>
      </c>
      <c r="K1720" t="s">
        <v>1399</v>
      </c>
    </row>
    <row r="1721" spans="1:11">
      <c r="A1721" t="str">
        <f>"300248"</f>
        <v>300248</v>
      </c>
      <c r="B1721" t="s">
        <v>2045</v>
      </c>
      <c r="C1721">
        <v>65.05</v>
      </c>
      <c r="D1721">
        <v>28.2</v>
      </c>
      <c r="E1721">
        <v>21.22</v>
      </c>
      <c r="F1721">
        <v>4.76</v>
      </c>
      <c r="G1721">
        <v>4.09</v>
      </c>
      <c r="H1721">
        <v>41038</v>
      </c>
      <c r="I1721">
        <v>3.57</v>
      </c>
      <c r="J1721" t="s">
        <v>14</v>
      </c>
      <c r="K1721" t="s">
        <v>117</v>
      </c>
    </row>
    <row r="1722" spans="1:11">
      <c r="A1722" t="str">
        <f>"300249"</f>
        <v>300249</v>
      </c>
      <c r="B1722" t="s">
        <v>2046</v>
      </c>
      <c r="C1722">
        <v>61.12</v>
      </c>
      <c r="D1722">
        <v>18.12</v>
      </c>
      <c r="E1722">
        <v>3.34</v>
      </c>
      <c r="F1722">
        <v>4.4</v>
      </c>
      <c r="G1722">
        <v>3.74</v>
      </c>
      <c r="H1722">
        <v>62666</v>
      </c>
      <c r="I1722">
        <v>21.58</v>
      </c>
      <c r="J1722">
        <v>195.49</v>
      </c>
      <c r="K1722" t="s">
        <v>88</v>
      </c>
    </row>
    <row r="1723" spans="1:11">
      <c r="A1723" t="str">
        <f>"300250"</f>
        <v>300250</v>
      </c>
      <c r="B1723" t="s">
        <v>2047</v>
      </c>
      <c r="C1723">
        <v>44.26</v>
      </c>
      <c r="D1723">
        <v>7.4</v>
      </c>
      <c r="E1723">
        <v>5.25</v>
      </c>
      <c r="F1723">
        <v>2.14</v>
      </c>
      <c r="G1723">
        <v>1.57</v>
      </c>
      <c r="H1723">
        <v>49900</v>
      </c>
      <c r="I1723">
        <v>11.47</v>
      </c>
      <c r="J1723">
        <v>759.96</v>
      </c>
      <c r="K1723" t="s">
        <v>117</v>
      </c>
    </row>
    <row r="1724" spans="1:11">
      <c r="A1724" t="str">
        <f>"300251"</f>
        <v>300251</v>
      </c>
      <c r="B1724" t="s">
        <v>2048</v>
      </c>
      <c r="C1724">
        <v>507.06</v>
      </c>
      <c r="D1724">
        <v>123.08</v>
      </c>
      <c r="E1724">
        <v>107.48</v>
      </c>
      <c r="F1724">
        <v>29.34</v>
      </c>
      <c r="G1724">
        <v>27.75</v>
      </c>
      <c r="H1724">
        <v>205220</v>
      </c>
      <c r="I1724">
        <v>4.99</v>
      </c>
      <c r="J1724">
        <v>17.21</v>
      </c>
      <c r="K1724" t="s">
        <v>452</v>
      </c>
    </row>
    <row r="1725" spans="1:11">
      <c r="A1725" t="str">
        <f>"300252"</f>
        <v>300252</v>
      </c>
      <c r="B1725" t="s">
        <v>2049</v>
      </c>
      <c r="C1725">
        <v>88.9</v>
      </c>
      <c r="D1725">
        <v>49.71</v>
      </c>
      <c r="E1725">
        <v>21.83</v>
      </c>
      <c r="F1725">
        <v>6.62</v>
      </c>
      <c r="G1725">
        <v>5.59</v>
      </c>
      <c r="H1725">
        <v>69446</v>
      </c>
      <c r="I1725">
        <v>4.83</v>
      </c>
      <c r="J1725">
        <v>1001.34</v>
      </c>
      <c r="K1725" t="s">
        <v>223</v>
      </c>
    </row>
    <row r="1726" spans="1:11">
      <c r="A1726" t="str">
        <f>"300253"</f>
        <v>300253</v>
      </c>
      <c r="B1726" t="s">
        <v>2050</v>
      </c>
      <c r="C1726">
        <v>268.67</v>
      </c>
      <c r="D1726">
        <v>83.46</v>
      </c>
      <c r="E1726">
        <v>57.45</v>
      </c>
      <c r="F1726">
        <v>22.16</v>
      </c>
      <c r="G1726">
        <v>18.24</v>
      </c>
      <c r="H1726">
        <v>117924</v>
      </c>
      <c r="I1726">
        <v>5.78</v>
      </c>
      <c r="J1726" t="s">
        <v>14</v>
      </c>
      <c r="K1726" t="s">
        <v>117</v>
      </c>
    </row>
    <row r="1727" spans="1:11">
      <c r="A1727" t="str">
        <f>"300254"</f>
        <v>300254</v>
      </c>
      <c r="B1727" t="s">
        <v>2051</v>
      </c>
      <c r="C1727">
        <v>26.21</v>
      </c>
      <c r="D1727">
        <v>15.5</v>
      </c>
      <c r="E1727">
        <v>2.94</v>
      </c>
      <c r="F1727">
        <v>2.56</v>
      </c>
      <c r="G1727">
        <v>2.24</v>
      </c>
      <c r="H1727">
        <v>24916</v>
      </c>
      <c r="I1727">
        <v>10.17</v>
      </c>
      <c r="J1727">
        <v>100.48</v>
      </c>
      <c r="K1727" t="s">
        <v>109</v>
      </c>
    </row>
    <row r="1728" spans="1:11">
      <c r="A1728" t="str">
        <f>"300255"</f>
        <v>300255</v>
      </c>
      <c r="B1728" t="s">
        <v>2052</v>
      </c>
      <c r="C1728">
        <v>542.91</v>
      </c>
      <c r="D1728">
        <v>46.58</v>
      </c>
      <c r="E1728">
        <v>15.17</v>
      </c>
      <c r="F1728">
        <v>9.19</v>
      </c>
      <c r="G1728">
        <v>9.18</v>
      </c>
      <c r="H1728">
        <v>40276</v>
      </c>
      <c r="I1728">
        <v>35.83</v>
      </c>
      <c r="J1728" t="s">
        <v>14</v>
      </c>
      <c r="K1728" t="s">
        <v>210</v>
      </c>
    </row>
    <row r="1729" spans="1:11">
      <c r="A1729" t="str">
        <f>"300256"</f>
        <v>300256</v>
      </c>
      <c r="B1729" t="s">
        <v>2053</v>
      </c>
      <c r="C1729">
        <v>95.12</v>
      </c>
      <c r="D1729">
        <v>17.06</v>
      </c>
      <c r="E1729">
        <v>9.28</v>
      </c>
      <c r="F1729">
        <v>22.68</v>
      </c>
      <c r="G1729">
        <v>22.43</v>
      </c>
      <c r="H1729">
        <v>93847</v>
      </c>
      <c r="I1729">
        <v>10.37</v>
      </c>
      <c r="J1729" t="s">
        <v>14</v>
      </c>
      <c r="K1729" t="s">
        <v>41</v>
      </c>
    </row>
    <row r="1730" spans="1:11">
      <c r="A1730" t="str">
        <f>"300257"</f>
        <v>300257</v>
      </c>
      <c r="B1730" t="s">
        <v>2054</v>
      </c>
      <c r="C1730">
        <v>152.75</v>
      </c>
      <c r="D1730">
        <v>166.59</v>
      </c>
      <c r="E1730">
        <v>66.09</v>
      </c>
      <c r="F1730">
        <v>9.94</v>
      </c>
      <c r="G1730">
        <v>9.55</v>
      </c>
      <c r="H1730">
        <v>13534</v>
      </c>
      <c r="I1730">
        <v>2.41</v>
      </c>
      <c r="J1730">
        <v>39.21</v>
      </c>
      <c r="K1730" t="s">
        <v>744</v>
      </c>
    </row>
    <row r="1731" spans="1:11">
      <c r="A1731" t="str">
        <f>"300258"</f>
        <v>300258</v>
      </c>
      <c r="B1731" t="s">
        <v>2055</v>
      </c>
      <c r="C1731">
        <v>80.53</v>
      </c>
      <c r="D1731">
        <v>74.14</v>
      </c>
      <c r="E1731">
        <v>47.37</v>
      </c>
      <c r="F1731">
        <v>5.85</v>
      </c>
      <c r="G1731">
        <v>5.7</v>
      </c>
      <c r="H1731">
        <v>31059</v>
      </c>
      <c r="I1731">
        <v>1.75</v>
      </c>
      <c r="J1731">
        <v>67.48</v>
      </c>
      <c r="K1731" t="s">
        <v>51</v>
      </c>
    </row>
    <row r="1732" spans="1:11">
      <c r="A1732" t="str">
        <f>"300259"</f>
        <v>300259</v>
      </c>
      <c r="B1732" t="s">
        <v>2056</v>
      </c>
      <c r="C1732">
        <v>53.8</v>
      </c>
      <c r="D1732">
        <v>35.43</v>
      </c>
      <c r="E1732">
        <v>30.18</v>
      </c>
      <c r="F1732">
        <v>11.7</v>
      </c>
      <c r="G1732">
        <v>11.7</v>
      </c>
      <c r="H1732">
        <v>28075</v>
      </c>
      <c r="I1732">
        <v>1.78</v>
      </c>
      <c r="J1732">
        <v>25.3</v>
      </c>
      <c r="K1732" t="s">
        <v>952</v>
      </c>
    </row>
    <row r="1733" spans="1:11">
      <c r="A1733" t="str">
        <f>"300260"</f>
        <v>300260</v>
      </c>
      <c r="B1733" t="s">
        <v>2057</v>
      </c>
      <c r="C1733">
        <v>163.67</v>
      </c>
      <c r="D1733">
        <v>54.54</v>
      </c>
      <c r="E1733">
        <v>20.78</v>
      </c>
      <c r="F1733">
        <v>4.08</v>
      </c>
      <c r="G1733">
        <v>2.88</v>
      </c>
      <c r="H1733">
        <v>56416</v>
      </c>
      <c r="I1733">
        <v>11.16</v>
      </c>
      <c r="J1733">
        <v>119.83</v>
      </c>
      <c r="K1733" t="s">
        <v>63</v>
      </c>
    </row>
    <row r="1734" spans="1:11">
      <c r="A1734" t="str">
        <f>"300261"</f>
        <v>300261</v>
      </c>
      <c r="B1734" t="s">
        <v>2058</v>
      </c>
      <c r="C1734">
        <v>66.84</v>
      </c>
      <c r="D1734">
        <v>41.45</v>
      </c>
      <c r="E1734">
        <v>20.06</v>
      </c>
      <c r="F1734">
        <v>9.63</v>
      </c>
      <c r="G1734">
        <v>9.36</v>
      </c>
      <c r="H1734">
        <v>52305</v>
      </c>
      <c r="I1734">
        <v>3.43</v>
      </c>
      <c r="J1734" t="s">
        <v>14</v>
      </c>
      <c r="K1734" t="s">
        <v>196</v>
      </c>
    </row>
    <row r="1735" spans="1:11">
      <c r="A1735" t="str">
        <f>"300263"</f>
        <v>300263</v>
      </c>
      <c r="B1735" t="s">
        <v>2059</v>
      </c>
      <c r="C1735">
        <v>94.14</v>
      </c>
      <c r="D1735">
        <v>73.04</v>
      </c>
      <c r="E1735">
        <v>41.99</v>
      </c>
      <c r="F1735">
        <v>10.35</v>
      </c>
      <c r="G1735">
        <v>9.76</v>
      </c>
      <c r="H1735">
        <v>46976</v>
      </c>
      <c r="I1735">
        <v>2.38</v>
      </c>
      <c r="J1735">
        <v>41.51</v>
      </c>
      <c r="K1735" t="s">
        <v>744</v>
      </c>
    </row>
    <row r="1736" spans="1:11">
      <c r="A1736" t="str">
        <f>"300264"</f>
        <v>300264</v>
      </c>
      <c r="B1736" t="s">
        <v>2060</v>
      </c>
      <c r="C1736">
        <v>27.23</v>
      </c>
      <c r="D1736">
        <v>2.19</v>
      </c>
      <c r="E1736">
        <v>0.1</v>
      </c>
      <c r="F1736">
        <v>4.31</v>
      </c>
      <c r="G1736">
        <v>3.7</v>
      </c>
      <c r="H1736">
        <v>28398</v>
      </c>
      <c r="I1736">
        <v>319.57</v>
      </c>
      <c r="J1736" t="s">
        <v>14</v>
      </c>
      <c r="K1736" t="s">
        <v>117</v>
      </c>
    </row>
    <row r="1737" spans="1:11">
      <c r="A1737" t="str">
        <f>"300265"</f>
        <v>300265</v>
      </c>
      <c r="B1737" t="s">
        <v>2061</v>
      </c>
      <c r="C1737">
        <v>67.57</v>
      </c>
      <c r="D1737">
        <v>35.53</v>
      </c>
      <c r="E1737">
        <v>22.72</v>
      </c>
      <c r="F1737">
        <v>4.68</v>
      </c>
      <c r="G1737">
        <v>4.67</v>
      </c>
      <c r="H1737">
        <v>33721</v>
      </c>
      <c r="I1737">
        <v>2.93</v>
      </c>
      <c r="J1737">
        <v>157.82</v>
      </c>
      <c r="K1737" t="s">
        <v>383</v>
      </c>
    </row>
    <row r="1738" spans="1:11">
      <c r="A1738" t="str">
        <f>"300266"</f>
        <v>300266</v>
      </c>
      <c r="B1738" t="s">
        <v>2062</v>
      </c>
      <c r="C1738">
        <v>41.46</v>
      </c>
      <c r="D1738">
        <v>94.72</v>
      </c>
      <c r="E1738">
        <v>0.34</v>
      </c>
      <c r="F1738">
        <v>15.54</v>
      </c>
      <c r="G1738">
        <v>15.53</v>
      </c>
      <c r="H1738">
        <v>29000</v>
      </c>
      <c r="I1738">
        <v>121.36</v>
      </c>
      <c r="J1738" t="s">
        <v>14</v>
      </c>
      <c r="K1738" t="s">
        <v>90</v>
      </c>
    </row>
    <row r="1739" spans="1:11">
      <c r="A1739" t="str">
        <f>"300267"</f>
        <v>300267</v>
      </c>
      <c r="B1739" t="s">
        <v>2063</v>
      </c>
      <c r="C1739">
        <v>61.02</v>
      </c>
      <c r="D1739">
        <v>52.03</v>
      </c>
      <c r="E1739">
        <v>44.7</v>
      </c>
      <c r="F1739">
        <v>20.63</v>
      </c>
      <c r="G1739">
        <v>14.22</v>
      </c>
      <c r="H1739">
        <v>49105</v>
      </c>
      <c r="I1739">
        <v>1.98</v>
      </c>
      <c r="J1739">
        <v>167.69</v>
      </c>
      <c r="K1739" t="s">
        <v>404</v>
      </c>
    </row>
    <row r="1740" spans="1:11">
      <c r="A1740" t="str">
        <f>"300268"</f>
        <v>300268</v>
      </c>
      <c r="B1740" t="s">
        <v>2064</v>
      </c>
      <c r="C1740">
        <v>17.3</v>
      </c>
      <c r="D1740">
        <v>5.44</v>
      </c>
      <c r="E1740">
        <v>2.8</v>
      </c>
      <c r="F1740">
        <v>1.74</v>
      </c>
      <c r="G1740">
        <v>1.34</v>
      </c>
      <c r="H1740">
        <v>4637</v>
      </c>
      <c r="I1740">
        <v>-2.21</v>
      </c>
      <c r="J1740" t="s">
        <v>14</v>
      </c>
      <c r="K1740" t="s">
        <v>560</v>
      </c>
    </row>
    <row r="1741" spans="1:11">
      <c r="A1741" t="str">
        <f>"300269"</f>
        <v>300269</v>
      </c>
      <c r="B1741" t="s">
        <v>2065</v>
      </c>
      <c r="C1741">
        <v>44.63</v>
      </c>
      <c r="D1741">
        <v>7.16</v>
      </c>
      <c r="E1741">
        <v>1.05</v>
      </c>
      <c r="F1741">
        <v>5.49</v>
      </c>
      <c r="G1741">
        <v>5.26</v>
      </c>
      <c r="H1741">
        <v>40572</v>
      </c>
      <c r="I1741">
        <v>43.32</v>
      </c>
      <c r="J1741">
        <v>191.75</v>
      </c>
      <c r="K1741" t="s">
        <v>216</v>
      </c>
    </row>
    <row r="1742" spans="1:11">
      <c r="A1742" t="str">
        <f>"300270"</f>
        <v>300270</v>
      </c>
      <c r="B1742" t="s">
        <v>2066</v>
      </c>
      <c r="C1742">
        <v>32.88</v>
      </c>
      <c r="D1742">
        <v>7.86</v>
      </c>
      <c r="E1742">
        <v>5.64</v>
      </c>
      <c r="F1742">
        <v>3.03</v>
      </c>
      <c r="G1742">
        <v>2.61</v>
      </c>
      <c r="H1742">
        <v>28651</v>
      </c>
      <c r="I1742">
        <v>6.77</v>
      </c>
      <c r="J1742" t="s">
        <v>14</v>
      </c>
      <c r="K1742" t="s">
        <v>1022</v>
      </c>
    </row>
    <row r="1743" spans="1:11">
      <c r="A1743" t="str">
        <f>"300271"</f>
        <v>300271</v>
      </c>
      <c r="B1743" t="s">
        <v>2067</v>
      </c>
      <c r="C1743">
        <v>69.2</v>
      </c>
      <c r="D1743">
        <v>46.1</v>
      </c>
      <c r="E1743">
        <v>36.53</v>
      </c>
      <c r="F1743">
        <v>8.12</v>
      </c>
      <c r="G1743">
        <v>7.97</v>
      </c>
      <c r="H1743">
        <v>43860</v>
      </c>
      <c r="I1743">
        <v>1.93</v>
      </c>
      <c r="J1743" t="s">
        <v>14</v>
      </c>
      <c r="K1743" t="s">
        <v>117</v>
      </c>
    </row>
    <row r="1744" spans="1:11">
      <c r="A1744" t="str">
        <f>"300272"</f>
        <v>300272</v>
      </c>
      <c r="B1744" t="s">
        <v>2068</v>
      </c>
      <c r="C1744">
        <v>38.16</v>
      </c>
      <c r="D1744">
        <v>32.19</v>
      </c>
      <c r="E1744">
        <v>14.37</v>
      </c>
      <c r="F1744">
        <v>6.11</v>
      </c>
      <c r="G1744">
        <v>4.65</v>
      </c>
      <c r="H1744">
        <v>28453</v>
      </c>
      <c r="I1744">
        <v>3.49</v>
      </c>
      <c r="J1744">
        <v>39.44</v>
      </c>
      <c r="K1744" t="s">
        <v>660</v>
      </c>
    </row>
    <row r="1745" spans="1:11">
      <c r="A1745" t="str">
        <f>"300274"</f>
        <v>300274</v>
      </c>
      <c r="B1745" t="s">
        <v>2069</v>
      </c>
      <c r="C1745">
        <v>2633.67</v>
      </c>
      <c r="D1745">
        <v>1206.75</v>
      </c>
      <c r="E1745">
        <v>449.65</v>
      </c>
      <c r="F1745">
        <v>20.73</v>
      </c>
      <c r="G1745">
        <v>15.9</v>
      </c>
      <c r="H1745">
        <v>235549</v>
      </c>
      <c r="I1745">
        <v>7.64</v>
      </c>
      <c r="J1745">
        <v>21.68</v>
      </c>
      <c r="K1745" t="s">
        <v>2070</v>
      </c>
    </row>
    <row r="1746" spans="1:11">
      <c r="A1746" t="str">
        <f>"300275"</f>
        <v>300275</v>
      </c>
      <c r="B1746" t="s">
        <v>2071</v>
      </c>
      <c r="C1746">
        <v>35.67</v>
      </c>
      <c r="D1746">
        <v>13.33</v>
      </c>
      <c r="E1746">
        <v>9.42</v>
      </c>
      <c r="F1746">
        <v>3.08</v>
      </c>
      <c r="G1746">
        <v>2.53</v>
      </c>
      <c r="H1746">
        <v>24255</v>
      </c>
      <c r="I1746">
        <v>4.6</v>
      </c>
      <c r="J1746">
        <v>82.2</v>
      </c>
      <c r="K1746" t="s">
        <v>491</v>
      </c>
    </row>
    <row r="1747" spans="1:11">
      <c r="A1747" t="str">
        <f>"300276"</f>
        <v>300276</v>
      </c>
      <c r="B1747" t="s">
        <v>2072</v>
      </c>
      <c r="C1747">
        <v>102.22</v>
      </c>
      <c r="D1747">
        <v>43.02</v>
      </c>
      <c r="E1747">
        <v>19.83</v>
      </c>
      <c r="F1747">
        <v>14.01</v>
      </c>
      <c r="G1747">
        <v>10.57</v>
      </c>
      <c r="H1747">
        <v>125143</v>
      </c>
      <c r="I1747">
        <v>6.83</v>
      </c>
      <c r="J1747">
        <v>268.14</v>
      </c>
      <c r="K1747" t="s">
        <v>493</v>
      </c>
    </row>
    <row r="1748" spans="1:11">
      <c r="A1748" t="str">
        <f>"300277"</f>
        <v>300277</v>
      </c>
      <c r="B1748" t="s">
        <v>2073</v>
      </c>
      <c r="C1748">
        <v>48.3</v>
      </c>
      <c r="D1748">
        <v>7.02</v>
      </c>
      <c r="E1748">
        <v>4.89</v>
      </c>
      <c r="F1748">
        <v>3.42</v>
      </c>
      <c r="G1748">
        <v>3.41</v>
      </c>
      <c r="H1748">
        <v>31557</v>
      </c>
      <c r="I1748">
        <v>9.88</v>
      </c>
      <c r="J1748">
        <v>923.07</v>
      </c>
      <c r="K1748" t="s">
        <v>744</v>
      </c>
    </row>
    <row r="1749" spans="1:11">
      <c r="A1749" t="str">
        <f>"300278"</f>
        <v>300278</v>
      </c>
      <c r="B1749" t="s">
        <v>2074</v>
      </c>
      <c r="C1749">
        <v>89.13</v>
      </c>
      <c r="D1749">
        <v>37.7</v>
      </c>
      <c r="E1749">
        <v>17.74</v>
      </c>
      <c r="F1749">
        <v>14.22</v>
      </c>
      <c r="G1749">
        <v>14.17</v>
      </c>
      <c r="H1749">
        <v>54213</v>
      </c>
      <c r="I1749">
        <v>5.04</v>
      </c>
      <c r="J1749">
        <v>562.83</v>
      </c>
      <c r="K1749" t="s">
        <v>663</v>
      </c>
    </row>
    <row r="1750" spans="1:11">
      <c r="A1750" t="str">
        <f>"300279"</f>
        <v>300279</v>
      </c>
      <c r="B1750" t="s">
        <v>2075</v>
      </c>
      <c r="C1750">
        <v>36.86</v>
      </c>
      <c r="D1750">
        <v>19.33</v>
      </c>
      <c r="E1750">
        <v>10.36</v>
      </c>
      <c r="F1750">
        <v>4.89</v>
      </c>
      <c r="G1750">
        <v>4.87</v>
      </c>
      <c r="H1750">
        <v>28280</v>
      </c>
      <c r="I1750">
        <v>3.57</v>
      </c>
      <c r="J1750">
        <v>42.4</v>
      </c>
      <c r="K1750" t="s">
        <v>41</v>
      </c>
    </row>
    <row r="1751" spans="1:11">
      <c r="A1751" t="str">
        <f>"300281"</f>
        <v>300281</v>
      </c>
      <c r="B1751" t="s">
        <v>2076</v>
      </c>
      <c r="C1751">
        <v>33.38</v>
      </c>
      <c r="D1751">
        <v>14.85</v>
      </c>
      <c r="E1751">
        <v>12.63</v>
      </c>
      <c r="F1751">
        <v>4.19</v>
      </c>
      <c r="G1751">
        <v>3.97</v>
      </c>
      <c r="H1751">
        <v>22184</v>
      </c>
      <c r="I1751">
        <v>2.79</v>
      </c>
      <c r="J1751">
        <v>294.88</v>
      </c>
      <c r="K1751" t="s">
        <v>493</v>
      </c>
    </row>
    <row r="1752" spans="1:11">
      <c r="A1752" t="str">
        <f>"300283"</f>
        <v>300283</v>
      </c>
      <c r="B1752" t="s">
        <v>2077</v>
      </c>
      <c r="C1752">
        <v>30</v>
      </c>
      <c r="D1752">
        <v>35.61</v>
      </c>
      <c r="E1752">
        <v>11.45</v>
      </c>
      <c r="F1752">
        <v>4.97</v>
      </c>
      <c r="G1752">
        <v>3.67</v>
      </c>
      <c r="H1752">
        <v>26649</v>
      </c>
      <c r="I1752">
        <v>3.54</v>
      </c>
      <c r="J1752">
        <v>258.32</v>
      </c>
      <c r="K1752" t="s">
        <v>943</v>
      </c>
    </row>
    <row r="1753" spans="1:11">
      <c r="A1753" t="str">
        <f>"300284"</f>
        <v>300284</v>
      </c>
      <c r="B1753" t="s">
        <v>2078</v>
      </c>
      <c r="C1753">
        <v>101.3</v>
      </c>
      <c r="D1753">
        <v>155.44</v>
      </c>
      <c r="E1753">
        <v>84.23</v>
      </c>
      <c r="F1753">
        <v>12.63</v>
      </c>
      <c r="G1753">
        <v>11.97</v>
      </c>
      <c r="H1753">
        <v>55693</v>
      </c>
      <c r="I1753">
        <v>1.27</v>
      </c>
      <c r="J1753">
        <v>101.38</v>
      </c>
      <c r="K1753" t="s">
        <v>428</v>
      </c>
    </row>
    <row r="1754" spans="1:11">
      <c r="A1754" t="str">
        <f>"300285"</f>
        <v>300285</v>
      </c>
      <c r="B1754" t="s">
        <v>2079</v>
      </c>
      <c r="C1754">
        <v>265.86</v>
      </c>
      <c r="D1754">
        <v>95.97</v>
      </c>
      <c r="E1754">
        <v>70.08</v>
      </c>
      <c r="F1754">
        <v>9.97</v>
      </c>
      <c r="G1754">
        <v>8.41</v>
      </c>
      <c r="H1754">
        <v>45638</v>
      </c>
      <c r="I1754">
        <v>4.5</v>
      </c>
      <c r="J1754">
        <v>48.28</v>
      </c>
      <c r="K1754" t="s">
        <v>511</v>
      </c>
    </row>
    <row r="1755" spans="1:11">
      <c r="A1755" t="str">
        <f>"300286"</f>
        <v>300286</v>
      </c>
      <c r="B1755" t="s">
        <v>2080</v>
      </c>
      <c r="C1755">
        <v>55.41</v>
      </c>
      <c r="D1755">
        <v>26.44</v>
      </c>
      <c r="E1755">
        <v>22.36</v>
      </c>
      <c r="F1755">
        <v>2.51</v>
      </c>
      <c r="G1755">
        <v>2.12</v>
      </c>
      <c r="H1755">
        <v>15138</v>
      </c>
      <c r="I1755">
        <v>2.93</v>
      </c>
      <c r="J1755">
        <v>25.6</v>
      </c>
      <c r="K1755" t="s">
        <v>888</v>
      </c>
    </row>
    <row r="1756" spans="1:11">
      <c r="A1756" t="str">
        <f>"300287"</f>
        <v>300287</v>
      </c>
      <c r="B1756" t="s">
        <v>2081</v>
      </c>
      <c r="C1756">
        <v>74.61</v>
      </c>
      <c r="D1756">
        <v>21.18</v>
      </c>
      <c r="E1756">
        <v>10.75</v>
      </c>
      <c r="F1756">
        <v>14.35</v>
      </c>
      <c r="G1756">
        <v>13.18</v>
      </c>
      <c r="H1756">
        <v>115478</v>
      </c>
      <c r="I1756">
        <v>7.56</v>
      </c>
      <c r="J1756" t="s">
        <v>14</v>
      </c>
      <c r="K1756" t="s">
        <v>117</v>
      </c>
    </row>
    <row r="1757" spans="1:11">
      <c r="A1757" t="str">
        <f>"300288"</f>
        <v>300288</v>
      </c>
      <c r="B1757" t="s">
        <v>2082</v>
      </c>
      <c r="C1757">
        <v>41.33</v>
      </c>
      <c r="D1757">
        <v>13.3</v>
      </c>
      <c r="E1757">
        <v>10.88</v>
      </c>
      <c r="F1757">
        <v>3.38</v>
      </c>
      <c r="G1757">
        <v>2.57</v>
      </c>
      <c r="H1757">
        <v>36619</v>
      </c>
      <c r="I1757">
        <v>5</v>
      </c>
      <c r="J1757">
        <v>302.3</v>
      </c>
      <c r="K1757" t="s">
        <v>117</v>
      </c>
    </row>
    <row r="1758" spans="1:11">
      <c r="A1758" t="str">
        <f>"300289"</f>
        <v>300289</v>
      </c>
      <c r="B1758" t="s">
        <v>2083</v>
      </c>
      <c r="C1758">
        <v>41.5</v>
      </c>
      <c r="D1758">
        <v>18.09</v>
      </c>
      <c r="E1758">
        <v>16.55</v>
      </c>
      <c r="F1758">
        <v>5.44</v>
      </c>
      <c r="G1758">
        <v>5.43</v>
      </c>
      <c r="H1758">
        <v>31517</v>
      </c>
      <c r="I1758">
        <v>2.51</v>
      </c>
      <c r="J1758" t="s">
        <v>14</v>
      </c>
      <c r="K1758" t="s">
        <v>775</v>
      </c>
    </row>
    <row r="1759" spans="1:11">
      <c r="A1759" t="str">
        <f>"300290"</f>
        <v>300290</v>
      </c>
      <c r="B1759" t="s">
        <v>2084</v>
      </c>
      <c r="C1759">
        <v>129.12</v>
      </c>
      <c r="D1759">
        <v>14.56</v>
      </c>
      <c r="E1759">
        <v>7.76</v>
      </c>
      <c r="F1759">
        <v>6.4</v>
      </c>
      <c r="G1759">
        <v>6.4</v>
      </c>
      <c r="H1759">
        <v>54042</v>
      </c>
      <c r="I1759">
        <v>16.64</v>
      </c>
      <c r="J1759" t="s">
        <v>14</v>
      </c>
      <c r="K1759" t="s">
        <v>117</v>
      </c>
    </row>
    <row r="1760" spans="1:11">
      <c r="A1760" t="str">
        <f>"300291"</f>
        <v>300291</v>
      </c>
      <c r="B1760" t="s">
        <v>2085</v>
      </c>
      <c r="C1760">
        <v>91.59</v>
      </c>
      <c r="D1760">
        <v>38.75</v>
      </c>
      <c r="E1760">
        <v>30.53</v>
      </c>
      <c r="F1760">
        <v>9.42</v>
      </c>
      <c r="G1760">
        <v>9.31</v>
      </c>
      <c r="H1760">
        <v>46727</v>
      </c>
      <c r="I1760">
        <v>3.04</v>
      </c>
      <c r="J1760" t="s">
        <v>14</v>
      </c>
      <c r="K1760" t="s">
        <v>452</v>
      </c>
    </row>
    <row r="1761" spans="1:11">
      <c r="A1761" t="str">
        <f>"300292"</f>
        <v>300292</v>
      </c>
      <c r="B1761" t="s">
        <v>2086</v>
      </c>
      <c r="C1761">
        <v>55.8</v>
      </c>
      <c r="D1761">
        <v>23.64</v>
      </c>
      <c r="E1761">
        <v>14.01</v>
      </c>
      <c r="F1761">
        <v>13.42</v>
      </c>
      <c r="G1761">
        <v>11.16</v>
      </c>
      <c r="H1761">
        <v>66009</v>
      </c>
      <c r="I1761">
        <v>4.79</v>
      </c>
      <c r="J1761">
        <v>54.82</v>
      </c>
      <c r="K1761" t="s">
        <v>486</v>
      </c>
    </row>
    <row r="1762" spans="1:11">
      <c r="A1762" t="str">
        <f>"300293"</f>
        <v>300293</v>
      </c>
      <c r="B1762" t="s">
        <v>2087</v>
      </c>
      <c r="C1762">
        <v>63.02</v>
      </c>
      <c r="D1762">
        <v>20.02</v>
      </c>
      <c r="E1762">
        <v>9.35</v>
      </c>
      <c r="F1762">
        <v>3.38</v>
      </c>
      <c r="G1762">
        <v>2.8</v>
      </c>
      <c r="H1762">
        <v>50640</v>
      </c>
      <c r="I1762">
        <v>8.14</v>
      </c>
      <c r="J1762" t="s">
        <v>14</v>
      </c>
      <c r="K1762" t="s">
        <v>493</v>
      </c>
    </row>
    <row r="1763" spans="1:11">
      <c r="A1763" t="str">
        <f>"300294"</f>
        <v>300294</v>
      </c>
      <c r="B1763" t="s">
        <v>2088</v>
      </c>
      <c r="C1763">
        <v>117.94</v>
      </c>
      <c r="D1763">
        <v>87.27</v>
      </c>
      <c r="E1763">
        <v>76.71</v>
      </c>
      <c r="F1763">
        <v>5.04</v>
      </c>
      <c r="G1763">
        <v>5.04</v>
      </c>
      <c r="H1763">
        <v>30763</v>
      </c>
      <c r="I1763">
        <v>1.54</v>
      </c>
      <c r="J1763">
        <v>25.79</v>
      </c>
      <c r="K1763" t="s">
        <v>132</v>
      </c>
    </row>
    <row r="1764" spans="1:11">
      <c r="A1764" t="str">
        <f>"300295"</f>
        <v>300295</v>
      </c>
      <c r="B1764" t="s">
        <v>2089</v>
      </c>
      <c r="C1764">
        <v>23.5</v>
      </c>
      <c r="D1764">
        <v>12.16</v>
      </c>
      <c r="E1764">
        <v>11.27</v>
      </c>
      <c r="F1764">
        <v>1.9</v>
      </c>
      <c r="G1764">
        <v>1.68</v>
      </c>
      <c r="H1764">
        <v>22737</v>
      </c>
      <c r="I1764">
        <v>2.36</v>
      </c>
      <c r="J1764" t="s">
        <v>14</v>
      </c>
      <c r="K1764" t="s">
        <v>339</v>
      </c>
    </row>
    <row r="1765" spans="1:11">
      <c r="A1765" t="str">
        <f>"300296"</f>
        <v>300296</v>
      </c>
      <c r="B1765" t="s">
        <v>2090</v>
      </c>
      <c r="C1765">
        <v>157.15</v>
      </c>
      <c r="D1765">
        <v>138</v>
      </c>
      <c r="E1765">
        <v>80.7</v>
      </c>
      <c r="F1765">
        <v>27.12</v>
      </c>
      <c r="G1765">
        <v>22.74</v>
      </c>
      <c r="H1765">
        <v>130250</v>
      </c>
      <c r="I1765">
        <v>2.32</v>
      </c>
      <c r="J1765">
        <v>50.41</v>
      </c>
      <c r="K1765" t="s">
        <v>216</v>
      </c>
    </row>
    <row r="1766" spans="1:11">
      <c r="A1766" t="str">
        <f>"300298"</f>
        <v>300298</v>
      </c>
      <c r="B1766" t="s">
        <v>2091</v>
      </c>
      <c r="C1766">
        <v>88.82</v>
      </c>
      <c r="D1766">
        <v>62.48</v>
      </c>
      <c r="E1766">
        <v>33.19</v>
      </c>
      <c r="F1766">
        <v>5.6</v>
      </c>
      <c r="G1766">
        <v>4.51</v>
      </c>
      <c r="H1766">
        <v>24597</v>
      </c>
      <c r="I1766">
        <v>3.45</v>
      </c>
      <c r="J1766">
        <v>39.19</v>
      </c>
      <c r="K1766" t="s">
        <v>1005</v>
      </c>
    </row>
    <row r="1767" spans="1:11">
      <c r="A1767" t="str">
        <f>"300299"</f>
        <v>300299</v>
      </c>
      <c r="B1767" t="s">
        <v>2092</v>
      </c>
      <c r="C1767">
        <v>58.45</v>
      </c>
      <c r="D1767">
        <v>9.59</v>
      </c>
      <c r="E1767">
        <v>4.3</v>
      </c>
      <c r="F1767">
        <v>6.9</v>
      </c>
      <c r="G1767">
        <v>6.89</v>
      </c>
      <c r="H1767">
        <v>47685</v>
      </c>
      <c r="I1767">
        <v>13.61</v>
      </c>
      <c r="J1767" t="s">
        <v>14</v>
      </c>
      <c r="K1767" t="s">
        <v>950</v>
      </c>
    </row>
    <row r="1768" spans="1:11">
      <c r="A1768" t="str">
        <f>"300300"</f>
        <v>300300</v>
      </c>
      <c r="B1768" t="s">
        <v>2093</v>
      </c>
      <c r="C1768">
        <v>96.15</v>
      </c>
      <c r="D1768">
        <v>9.79</v>
      </c>
      <c r="E1768">
        <v>1.42</v>
      </c>
      <c r="F1768">
        <v>6.67</v>
      </c>
      <c r="G1768">
        <v>6.67</v>
      </c>
      <c r="H1768">
        <v>28084</v>
      </c>
      <c r="I1768">
        <v>67.7</v>
      </c>
      <c r="J1768" t="s">
        <v>14</v>
      </c>
      <c r="K1768" t="s">
        <v>117</v>
      </c>
    </row>
    <row r="1769" spans="1:11">
      <c r="A1769" t="str">
        <f>"300301"</f>
        <v>300301</v>
      </c>
      <c r="B1769" t="s">
        <v>2094</v>
      </c>
      <c r="C1769">
        <v>18.48</v>
      </c>
      <c r="D1769">
        <v>8.74</v>
      </c>
      <c r="E1769">
        <v>1.65</v>
      </c>
      <c r="F1769">
        <v>8.3</v>
      </c>
      <c r="G1769">
        <v>7.9</v>
      </c>
      <c r="H1769">
        <v>17632</v>
      </c>
      <c r="I1769">
        <v>11.82</v>
      </c>
      <c r="J1769" t="s">
        <v>14</v>
      </c>
      <c r="K1769" t="s">
        <v>216</v>
      </c>
    </row>
    <row r="1770" spans="1:11">
      <c r="A1770" t="str">
        <f>"300302"</f>
        <v>300302</v>
      </c>
      <c r="B1770" t="s">
        <v>2095</v>
      </c>
      <c r="C1770">
        <v>73.36</v>
      </c>
      <c r="D1770">
        <v>17.47</v>
      </c>
      <c r="E1770">
        <v>10.73</v>
      </c>
      <c r="F1770">
        <v>4.79</v>
      </c>
      <c r="G1770">
        <v>3.69</v>
      </c>
      <c r="H1770">
        <v>47095</v>
      </c>
      <c r="I1770">
        <v>8.88</v>
      </c>
      <c r="J1770">
        <v>769.77</v>
      </c>
      <c r="K1770" t="s">
        <v>88</v>
      </c>
    </row>
    <row r="1771" spans="1:11">
      <c r="A1771" t="str">
        <f>"300303"</f>
        <v>300303</v>
      </c>
      <c r="B1771" t="s">
        <v>2096</v>
      </c>
      <c r="C1771">
        <v>93.71</v>
      </c>
      <c r="D1771">
        <v>62.96</v>
      </c>
      <c r="E1771">
        <v>37.49</v>
      </c>
      <c r="F1771">
        <v>14.17</v>
      </c>
      <c r="G1771">
        <v>13.29</v>
      </c>
      <c r="H1771">
        <v>88295</v>
      </c>
      <c r="I1771">
        <v>2.66</v>
      </c>
      <c r="J1771">
        <v>35.51</v>
      </c>
      <c r="K1771" t="s">
        <v>216</v>
      </c>
    </row>
    <row r="1772" spans="1:11">
      <c r="A1772" t="str">
        <f>"300304"</f>
        <v>300304</v>
      </c>
      <c r="B1772" t="s">
        <v>2097</v>
      </c>
      <c r="C1772">
        <v>98.3</v>
      </c>
      <c r="D1772">
        <v>45.66</v>
      </c>
      <c r="E1772">
        <v>33.54</v>
      </c>
      <c r="F1772">
        <v>8.78</v>
      </c>
      <c r="G1772">
        <v>8.56</v>
      </c>
      <c r="H1772">
        <v>35839</v>
      </c>
      <c r="I1772">
        <v>3.01</v>
      </c>
      <c r="J1772">
        <v>22.85</v>
      </c>
      <c r="K1772" t="s">
        <v>530</v>
      </c>
    </row>
    <row r="1773" spans="1:11">
      <c r="A1773" t="str">
        <f>"300305"</f>
        <v>300305</v>
      </c>
      <c r="B1773" t="s">
        <v>2098</v>
      </c>
      <c r="C1773">
        <v>19.9</v>
      </c>
      <c r="D1773">
        <v>34.59</v>
      </c>
      <c r="E1773">
        <v>21.22</v>
      </c>
      <c r="F1773">
        <v>3.75</v>
      </c>
      <c r="G1773">
        <v>3.21</v>
      </c>
      <c r="H1773">
        <v>12874</v>
      </c>
      <c r="I1773">
        <v>1.13</v>
      </c>
      <c r="J1773" t="s">
        <v>14</v>
      </c>
      <c r="K1773" t="s">
        <v>496</v>
      </c>
    </row>
    <row r="1774" spans="1:11">
      <c r="A1774" t="str">
        <f>"300306"</f>
        <v>300306</v>
      </c>
      <c r="B1774" t="s">
        <v>2099</v>
      </c>
      <c r="C1774">
        <v>23.77</v>
      </c>
      <c r="D1774">
        <v>15.89</v>
      </c>
      <c r="E1774">
        <v>14.67</v>
      </c>
      <c r="F1774">
        <v>2.69</v>
      </c>
      <c r="G1774">
        <v>1.58</v>
      </c>
      <c r="H1774">
        <v>14451</v>
      </c>
      <c r="I1774">
        <v>2.76</v>
      </c>
      <c r="J1774">
        <v>61.72</v>
      </c>
      <c r="K1774" t="s">
        <v>952</v>
      </c>
    </row>
    <row r="1775" spans="1:11">
      <c r="A1775" t="str">
        <f>"300307"</f>
        <v>300307</v>
      </c>
      <c r="B1775" t="s">
        <v>2100</v>
      </c>
      <c r="C1775">
        <v>61.66</v>
      </c>
      <c r="D1775">
        <v>44.58</v>
      </c>
      <c r="E1775">
        <v>32.55</v>
      </c>
      <c r="F1775">
        <v>8.01</v>
      </c>
      <c r="G1775">
        <v>7.89</v>
      </c>
      <c r="H1775">
        <v>49710</v>
      </c>
      <c r="I1775">
        <v>1.91</v>
      </c>
      <c r="J1775">
        <v>38.6</v>
      </c>
      <c r="K1775" t="s">
        <v>758</v>
      </c>
    </row>
    <row r="1776" spans="1:11">
      <c r="A1776" t="str">
        <f>"300308"</f>
        <v>300308</v>
      </c>
      <c r="B1776" t="s">
        <v>2101</v>
      </c>
      <c r="C1776">
        <v>6555.62</v>
      </c>
      <c r="D1776">
        <v>397.26</v>
      </c>
      <c r="E1776">
        <v>263.89</v>
      </c>
      <c r="F1776">
        <v>11.11</v>
      </c>
      <c r="G1776">
        <v>11.06</v>
      </c>
      <c r="H1776">
        <v>132336</v>
      </c>
      <c r="I1776">
        <v>24.97</v>
      </c>
      <c r="J1776">
        <v>69.29</v>
      </c>
      <c r="K1776" t="s">
        <v>972</v>
      </c>
    </row>
    <row r="1777" spans="1:11">
      <c r="A1777" t="str">
        <f>"300310"</f>
        <v>300310</v>
      </c>
      <c r="B1777" t="s">
        <v>2102</v>
      </c>
      <c r="C1777">
        <v>48.09</v>
      </c>
      <c r="D1777">
        <v>31.66</v>
      </c>
      <c r="E1777">
        <v>18.85</v>
      </c>
      <c r="F1777">
        <v>8.82</v>
      </c>
      <c r="G1777">
        <v>6.92</v>
      </c>
      <c r="H1777">
        <v>57315</v>
      </c>
      <c r="I1777">
        <v>3.21</v>
      </c>
      <c r="J1777">
        <v>1354.65</v>
      </c>
      <c r="K1777" t="s">
        <v>520</v>
      </c>
    </row>
    <row r="1778" spans="1:11">
      <c r="A1778" t="str">
        <f>"300311"</f>
        <v>300311</v>
      </c>
      <c r="B1778" t="s">
        <v>2103</v>
      </c>
      <c r="C1778">
        <v>26.49</v>
      </c>
      <c r="D1778">
        <v>12.15</v>
      </c>
      <c r="E1778">
        <v>5.91</v>
      </c>
      <c r="F1778">
        <v>6.74</v>
      </c>
      <c r="G1778">
        <v>5.37</v>
      </c>
      <c r="H1778">
        <v>41483</v>
      </c>
      <c r="I1778">
        <v>5.62</v>
      </c>
      <c r="J1778" t="s">
        <v>14</v>
      </c>
      <c r="K1778" t="s">
        <v>17</v>
      </c>
    </row>
    <row r="1779" spans="1:11">
      <c r="A1779" t="str">
        <f>"300313"</f>
        <v>300313</v>
      </c>
      <c r="B1779" t="s">
        <v>2104</v>
      </c>
      <c r="C1779">
        <v>19.08</v>
      </c>
      <c r="D1779">
        <v>2.78</v>
      </c>
      <c r="E1779">
        <v>0.34</v>
      </c>
      <c r="F1779">
        <v>2.4</v>
      </c>
      <c r="G1779">
        <v>1.97</v>
      </c>
      <c r="H1779">
        <v>11496</v>
      </c>
      <c r="I1779">
        <v>87.91</v>
      </c>
      <c r="J1779" t="s">
        <v>14</v>
      </c>
      <c r="K1779" t="s">
        <v>1109</v>
      </c>
    </row>
    <row r="1780" spans="1:11">
      <c r="A1780" t="str">
        <f>"300314"</f>
        <v>300314</v>
      </c>
      <c r="B1780" t="s">
        <v>2105</v>
      </c>
      <c r="C1780">
        <v>20.4</v>
      </c>
      <c r="D1780">
        <v>14.44</v>
      </c>
      <c r="E1780">
        <v>12.19</v>
      </c>
      <c r="F1780">
        <v>2.88</v>
      </c>
      <c r="G1780">
        <v>1.44</v>
      </c>
      <c r="H1780">
        <v>19100</v>
      </c>
      <c r="I1780">
        <v>3.35</v>
      </c>
      <c r="J1780">
        <v>42.21</v>
      </c>
      <c r="K1780" t="s">
        <v>1836</v>
      </c>
    </row>
    <row r="1781" spans="1:11">
      <c r="A1781" t="str">
        <f>"300315"</f>
        <v>300315</v>
      </c>
      <c r="B1781" t="s">
        <v>2106</v>
      </c>
      <c r="C1781">
        <v>183.91</v>
      </c>
      <c r="D1781">
        <v>53.61</v>
      </c>
      <c r="E1781">
        <v>49.47</v>
      </c>
      <c r="F1781">
        <v>27.08</v>
      </c>
      <c r="G1781">
        <v>25.83</v>
      </c>
      <c r="H1781">
        <v>172557</v>
      </c>
      <c r="I1781">
        <v>3.9</v>
      </c>
      <c r="J1781">
        <v>188.85</v>
      </c>
      <c r="K1781" t="s">
        <v>950</v>
      </c>
    </row>
    <row r="1782" spans="1:11">
      <c r="A1782" t="str">
        <f>"300316"</f>
        <v>300316</v>
      </c>
      <c r="B1782" t="s">
        <v>2107</v>
      </c>
      <c r="C1782">
        <v>481.29</v>
      </c>
      <c r="D1782">
        <v>283.39</v>
      </c>
      <c r="E1782">
        <v>174.49</v>
      </c>
      <c r="F1782">
        <v>13.1</v>
      </c>
      <c r="G1782">
        <v>12.32</v>
      </c>
      <c r="H1782">
        <v>86794</v>
      </c>
      <c r="I1782">
        <v>2.93</v>
      </c>
      <c r="J1782">
        <v>42.59</v>
      </c>
      <c r="K1782" t="s">
        <v>469</v>
      </c>
    </row>
    <row r="1783" spans="1:11">
      <c r="A1783" t="str">
        <f>"300317"</f>
        <v>300317</v>
      </c>
      <c r="B1783" t="s">
        <v>2108</v>
      </c>
      <c r="C1783">
        <v>33.07</v>
      </c>
      <c r="D1783">
        <v>27.83</v>
      </c>
      <c r="E1783">
        <v>15.58</v>
      </c>
      <c r="F1783">
        <v>8.3</v>
      </c>
      <c r="G1783">
        <v>8.29</v>
      </c>
      <c r="H1783">
        <v>43676</v>
      </c>
      <c r="I1783">
        <v>2.13</v>
      </c>
      <c r="J1783" t="s">
        <v>14</v>
      </c>
      <c r="K1783" t="s">
        <v>266</v>
      </c>
    </row>
    <row r="1784" spans="1:11">
      <c r="A1784" t="str">
        <f>"300318"</f>
        <v>300318</v>
      </c>
      <c r="B1784" t="s">
        <v>2109</v>
      </c>
      <c r="C1784">
        <v>54.94</v>
      </c>
      <c r="D1784">
        <v>43.26</v>
      </c>
      <c r="E1784">
        <v>13.46</v>
      </c>
      <c r="F1784">
        <v>8.17</v>
      </c>
      <c r="G1784">
        <v>7.99</v>
      </c>
      <c r="H1784">
        <v>28173</v>
      </c>
      <c r="I1784">
        <v>4.17</v>
      </c>
      <c r="J1784" t="s">
        <v>14</v>
      </c>
      <c r="K1784" t="s">
        <v>775</v>
      </c>
    </row>
    <row r="1785" spans="1:11">
      <c r="A1785" t="str">
        <f>"300319"</f>
        <v>300319</v>
      </c>
      <c r="B1785" t="s">
        <v>2110</v>
      </c>
      <c r="C1785">
        <v>102.13</v>
      </c>
      <c r="D1785">
        <v>72.97</v>
      </c>
      <c r="E1785">
        <v>47.17</v>
      </c>
      <c r="F1785">
        <v>8.88</v>
      </c>
      <c r="G1785">
        <v>8.29</v>
      </c>
      <c r="H1785">
        <v>48188</v>
      </c>
      <c r="I1785">
        <v>2.3</v>
      </c>
      <c r="J1785">
        <v>33.47</v>
      </c>
      <c r="K1785" t="s">
        <v>310</v>
      </c>
    </row>
    <row r="1786" spans="1:11">
      <c r="A1786" t="str">
        <f>"300320"</f>
        <v>300320</v>
      </c>
      <c r="B1786" t="s">
        <v>2111</v>
      </c>
      <c r="C1786">
        <v>47.12</v>
      </c>
      <c r="D1786">
        <v>37.24</v>
      </c>
      <c r="E1786">
        <v>24.67</v>
      </c>
      <c r="F1786">
        <v>6.01</v>
      </c>
      <c r="G1786">
        <v>4.86</v>
      </c>
      <c r="H1786">
        <v>23697</v>
      </c>
      <c r="I1786">
        <v>2.36</v>
      </c>
      <c r="J1786">
        <v>26.25</v>
      </c>
      <c r="K1786" t="s">
        <v>705</v>
      </c>
    </row>
    <row r="1787" spans="1:11">
      <c r="A1787" t="str">
        <f>"300321"</f>
        <v>300321</v>
      </c>
      <c r="B1787" t="s">
        <v>2112</v>
      </c>
      <c r="C1787">
        <v>35.82</v>
      </c>
      <c r="D1787">
        <v>6.78</v>
      </c>
      <c r="E1787">
        <v>6.34</v>
      </c>
      <c r="F1787">
        <v>0.89</v>
      </c>
      <c r="G1787">
        <v>0.89</v>
      </c>
      <c r="H1787">
        <v>4915</v>
      </c>
      <c r="I1787">
        <v>5.66</v>
      </c>
      <c r="J1787">
        <v>243.92</v>
      </c>
      <c r="K1787" t="s">
        <v>1187</v>
      </c>
    </row>
    <row r="1788" spans="1:11">
      <c r="A1788" t="str">
        <f>"300322"</f>
        <v>300322</v>
      </c>
      <c r="B1788" t="s">
        <v>2113</v>
      </c>
      <c r="C1788">
        <v>126.67</v>
      </c>
      <c r="D1788">
        <v>34.83</v>
      </c>
      <c r="E1788">
        <v>9.97</v>
      </c>
      <c r="F1788">
        <v>4.6</v>
      </c>
      <c r="G1788">
        <v>4.4</v>
      </c>
      <c r="H1788">
        <v>87997</v>
      </c>
      <c r="I1788">
        <v>13.27</v>
      </c>
      <c r="J1788">
        <v>195.69</v>
      </c>
      <c r="K1788" t="s">
        <v>41</v>
      </c>
    </row>
    <row r="1789" spans="1:11">
      <c r="A1789" t="str">
        <f>"300323"</f>
        <v>300323</v>
      </c>
      <c r="B1789" t="s">
        <v>2114</v>
      </c>
      <c r="C1789">
        <v>76.06</v>
      </c>
      <c r="D1789">
        <v>136.94</v>
      </c>
      <c r="E1789">
        <v>67.89</v>
      </c>
      <c r="F1789">
        <v>16.23</v>
      </c>
      <c r="G1789">
        <v>8.79</v>
      </c>
      <c r="H1789">
        <v>39867</v>
      </c>
      <c r="I1789">
        <v>2.07</v>
      </c>
      <c r="J1789" t="s">
        <v>14</v>
      </c>
      <c r="K1789" t="s">
        <v>216</v>
      </c>
    </row>
    <row r="1790" spans="1:11">
      <c r="A1790" t="str">
        <f>"300324"</f>
        <v>300324</v>
      </c>
      <c r="B1790" t="s">
        <v>2115</v>
      </c>
      <c r="C1790">
        <v>113.54</v>
      </c>
      <c r="D1790">
        <v>54.78</v>
      </c>
      <c r="E1790">
        <v>27.58</v>
      </c>
      <c r="F1790">
        <v>17.28</v>
      </c>
      <c r="G1790">
        <v>17.1</v>
      </c>
      <c r="H1790">
        <v>132499</v>
      </c>
      <c r="I1790">
        <v>4.16</v>
      </c>
      <c r="J1790" t="s">
        <v>14</v>
      </c>
      <c r="K1790" t="s">
        <v>117</v>
      </c>
    </row>
    <row r="1791" spans="1:11">
      <c r="A1791" t="str">
        <f>"300326"</f>
        <v>300326</v>
      </c>
      <c r="B1791" t="s">
        <v>2116</v>
      </c>
      <c r="C1791">
        <v>41.09</v>
      </c>
      <c r="D1791">
        <v>33.78</v>
      </c>
      <c r="E1791">
        <v>27.87</v>
      </c>
      <c r="F1791">
        <v>7.17</v>
      </c>
      <c r="G1791">
        <v>7.12</v>
      </c>
      <c r="H1791">
        <v>34020</v>
      </c>
      <c r="I1791">
        <v>1.48</v>
      </c>
      <c r="J1791">
        <v>43.55</v>
      </c>
      <c r="K1791" t="s">
        <v>1173</v>
      </c>
    </row>
    <row r="1792" spans="1:11">
      <c r="A1792" t="str">
        <f>"300327"</f>
        <v>300327</v>
      </c>
      <c r="B1792" t="s">
        <v>2117</v>
      </c>
      <c r="C1792">
        <v>99.37</v>
      </c>
      <c r="D1792">
        <v>21.88</v>
      </c>
      <c r="E1792">
        <v>17.49</v>
      </c>
      <c r="F1792">
        <v>3.41</v>
      </c>
      <c r="G1792">
        <v>3.4</v>
      </c>
      <c r="H1792">
        <v>49000</v>
      </c>
      <c r="I1792">
        <v>5.7</v>
      </c>
      <c r="J1792">
        <v>131.05</v>
      </c>
      <c r="K1792" t="s">
        <v>691</v>
      </c>
    </row>
    <row r="1793" spans="1:11">
      <c r="A1793" t="str">
        <f>"300328"</f>
        <v>300328</v>
      </c>
      <c r="B1793" t="s">
        <v>2118</v>
      </c>
      <c r="C1793">
        <v>116.55</v>
      </c>
      <c r="D1793">
        <v>29.08</v>
      </c>
      <c r="E1793">
        <v>10.95</v>
      </c>
      <c r="F1793">
        <v>6.9</v>
      </c>
      <c r="G1793">
        <v>6.86</v>
      </c>
      <c r="H1793">
        <v>57177</v>
      </c>
      <c r="I1793">
        <v>10.71</v>
      </c>
      <c r="J1793">
        <v>25641.71</v>
      </c>
      <c r="K1793" t="s">
        <v>301</v>
      </c>
    </row>
    <row r="1794" spans="1:11">
      <c r="A1794" t="str">
        <f>"300329"</f>
        <v>300329</v>
      </c>
      <c r="B1794" t="s">
        <v>2119</v>
      </c>
      <c r="C1794">
        <v>38.32</v>
      </c>
      <c r="D1794">
        <v>10.78</v>
      </c>
      <c r="E1794">
        <v>6.78</v>
      </c>
      <c r="F1794">
        <v>2.53</v>
      </c>
      <c r="G1794">
        <v>2.52</v>
      </c>
      <c r="H1794">
        <v>13049</v>
      </c>
      <c r="I1794">
        <v>5.67</v>
      </c>
      <c r="J1794" t="s">
        <v>14</v>
      </c>
      <c r="K1794" t="s">
        <v>637</v>
      </c>
    </row>
    <row r="1795" spans="1:11">
      <c r="A1795" t="str">
        <f>"300331"</f>
        <v>300331</v>
      </c>
      <c r="B1795" t="s">
        <v>2120</v>
      </c>
      <c r="C1795">
        <v>84.07</v>
      </c>
      <c r="D1795">
        <v>30.31</v>
      </c>
      <c r="E1795">
        <v>15.65</v>
      </c>
      <c r="F1795">
        <v>2.6</v>
      </c>
      <c r="G1795">
        <v>2.1</v>
      </c>
      <c r="H1795">
        <v>34507</v>
      </c>
      <c r="I1795">
        <v>6.64</v>
      </c>
      <c r="J1795">
        <v>218.27</v>
      </c>
      <c r="K1795" t="s">
        <v>66</v>
      </c>
    </row>
    <row r="1796" spans="1:11">
      <c r="A1796" t="str">
        <f>"300332"</f>
        <v>300332</v>
      </c>
      <c r="B1796" t="s">
        <v>2121</v>
      </c>
      <c r="C1796">
        <v>46.71</v>
      </c>
      <c r="D1796">
        <v>80.17</v>
      </c>
      <c r="E1796">
        <v>43.14</v>
      </c>
      <c r="F1796">
        <v>8.65</v>
      </c>
      <c r="G1796">
        <v>8.3</v>
      </c>
      <c r="H1796">
        <v>28914</v>
      </c>
      <c r="I1796">
        <v>1.14</v>
      </c>
      <c r="J1796">
        <v>38.16</v>
      </c>
      <c r="K1796" t="s">
        <v>136</v>
      </c>
    </row>
    <row r="1797" spans="1:11">
      <c r="A1797" t="str">
        <f>"300333"</f>
        <v>300333</v>
      </c>
      <c r="B1797" t="s">
        <v>2122</v>
      </c>
      <c r="C1797">
        <v>41.11</v>
      </c>
      <c r="D1797">
        <v>6.06</v>
      </c>
      <c r="E1797">
        <v>5.8</v>
      </c>
      <c r="F1797">
        <v>3.36</v>
      </c>
      <c r="G1797">
        <v>3.35</v>
      </c>
      <c r="H1797">
        <v>47120</v>
      </c>
      <c r="I1797">
        <v>7.11</v>
      </c>
      <c r="J1797" t="s">
        <v>14</v>
      </c>
      <c r="K1797" t="s">
        <v>88</v>
      </c>
    </row>
    <row r="1798" spans="1:11">
      <c r="A1798" t="str">
        <f>"300334"</f>
        <v>300334</v>
      </c>
      <c r="B1798" t="s">
        <v>2123</v>
      </c>
      <c r="C1798">
        <v>22.11</v>
      </c>
      <c r="D1798">
        <v>10.31</v>
      </c>
      <c r="E1798">
        <v>6.07</v>
      </c>
      <c r="F1798">
        <v>3.02</v>
      </c>
      <c r="G1798">
        <v>3.02</v>
      </c>
      <c r="H1798">
        <v>16695</v>
      </c>
      <c r="I1798">
        <v>3.64</v>
      </c>
      <c r="J1798">
        <v>1236.64</v>
      </c>
      <c r="K1798" t="s">
        <v>228</v>
      </c>
    </row>
    <row r="1799" spans="1:11">
      <c r="A1799" t="str">
        <f>"300335"</f>
        <v>300335</v>
      </c>
      <c r="B1799" t="s">
        <v>2124</v>
      </c>
      <c r="C1799">
        <v>23.2</v>
      </c>
      <c r="D1799">
        <v>28.75</v>
      </c>
      <c r="E1799">
        <v>19.39</v>
      </c>
      <c r="F1799">
        <v>4.77</v>
      </c>
      <c r="G1799">
        <v>3.84</v>
      </c>
      <c r="H1799">
        <v>26511</v>
      </c>
      <c r="I1799">
        <v>1.49</v>
      </c>
      <c r="J1799">
        <v>32.42</v>
      </c>
      <c r="K1799" t="s">
        <v>350</v>
      </c>
    </row>
    <row r="1800" spans="1:11">
      <c r="A1800" t="str">
        <f>"300337"</f>
        <v>300337</v>
      </c>
      <c r="B1800" t="s">
        <v>2125</v>
      </c>
      <c r="C1800">
        <v>122.86</v>
      </c>
      <c r="D1800">
        <v>65.34</v>
      </c>
      <c r="E1800">
        <v>17.53</v>
      </c>
      <c r="F1800">
        <v>8.22</v>
      </c>
      <c r="G1800">
        <v>7.11</v>
      </c>
      <c r="H1800">
        <v>65945</v>
      </c>
      <c r="I1800">
        <v>8.22</v>
      </c>
      <c r="J1800">
        <v>166.49</v>
      </c>
      <c r="K1800" t="s">
        <v>288</v>
      </c>
    </row>
    <row r="1801" spans="1:11">
      <c r="A1801" t="str">
        <f>"300338"</f>
        <v>300338</v>
      </c>
      <c r="B1801" t="s">
        <v>2126</v>
      </c>
      <c r="C1801">
        <v>12.68</v>
      </c>
      <c r="D1801">
        <v>4.48</v>
      </c>
      <c r="E1801">
        <v>-0.39</v>
      </c>
      <c r="F1801">
        <v>4.03</v>
      </c>
      <c r="G1801">
        <v>3.49</v>
      </c>
      <c r="H1801">
        <v>10217</v>
      </c>
      <c r="I1801">
        <v>-37.81</v>
      </c>
      <c r="J1801" t="s">
        <v>14</v>
      </c>
      <c r="K1801" t="s">
        <v>198</v>
      </c>
    </row>
    <row r="1802" spans="1:11">
      <c r="A1802" t="str">
        <f>"300339"</f>
        <v>300339</v>
      </c>
      <c r="B1802" t="s">
        <v>2127</v>
      </c>
      <c r="C1802">
        <v>458.84</v>
      </c>
      <c r="D1802">
        <v>59.36</v>
      </c>
      <c r="E1802">
        <v>36.02</v>
      </c>
      <c r="F1802">
        <v>7.96</v>
      </c>
      <c r="G1802">
        <v>7.78</v>
      </c>
      <c r="H1802">
        <v>233464</v>
      </c>
      <c r="I1802">
        <v>13.05</v>
      </c>
      <c r="J1802">
        <v>448.52</v>
      </c>
      <c r="K1802" t="s">
        <v>117</v>
      </c>
    </row>
    <row r="1803" spans="1:11">
      <c r="A1803" t="str">
        <f>"300340"</f>
        <v>300340</v>
      </c>
      <c r="B1803" t="s">
        <v>2128</v>
      </c>
      <c r="C1803">
        <v>34.54</v>
      </c>
      <c r="D1803">
        <v>24.86</v>
      </c>
      <c r="E1803">
        <v>-0.84</v>
      </c>
      <c r="F1803">
        <v>2.76</v>
      </c>
      <c r="G1803">
        <v>2.73</v>
      </c>
      <c r="H1803">
        <v>38851</v>
      </c>
      <c r="I1803">
        <v>-41.41</v>
      </c>
      <c r="J1803" t="s">
        <v>14</v>
      </c>
      <c r="K1803" t="s">
        <v>24</v>
      </c>
    </row>
    <row r="1804" spans="1:11">
      <c r="A1804" t="str">
        <f>"300341"</f>
        <v>300341</v>
      </c>
      <c r="B1804" t="s">
        <v>2129</v>
      </c>
      <c r="C1804">
        <v>96.53</v>
      </c>
      <c r="D1804">
        <v>27.24</v>
      </c>
      <c r="E1804">
        <v>19.24</v>
      </c>
      <c r="F1804">
        <v>5.17</v>
      </c>
      <c r="G1804">
        <v>5.15</v>
      </c>
      <c r="H1804">
        <v>37268</v>
      </c>
      <c r="I1804">
        <v>5.04</v>
      </c>
      <c r="J1804">
        <v>50.43</v>
      </c>
      <c r="K1804" t="s">
        <v>208</v>
      </c>
    </row>
    <row r="1805" spans="1:11">
      <c r="A1805" t="str">
        <f>"300342"</f>
        <v>300342</v>
      </c>
      <c r="B1805" t="s">
        <v>2130</v>
      </c>
      <c r="C1805">
        <v>233.27</v>
      </c>
      <c r="D1805">
        <v>20.95</v>
      </c>
      <c r="E1805">
        <v>15.68</v>
      </c>
      <c r="F1805">
        <v>4.25</v>
      </c>
      <c r="G1805">
        <v>4.19</v>
      </c>
      <c r="H1805">
        <v>43086</v>
      </c>
      <c r="I1805">
        <v>15.1</v>
      </c>
      <c r="J1805">
        <v>731.6</v>
      </c>
      <c r="K1805" t="s">
        <v>134</v>
      </c>
    </row>
    <row r="1806" spans="1:11">
      <c r="A1806" t="str">
        <f>"300343"</f>
        <v>300343</v>
      </c>
      <c r="B1806" t="s">
        <v>2131</v>
      </c>
      <c r="C1806">
        <v>63.55</v>
      </c>
      <c r="D1806">
        <v>25.39</v>
      </c>
      <c r="E1806">
        <v>19.26</v>
      </c>
      <c r="F1806">
        <v>10.69</v>
      </c>
      <c r="G1806">
        <v>10.66</v>
      </c>
      <c r="H1806">
        <v>59429</v>
      </c>
      <c r="I1806">
        <v>3.31</v>
      </c>
      <c r="J1806">
        <v>290.22</v>
      </c>
      <c r="K1806" t="s">
        <v>1115</v>
      </c>
    </row>
    <row r="1807" spans="1:11">
      <c r="A1807" t="str">
        <f>"300344"</f>
        <v>300344</v>
      </c>
      <c r="B1807" t="s">
        <v>2132</v>
      </c>
      <c r="C1807">
        <v>5.89</v>
      </c>
      <c r="D1807">
        <v>3.94</v>
      </c>
      <c r="E1807">
        <v>2.26</v>
      </c>
      <c r="F1807">
        <v>6.42</v>
      </c>
      <c r="G1807">
        <v>6.4</v>
      </c>
      <c r="H1807">
        <v>31606</v>
      </c>
      <c r="I1807">
        <v>2.61</v>
      </c>
      <c r="J1807" t="s">
        <v>14</v>
      </c>
      <c r="K1807" t="s">
        <v>17</v>
      </c>
    </row>
    <row r="1808" spans="1:11">
      <c r="A1808" t="str">
        <f>"300345"</f>
        <v>300345</v>
      </c>
      <c r="B1808" t="s">
        <v>2133</v>
      </c>
      <c r="C1808">
        <v>30.87</v>
      </c>
      <c r="D1808">
        <v>35.36</v>
      </c>
      <c r="E1808">
        <v>5.21</v>
      </c>
      <c r="F1808">
        <v>5.8</v>
      </c>
      <c r="G1808">
        <v>4.79</v>
      </c>
      <c r="H1808">
        <v>28802</v>
      </c>
      <c r="I1808">
        <v>7.17</v>
      </c>
      <c r="J1808" t="s">
        <v>14</v>
      </c>
      <c r="K1808" t="s">
        <v>2134</v>
      </c>
    </row>
    <row r="1809" spans="1:11">
      <c r="A1809" t="str">
        <f>"300346"</f>
        <v>300346</v>
      </c>
      <c r="B1809" t="s">
        <v>2135</v>
      </c>
      <c r="C1809">
        <v>374.04</v>
      </c>
      <c r="D1809">
        <v>62.74</v>
      </c>
      <c r="E1809">
        <v>34.41</v>
      </c>
      <c r="F1809">
        <v>6.91</v>
      </c>
      <c r="G1809">
        <v>6.57</v>
      </c>
      <c r="H1809">
        <v>120549</v>
      </c>
      <c r="I1809">
        <v>11.44</v>
      </c>
      <c r="J1809">
        <v>98.18</v>
      </c>
      <c r="K1809" t="s">
        <v>884</v>
      </c>
    </row>
    <row r="1810" spans="1:11">
      <c r="A1810" t="str">
        <f>"300347"</f>
        <v>300347</v>
      </c>
      <c r="B1810" t="s">
        <v>2136</v>
      </c>
      <c r="C1810">
        <v>356.71</v>
      </c>
      <c r="D1810">
        <v>287.84</v>
      </c>
      <c r="E1810">
        <v>211.76</v>
      </c>
      <c r="F1810">
        <v>8.61</v>
      </c>
      <c r="G1810">
        <v>5.66</v>
      </c>
      <c r="H1810">
        <v>48448</v>
      </c>
      <c r="I1810">
        <v>2.56</v>
      </c>
      <c r="J1810">
        <v>39.87</v>
      </c>
      <c r="K1810" t="s">
        <v>1595</v>
      </c>
    </row>
    <row r="1811" spans="1:11">
      <c r="A1811" t="str">
        <f>"300348"</f>
        <v>300348</v>
      </c>
      <c r="B1811" t="s">
        <v>2137</v>
      </c>
      <c r="C1811">
        <v>115.38</v>
      </c>
      <c r="D1811">
        <v>30.77</v>
      </c>
      <c r="E1811">
        <v>21.16</v>
      </c>
      <c r="F1811">
        <v>8.11</v>
      </c>
      <c r="G1811">
        <v>7.09</v>
      </c>
      <c r="H1811">
        <v>87937</v>
      </c>
      <c r="I1811">
        <v>6.23</v>
      </c>
      <c r="J1811" t="s">
        <v>14</v>
      </c>
      <c r="K1811" t="s">
        <v>117</v>
      </c>
    </row>
    <row r="1812" spans="1:11">
      <c r="A1812" t="str">
        <f>"300349"</f>
        <v>300349</v>
      </c>
      <c r="B1812" t="s">
        <v>2138</v>
      </c>
      <c r="C1812">
        <v>77.55</v>
      </c>
      <c r="D1812">
        <v>71.89</v>
      </c>
      <c r="E1812">
        <v>44.39</v>
      </c>
      <c r="F1812">
        <v>4.17</v>
      </c>
      <c r="G1812">
        <v>3.69</v>
      </c>
      <c r="H1812">
        <v>21289</v>
      </c>
      <c r="I1812">
        <v>1.98</v>
      </c>
      <c r="J1812">
        <v>31.74</v>
      </c>
      <c r="K1812" t="s">
        <v>952</v>
      </c>
    </row>
    <row r="1813" spans="1:11">
      <c r="A1813" t="str">
        <f>"300350"</f>
        <v>300350</v>
      </c>
      <c r="B1813" t="s">
        <v>2139</v>
      </c>
      <c r="C1813">
        <v>31.5</v>
      </c>
      <c r="D1813">
        <v>13.55</v>
      </c>
      <c r="E1813">
        <v>9.24</v>
      </c>
      <c r="F1813">
        <v>5.62</v>
      </c>
      <c r="G1813">
        <v>4.72</v>
      </c>
      <c r="H1813">
        <v>39152</v>
      </c>
      <c r="I1813">
        <v>4.06</v>
      </c>
      <c r="J1813">
        <v>558.88</v>
      </c>
      <c r="K1813" t="s">
        <v>536</v>
      </c>
    </row>
    <row r="1814" spans="1:11">
      <c r="A1814" t="str">
        <f>"300351"</f>
        <v>300351</v>
      </c>
      <c r="B1814" t="s">
        <v>2140</v>
      </c>
      <c r="C1814">
        <v>48.68</v>
      </c>
      <c r="D1814">
        <v>47.91</v>
      </c>
      <c r="E1814">
        <v>25.18</v>
      </c>
      <c r="F1814">
        <v>3.89</v>
      </c>
      <c r="G1814">
        <v>2.63</v>
      </c>
      <c r="H1814">
        <v>30774</v>
      </c>
      <c r="I1814">
        <v>2.88</v>
      </c>
      <c r="J1814">
        <v>75.7</v>
      </c>
      <c r="K1814" t="s">
        <v>22</v>
      </c>
    </row>
    <row r="1815" spans="1:11">
      <c r="A1815" t="str">
        <f>"300352"</f>
        <v>300352</v>
      </c>
      <c r="B1815" t="s">
        <v>2141</v>
      </c>
      <c r="C1815">
        <v>90.38</v>
      </c>
      <c r="D1815">
        <v>20.02</v>
      </c>
      <c r="E1815">
        <v>12.32</v>
      </c>
      <c r="F1815">
        <v>14.5</v>
      </c>
      <c r="G1815">
        <v>12.77</v>
      </c>
      <c r="H1815">
        <v>95110</v>
      </c>
      <c r="I1815">
        <v>8.33</v>
      </c>
      <c r="J1815" t="s">
        <v>14</v>
      </c>
      <c r="K1815" t="s">
        <v>17</v>
      </c>
    </row>
    <row r="1816" spans="1:11">
      <c r="A1816" t="str">
        <f>"300353"</f>
        <v>300353</v>
      </c>
      <c r="B1816" t="s">
        <v>2142</v>
      </c>
      <c r="C1816">
        <v>135.71</v>
      </c>
      <c r="D1816">
        <v>39.55</v>
      </c>
      <c r="E1816">
        <v>19.87</v>
      </c>
      <c r="F1816">
        <v>6.15</v>
      </c>
      <c r="G1816">
        <v>5.37</v>
      </c>
      <c r="H1816">
        <v>58667</v>
      </c>
      <c r="I1816">
        <v>7.82</v>
      </c>
      <c r="J1816" t="s">
        <v>14</v>
      </c>
      <c r="K1816" t="s">
        <v>933</v>
      </c>
    </row>
    <row r="1817" spans="1:11">
      <c r="A1817" t="str">
        <f>"300354"</f>
        <v>300354</v>
      </c>
      <c r="B1817" t="s">
        <v>2143</v>
      </c>
      <c r="C1817">
        <v>38.09</v>
      </c>
      <c r="D1817">
        <v>9.3</v>
      </c>
      <c r="E1817">
        <v>8.23</v>
      </c>
      <c r="F1817">
        <v>1.38</v>
      </c>
      <c r="G1817">
        <v>0.81</v>
      </c>
      <c r="H1817">
        <v>13836</v>
      </c>
      <c r="I1817">
        <v>7.87</v>
      </c>
      <c r="J1817">
        <v>48</v>
      </c>
      <c r="K1817" t="s">
        <v>952</v>
      </c>
    </row>
    <row r="1818" spans="1:11">
      <c r="A1818" t="str">
        <f>"300355"</f>
        <v>300355</v>
      </c>
      <c r="B1818" t="s">
        <v>2144</v>
      </c>
      <c r="C1818">
        <v>54.67</v>
      </c>
      <c r="D1818">
        <v>154.57</v>
      </c>
      <c r="E1818">
        <v>43</v>
      </c>
      <c r="F1818">
        <v>16.04</v>
      </c>
      <c r="G1818">
        <v>12.98</v>
      </c>
      <c r="H1818">
        <v>80625</v>
      </c>
      <c r="I1818">
        <v>1.57</v>
      </c>
      <c r="J1818">
        <v>68.12</v>
      </c>
      <c r="K1818" t="s">
        <v>370</v>
      </c>
    </row>
    <row r="1819" spans="1:11">
      <c r="A1819" t="str">
        <f>"300357"</f>
        <v>300357</v>
      </c>
      <c r="B1819" t="s">
        <v>2145</v>
      </c>
      <c r="C1819">
        <v>150.4</v>
      </c>
      <c r="D1819">
        <v>28.93</v>
      </c>
      <c r="E1819">
        <v>26.36</v>
      </c>
      <c r="F1819">
        <v>5.24</v>
      </c>
      <c r="G1819">
        <v>4.84</v>
      </c>
      <c r="H1819">
        <v>32427</v>
      </c>
      <c r="I1819">
        <v>6.17</v>
      </c>
      <c r="J1819">
        <v>35.38</v>
      </c>
      <c r="K1819" t="s">
        <v>210</v>
      </c>
    </row>
    <row r="1820" spans="1:11">
      <c r="A1820" t="str">
        <f>"300358"</f>
        <v>300358</v>
      </c>
      <c r="B1820" t="s">
        <v>2146</v>
      </c>
      <c r="C1820">
        <v>81.42</v>
      </c>
      <c r="D1820">
        <v>131.66</v>
      </c>
      <c r="E1820">
        <v>44.85</v>
      </c>
      <c r="F1820">
        <v>7.15</v>
      </c>
      <c r="G1820">
        <v>7.01</v>
      </c>
      <c r="H1820">
        <v>28938</v>
      </c>
      <c r="I1820">
        <v>1.58</v>
      </c>
      <c r="J1820">
        <v>73.72</v>
      </c>
      <c r="K1820" t="s">
        <v>1972</v>
      </c>
    </row>
    <row r="1821" spans="1:11">
      <c r="A1821" t="str">
        <f>"300359"</f>
        <v>300359</v>
      </c>
      <c r="B1821" t="s">
        <v>2147</v>
      </c>
      <c r="C1821">
        <v>38.82</v>
      </c>
      <c r="D1821">
        <v>7.57</v>
      </c>
      <c r="E1821">
        <v>5.49</v>
      </c>
      <c r="F1821">
        <v>6.33</v>
      </c>
      <c r="G1821">
        <v>6.33</v>
      </c>
      <c r="H1821">
        <v>33386</v>
      </c>
      <c r="I1821">
        <v>7.07</v>
      </c>
      <c r="J1821" t="s">
        <v>14</v>
      </c>
      <c r="K1821" t="s">
        <v>198</v>
      </c>
    </row>
    <row r="1822" spans="1:11">
      <c r="A1822" t="str">
        <f>"300360"</f>
        <v>300360</v>
      </c>
      <c r="B1822" t="s">
        <v>2148</v>
      </c>
      <c r="C1822">
        <v>88.8</v>
      </c>
      <c r="D1822">
        <v>49.86</v>
      </c>
      <c r="E1822">
        <v>42.24</v>
      </c>
      <c r="F1822">
        <v>5.14</v>
      </c>
      <c r="G1822">
        <v>5</v>
      </c>
      <c r="H1822">
        <v>33422</v>
      </c>
      <c r="I1822">
        <v>2.16</v>
      </c>
      <c r="J1822">
        <v>14.27</v>
      </c>
      <c r="K1822" t="s">
        <v>888</v>
      </c>
    </row>
    <row r="1823" spans="1:11">
      <c r="A1823" t="str">
        <f>"300363"</f>
        <v>300363</v>
      </c>
      <c r="B1823" t="s">
        <v>2149</v>
      </c>
      <c r="C1823">
        <v>146.71</v>
      </c>
      <c r="D1823">
        <v>85.81</v>
      </c>
      <c r="E1823">
        <v>53.35</v>
      </c>
      <c r="F1823">
        <v>5.43</v>
      </c>
      <c r="G1823">
        <v>4.99</v>
      </c>
      <c r="H1823">
        <v>43438</v>
      </c>
      <c r="I1823">
        <v>3.01</v>
      </c>
      <c r="J1823">
        <v>150</v>
      </c>
      <c r="K1823" t="s">
        <v>1595</v>
      </c>
    </row>
    <row r="1824" spans="1:11">
      <c r="A1824" t="str">
        <f>"300364"</f>
        <v>300364</v>
      </c>
      <c r="B1824" t="s">
        <v>2150</v>
      </c>
      <c r="C1824">
        <v>255.32</v>
      </c>
      <c r="D1824">
        <v>16.32</v>
      </c>
      <c r="E1824">
        <v>4.73</v>
      </c>
      <c r="F1824">
        <v>7.29</v>
      </c>
      <c r="G1824">
        <v>6.6</v>
      </c>
      <c r="H1824">
        <v>112363</v>
      </c>
      <c r="I1824">
        <v>59.57</v>
      </c>
      <c r="J1824" t="s">
        <v>14</v>
      </c>
      <c r="K1824" t="s">
        <v>440</v>
      </c>
    </row>
    <row r="1825" spans="1:11">
      <c r="A1825" t="str">
        <f>"300365"</f>
        <v>300365</v>
      </c>
      <c r="B1825" t="s">
        <v>2151</v>
      </c>
      <c r="C1825">
        <v>35.46</v>
      </c>
      <c r="D1825">
        <v>24.17</v>
      </c>
      <c r="E1825">
        <v>18.82</v>
      </c>
      <c r="F1825">
        <v>6</v>
      </c>
      <c r="G1825">
        <v>5.12</v>
      </c>
      <c r="H1825">
        <v>29847</v>
      </c>
      <c r="I1825">
        <v>2.21</v>
      </c>
      <c r="J1825">
        <v>420.27</v>
      </c>
      <c r="K1825" t="s">
        <v>117</v>
      </c>
    </row>
    <row r="1826" spans="1:11">
      <c r="A1826" t="str">
        <f>"300366"</f>
        <v>300366</v>
      </c>
      <c r="B1826" t="s">
        <v>2152</v>
      </c>
      <c r="C1826">
        <v>39.58</v>
      </c>
      <c r="D1826">
        <v>27</v>
      </c>
      <c r="E1826">
        <v>16.39</v>
      </c>
      <c r="F1826">
        <v>6.08</v>
      </c>
      <c r="G1826">
        <v>5.31</v>
      </c>
      <c r="H1826">
        <v>54547</v>
      </c>
      <c r="I1826">
        <v>2.77</v>
      </c>
      <c r="J1826" t="s">
        <v>14</v>
      </c>
      <c r="K1826" t="s">
        <v>117</v>
      </c>
    </row>
    <row r="1827" spans="1:11">
      <c r="A1827" t="str">
        <f>"300368"</f>
        <v>300368</v>
      </c>
      <c r="B1827" t="s">
        <v>2153</v>
      </c>
      <c r="C1827">
        <v>81.93</v>
      </c>
      <c r="D1827">
        <v>6.3</v>
      </c>
      <c r="E1827">
        <v>1.86</v>
      </c>
      <c r="F1827">
        <v>5.29</v>
      </c>
      <c r="G1827">
        <v>5.29</v>
      </c>
      <c r="H1827">
        <v>84339</v>
      </c>
      <c r="I1827">
        <v>44.01</v>
      </c>
      <c r="J1827" t="s">
        <v>14</v>
      </c>
      <c r="K1827" t="s">
        <v>88</v>
      </c>
    </row>
    <row r="1828" spans="1:11">
      <c r="A1828" t="str">
        <f>"300369"</f>
        <v>300369</v>
      </c>
      <c r="B1828" t="s">
        <v>2154</v>
      </c>
      <c r="C1828">
        <v>67.63</v>
      </c>
      <c r="D1828">
        <v>43.81</v>
      </c>
      <c r="E1828">
        <v>24.55</v>
      </c>
      <c r="F1828">
        <v>8.11</v>
      </c>
      <c r="G1828">
        <v>8.08</v>
      </c>
      <c r="H1828">
        <v>39490</v>
      </c>
      <c r="I1828">
        <v>2.72</v>
      </c>
      <c r="J1828" t="s">
        <v>14</v>
      </c>
      <c r="K1828" t="s">
        <v>17</v>
      </c>
    </row>
    <row r="1829" spans="1:11">
      <c r="A1829" t="str">
        <f>"300370"</f>
        <v>300370</v>
      </c>
      <c r="B1829" t="s">
        <v>2155</v>
      </c>
      <c r="C1829">
        <v>44.97</v>
      </c>
      <c r="D1829">
        <v>13.74</v>
      </c>
      <c r="E1829">
        <v>5.09</v>
      </c>
      <c r="F1829">
        <v>15.65</v>
      </c>
      <c r="G1829">
        <v>15.61</v>
      </c>
      <c r="H1829">
        <v>52090</v>
      </c>
      <c r="I1829">
        <v>8.86</v>
      </c>
      <c r="J1829" t="s">
        <v>14</v>
      </c>
      <c r="K1829" t="s">
        <v>952</v>
      </c>
    </row>
    <row r="1830" spans="1:11">
      <c r="A1830" t="str">
        <f>"300371"</f>
        <v>300371</v>
      </c>
      <c r="B1830" t="s">
        <v>2156</v>
      </c>
      <c r="C1830">
        <v>17.47</v>
      </c>
      <c r="D1830">
        <v>12.86</v>
      </c>
      <c r="E1830">
        <v>11.72</v>
      </c>
      <c r="F1830">
        <v>2.01</v>
      </c>
      <c r="G1830">
        <v>1.34</v>
      </c>
      <c r="H1830">
        <v>10167</v>
      </c>
      <c r="I1830">
        <v>2.23</v>
      </c>
      <c r="J1830">
        <v>28.06</v>
      </c>
      <c r="K1830" t="s">
        <v>952</v>
      </c>
    </row>
    <row r="1831" spans="1:11">
      <c r="A1831" t="str">
        <f>"300373"</f>
        <v>300373</v>
      </c>
      <c r="B1831" t="s">
        <v>2157</v>
      </c>
      <c r="C1831">
        <v>365.84</v>
      </c>
      <c r="D1831">
        <v>163.2</v>
      </c>
      <c r="E1831">
        <v>92.44</v>
      </c>
      <c r="F1831">
        <v>5.43</v>
      </c>
      <c r="G1831">
        <v>5.42</v>
      </c>
      <c r="H1831">
        <v>60000</v>
      </c>
      <c r="I1831">
        <v>3.97</v>
      </c>
      <c r="J1831">
        <v>28.24</v>
      </c>
      <c r="K1831" t="s">
        <v>1852</v>
      </c>
    </row>
    <row r="1832" spans="1:11">
      <c r="A1832" t="str">
        <f>"300374"</f>
        <v>300374</v>
      </c>
      <c r="B1832" t="s">
        <v>2158</v>
      </c>
      <c r="C1832">
        <v>31.72</v>
      </c>
      <c r="D1832">
        <v>42.96</v>
      </c>
      <c r="E1832">
        <v>8.14</v>
      </c>
      <c r="F1832">
        <v>2.46</v>
      </c>
      <c r="G1832">
        <v>1.95</v>
      </c>
      <c r="H1832">
        <v>22873</v>
      </c>
      <c r="I1832">
        <v>4.92</v>
      </c>
      <c r="J1832" t="s">
        <v>14</v>
      </c>
      <c r="K1832" t="s">
        <v>73</v>
      </c>
    </row>
    <row r="1833" spans="1:11">
      <c r="A1833" t="str">
        <f>"300375"</f>
        <v>300375</v>
      </c>
      <c r="B1833" t="s">
        <v>2159</v>
      </c>
      <c r="C1833">
        <v>28.02</v>
      </c>
      <c r="D1833">
        <v>37.13</v>
      </c>
      <c r="E1833">
        <v>22.9</v>
      </c>
      <c r="F1833">
        <v>7.6</v>
      </c>
      <c r="G1833">
        <v>5.1</v>
      </c>
      <c r="H1833">
        <v>27959</v>
      </c>
      <c r="I1833">
        <v>1.82</v>
      </c>
      <c r="J1833">
        <v>67.08</v>
      </c>
      <c r="K1833" t="s">
        <v>51</v>
      </c>
    </row>
    <row r="1834" spans="1:11">
      <c r="A1834" t="str">
        <f>"300376"</f>
        <v>300376</v>
      </c>
      <c r="B1834" t="s">
        <v>2160</v>
      </c>
      <c r="C1834">
        <v>180.38</v>
      </c>
      <c r="D1834">
        <v>132.12</v>
      </c>
      <c r="E1834">
        <v>66.94</v>
      </c>
      <c r="F1834">
        <v>23.28</v>
      </c>
      <c r="G1834">
        <v>23.27</v>
      </c>
      <c r="H1834">
        <v>62347</v>
      </c>
      <c r="I1834">
        <v>2.7</v>
      </c>
      <c r="J1834">
        <v>143.56</v>
      </c>
      <c r="K1834" t="s">
        <v>1010</v>
      </c>
    </row>
    <row r="1835" spans="1:11">
      <c r="A1835" t="str">
        <f>"300377"</f>
        <v>300377</v>
      </c>
      <c r="B1835" t="s">
        <v>2161</v>
      </c>
      <c r="C1835">
        <v>164.5</v>
      </c>
      <c r="D1835">
        <v>27.11</v>
      </c>
      <c r="E1835">
        <v>25.22</v>
      </c>
      <c r="F1835">
        <v>7.51</v>
      </c>
      <c r="G1835">
        <v>6.62</v>
      </c>
      <c r="H1835">
        <v>112442</v>
      </c>
      <c r="I1835">
        <v>7.4</v>
      </c>
      <c r="J1835" t="s">
        <v>14</v>
      </c>
      <c r="K1835" t="s">
        <v>117</v>
      </c>
    </row>
    <row r="1836" spans="1:11">
      <c r="A1836" t="str">
        <f>"300378"</f>
        <v>300378</v>
      </c>
      <c r="B1836" t="s">
        <v>2162</v>
      </c>
      <c r="C1836">
        <v>174.58</v>
      </c>
      <c r="D1836">
        <v>35.56</v>
      </c>
      <c r="E1836">
        <v>22.75</v>
      </c>
      <c r="F1836">
        <v>2.72</v>
      </c>
      <c r="G1836">
        <v>2.7</v>
      </c>
      <c r="H1836">
        <v>54000</v>
      </c>
      <c r="I1836">
        <v>7.73</v>
      </c>
      <c r="J1836">
        <v>258.2</v>
      </c>
      <c r="K1836" t="s">
        <v>17</v>
      </c>
    </row>
    <row r="1837" spans="1:11">
      <c r="A1837" t="str">
        <f>"300380"</f>
        <v>300380</v>
      </c>
      <c r="B1837" t="s">
        <v>2163</v>
      </c>
      <c r="C1837">
        <v>59.12</v>
      </c>
      <c r="D1837">
        <v>11.13</v>
      </c>
      <c r="E1837">
        <v>3.87</v>
      </c>
      <c r="F1837">
        <v>1.38</v>
      </c>
      <c r="G1837">
        <v>1.27</v>
      </c>
      <c r="H1837">
        <v>33716</v>
      </c>
      <c r="I1837">
        <v>16.61</v>
      </c>
      <c r="J1837">
        <v>367.13</v>
      </c>
      <c r="K1837" t="s">
        <v>117</v>
      </c>
    </row>
    <row r="1838" spans="1:11">
      <c r="A1838" t="str">
        <f>"300381"</f>
        <v>300381</v>
      </c>
      <c r="B1838" t="s">
        <v>2164</v>
      </c>
      <c r="C1838">
        <v>34.74</v>
      </c>
      <c r="D1838">
        <v>28.95</v>
      </c>
      <c r="E1838">
        <v>25.89</v>
      </c>
      <c r="F1838">
        <v>4.91</v>
      </c>
      <c r="G1838">
        <v>4.89</v>
      </c>
      <c r="H1838">
        <v>19833</v>
      </c>
      <c r="I1838">
        <v>1.35</v>
      </c>
      <c r="J1838">
        <v>143.64</v>
      </c>
      <c r="K1838" t="s">
        <v>404</v>
      </c>
    </row>
    <row r="1839" spans="1:11">
      <c r="A1839" t="str">
        <f>"300382"</f>
        <v>300382</v>
      </c>
      <c r="B1839" t="s">
        <v>2165</v>
      </c>
      <c r="C1839">
        <v>101.4</v>
      </c>
      <c r="D1839">
        <v>52.73</v>
      </c>
      <c r="E1839">
        <v>23.01</v>
      </c>
      <c r="F1839">
        <v>6.48</v>
      </c>
      <c r="G1839">
        <v>6.48</v>
      </c>
      <c r="H1839">
        <v>24233</v>
      </c>
      <c r="I1839">
        <v>4.41</v>
      </c>
      <c r="J1839">
        <v>519.78</v>
      </c>
      <c r="K1839" t="s">
        <v>657</v>
      </c>
    </row>
    <row r="1840" spans="1:11">
      <c r="A1840" t="str">
        <f>"300383"</f>
        <v>300383</v>
      </c>
      <c r="B1840" t="s">
        <v>2166</v>
      </c>
      <c r="C1840">
        <v>285.18</v>
      </c>
      <c r="D1840">
        <v>214.46</v>
      </c>
      <c r="E1840">
        <v>127.16</v>
      </c>
      <c r="F1840">
        <v>17.98</v>
      </c>
      <c r="G1840">
        <v>17.94</v>
      </c>
      <c r="H1840">
        <v>145030</v>
      </c>
      <c r="I1840">
        <v>2.24</v>
      </c>
      <c r="J1840">
        <v>149.27</v>
      </c>
      <c r="K1840" t="s">
        <v>463</v>
      </c>
    </row>
    <row r="1841" spans="1:11">
      <c r="A1841" t="str">
        <f>"300384"</f>
        <v>300384</v>
      </c>
      <c r="B1841" t="s">
        <v>2167</v>
      </c>
      <c r="C1841">
        <v>39.27</v>
      </c>
      <c r="D1841">
        <v>35.79</v>
      </c>
      <c r="E1841">
        <v>27.64</v>
      </c>
      <c r="F1841">
        <v>3.19</v>
      </c>
      <c r="G1841">
        <v>2.2</v>
      </c>
      <c r="H1841">
        <v>18654</v>
      </c>
      <c r="I1841">
        <v>2.06</v>
      </c>
      <c r="J1841">
        <v>21.06</v>
      </c>
      <c r="K1841" t="s">
        <v>910</v>
      </c>
    </row>
    <row r="1842" spans="1:11">
      <c r="A1842" t="str">
        <f>"300385"</f>
        <v>300385</v>
      </c>
      <c r="B1842" t="s">
        <v>2168</v>
      </c>
      <c r="C1842">
        <v>20.06</v>
      </c>
      <c r="D1842">
        <v>22.9</v>
      </c>
      <c r="E1842">
        <v>0.82</v>
      </c>
      <c r="F1842">
        <v>3.33</v>
      </c>
      <c r="G1842">
        <v>2.91</v>
      </c>
      <c r="H1842">
        <v>12611</v>
      </c>
      <c r="I1842">
        <v>27.94</v>
      </c>
      <c r="J1842" t="s">
        <v>14</v>
      </c>
      <c r="K1842" t="s">
        <v>1330</v>
      </c>
    </row>
    <row r="1843" spans="1:11">
      <c r="A1843" t="str">
        <f>"300386"</f>
        <v>300386</v>
      </c>
      <c r="B1843" t="s">
        <v>2169</v>
      </c>
      <c r="C1843">
        <v>45.89</v>
      </c>
      <c r="D1843">
        <v>16.26</v>
      </c>
      <c r="E1843">
        <v>14.74</v>
      </c>
      <c r="F1843">
        <v>4.18</v>
      </c>
      <c r="G1843">
        <v>2.51</v>
      </c>
      <c r="H1843">
        <v>45689</v>
      </c>
      <c r="I1843">
        <v>5.19</v>
      </c>
      <c r="J1843">
        <v>552.7</v>
      </c>
      <c r="K1843" t="s">
        <v>88</v>
      </c>
    </row>
    <row r="1844" spans="1:11">
      <c r="A1844" t="str">
        <f>"300387"</f>
        <v>300387</v>
      </c>
      <c r="B1844" t="s">
        <v>2170</v>
      </c>
      <c r="C1844">
        <v>25.63</v>
      </c>
      <c r="D1844">
        <v>20.34</v>
      </c>
      <c r="E1844">
        <v>14.83</v>
      </c>
      <c r="F1844">
        <v>2.89</v>
      </c>
      <c r="G1844">
        <v>2.89</v>
      </c>
      <c r="H1844">
        <v>16548</v>
      </c>
      <c r="I1844">
        <v>1.73</v>
      </c>
      <c r="J1844">
        <v>23.84</v>
      </c>
      <c r="K1844" t="s">
        <v>532</v>
      </c>
    </row>
    <row r="1845" spans="1:11">
      <c r="A1845" t="str">
        <f>"300388"</f>
        <v>300388</v>
      </c>
      <c r="B1845" t="s">
        <v>2171</v>
      </c>
      <c r="C1845">
        <v>56.15</v>
      </c>
      <c r="D1845">
        <v>170.63</v>
      </c>
      <c r="E1845">
        <v>46.5</v>
      </c>
      <c r="F1845">
        <v>6.81</v>
      </c>
      <c r="G1845">
        <v>6.8</v>
      </c>
      <c r="H1845">
        <v>20477</v>
      </c>
      <c r="I1845">
        <v>1.21</v>
      </c>
      <c r="J1845">
        <v>16.58</v>
      </c>
      <c r="K1845" t="s">
        <v>90</v>
      </c>
    </row>
    <row r="1846" spans="1:11">
      <c r="A1846" t="str">
        <f>"300389"</f>
        <v>300389</v>
      </c>
      <c r="B1846" t="s">
        <v>2172</v>
      </c>
      <c r="C1846">
        <v>41.16</v>
      </c>
      <c r="D1846">
        <v>43.01</v>
      </c>
      <c r="E1846">
        <v>16.45</v>
      </c>
      <c r="F1846">
        <v>3.69</v>
      </c>
      <c r="G1846">
        <v>2.33</v>
      </c>
      <c r="H1846">
        <v>17889</v>
      </c>
      <c r="I1846">
        <v>3.96</v>
      </c>
      <c r="J1846">
        <v>26.39</v>
      </c>
      <c r="K1846" t="s">
        <v>216</v>
      </c>
    </row>
    <row r="1847" spans="1:11">
      <c r="A1847" t="str">
        <f>"300390"</f>
        <v>300390</v>
      </c>
      <c r="B1847" t="s">
        <v>2173</v>
      </c>
      <c r="C1847">
        <v>364.92</v>
      </c>
      <c r="D1847">
        <v>200.2</v>
      </c>
      <c r="E1847">
        <v>109.07</v>
      </c>
      <c r="F1847">
        <v>8.31</v>
      </c>
      <c r="G1847">
        <v>6.73</v>
      </c>
      <c r="H1847">
        <v>75877</v>
      </c>
      <c r="I1847">
        <v>4.13</v>
      </c>
      <c r="J1847">
        <v>1028.66</v>
      </c>
      <c r="K1847" t="s">
        <v>418</v>
      </c>
    </row>
    <row r="1848" spans="1:11">
      <c r="A1848" t="str">
        <f>"300391"</f>
        <v>300391</v>
      </c>
      <c r="B1848" t="s">
        <v>2174</v>
      </c>
      <c r="C1848">
        <v>2.73</v>
      </c>
      <c r="D1848">
        <v>19.24</v>
      </c>
      <c r="E1848">
        <v>-6.43</v>
      </c>
      <c r="F1848">
        <v>3.5</v>
      </c>
      <c r="G1848">
        <v>3.5</v>
      </c>
      <c r="H1848">
        <v>14233</v>
      </c>
      <c r="I1848">
        <v>-0.43</v>
      </c>
      <c r="J1848" t="s">
        <v>14</v>
      </c>
      <c r="K1848" t="s">
        <v>155</v>
      </c>
    </row>
    <row r="1849" spans="1:11">
      <c r="A1849" t="str">
        <f>"300393"</f>
        <v>300393</v>
      </c>
      <c r="B1849" t="s">
        <v>2175</v>
      </c>
      <c r="C1849">
        <v>69.4</v>
      </c>
      <c r="D1849">
        <v>156.47</v>
      </c>
      <c r="E1849">
        <v>29.59</v>
      </c>
      <c r="F1849">
        <v>10.9</v>
      </c>
      <c r="G1849">
        <v>9.56</v>
      </c>
      <c r="H1849">
        <v>49858</v>
      </c>
      <c r="I1849">
        <v>2.67</v>
      </c>
      <c r="J1849" t="s">
        <v>14</v>
      </c>
      <c r="K1849" t="s">
        <v>815</v>
      </c>
    </row>
    <row r="1850" spans="1:11">
      <c r="A1850" t="str">
        <f>"300394"</f>
        <v>300394</v>
      </c>
      <c r="B1850" t="s">
        <v>2176</v>
      </c>
      <c r="C1850">
        <v>1485.76</v>
      </c>
      <c r="D1850">
        <v>58.47</v>
      </c>
      <c r="E1850">
        <v>48.78</v>
      </c>
      <c r="F1850">
        <v>7.77</v>
      </c>
      <c r="G1850">
        <v>7.76</v>
      </c>
      <c r="H1850">
        <v>127138</v>
      </c>
      <c r="I1850">
        <v>30.52</v>
      </c>
      <c r="J1850">
        <v>76.2</v>
      </c>
      <c r="K1850" t="s">
        <v>972</v>
      </c>
    </row>
    <row r="1851" spans="1:11">
      <c r="A1851" t="str">
        <f>"300395"</f>
        <v>300395</v>
      </c>
      <c r="B1851" t="s">
        <v>2177</v>
      </c>
      <c r="C1851">
        <v>480.42</v>
      </c>
      <c r="D1851">
        <v>71.22</v>
      </c>
      <c r="E1851">
        <v>45.51</v>
      </c>
      <c r="F1851">
        <v>5.22</v>
      </c>
      <c r="G1851">
        <v>5.12</v>
      </c>
      <c r="H1851">
        <v>31386</v>
      </c>
      <c r="I1851">
        <v>10.78</v>
      </c>
      <c r="J1851">
        <v>110.21</v>
      </c>
      <c r="K1851" t="s">
        <v>30</v>
      </c>
    </row>
    <row r="1852" spans="1:11">
      <c r="A1852" t="str">
        <f>"300396"</f>
        <v>300396</v>
      </c>
      <c r="B1852" t="s">
        <v>2178</v>
      </c>
      <c r="C1852">
        <v>37.49</v>
      </c>
      <c r="D1852">
        <v>27.85</v>
      </c>
      <c r="E1852">
        <v>18.96</v>
      </c>
      <c r="F1852">
        <v>2.73</v>
      </c>
      <c r="G1852">
        <v>2.72</v>
      </c>
      <c r="H1852">
        <v>16044</v>
      </c>
      <c r="I1852">
        <v>1.98</v>
      </c>
      <c r="J1852" t="s">
        <v>14</v>
      </c>
      <c r="K1852" t="s">
        <v>2179</v>
      </c>
    </row>
    <row r="1853" spans="1:11">
      <c r="A1853" t="str">
        <f>"300397"</f>
        <v>300397</v>
      </c>
      <c r="B1853" t="s">
        <v>2180</v>
      </c>
      <c r="C1853">
        <v>64.07</v>
      </c>
      <c r="D1853">
        <v>25.73</v>
      </c>
      <c r="E1853">
        <v>14.39</v>
      </c>
      <c r="F1853">
        <v>5.18</v>
      </c>
      <c r="G1853">
        <v>4.06</v>
      </c>
      <c r="H1853">
        <v>63141</v>
      </c>
      <c r="I1853">
        <v>5.68</v>
      </c>
      <c r="J1853" t="s">
        <v>14</v>
      </c>
      <c r="K1853" t="s">
        <v>223</v>
      </c>
    </row>
    <row r="1854" spans="1:11">
      <c r="A1854" t="str">
        <f>"300398"</f>
        <v>300398</v>
      </c>
      <c r="B1854" t="s">
        <v>2181</v>
      </c>
      <c r="C1854">
        <v>138.09</v>
      </c>
      <c r="D1854">
        <v>70.74</v>
      </c>
      <c r="E1854">
        <v>49.21</v>
      </c>
      <c r="F1854">
        <v>5.67</v>
      </c>
      <c r="G1854">
        <v>5.64</v>
      </c>
      <c r="H1854">
        <v>65909</v>
      </c>
      <c r="I1854">
        <v>2.82</v>
      </c>
      <c r="J1854">
        <v>35.8</v>
      </c>
      <c r="K1854" t="s">
        <v>884</v>
      </c>
    </row>
    <row r="1855" spans="1:11">
      <c r="A1855" t="str">
        <f>"300399"</f>
        <v>300399</v>
      </c>
      <c r="B1855" t="s">
        <v>2182</v>
      </c>
      <c r="C1855">
        <v>59.31</v>
      </c>
      <c r="D1855">
        <v>5.59</v>
      </c>
      <c r="E1855">
        <v>5.13</v>
      </c>
      <c r="F1855">
        <v>1.98</v>
      </c>
      <c r="G1855">
        <v>1.98</v>
      </c>
      <c r="H1855">
        <v>29063</v>
      </c>
      <c r="I1855">
        <v>11.56</v>
      </c>
      <c r="J1855">
        <v>764.62</v>
      </c>
      <c r="K1855" t="s">
        <v>117</v>
      </c>
    </row>
    <row r="1856" spans="1:11">
      <c r="A1856" t="str">
        <f>"300400"</f>
        <v>300400</v>
      </c>
      <c r="B1856" t="s">
        <v>2183</v>
      </c>
      <c r="C1856">
        <v>51.1</v>
      </c>
      <c r="D1856">
        <v>12.28</v>
      </c>
      <c r="E1856">
        <v>7.81</v>
      </c>
      <c r="F1856">
        <v>2.43</v>
      </c>
      <c r="G1856">
        <v>2.4</v>
      </c>
      <c r="H1856">
        <v>26039</v>
      </c>
      <c r="I1856">
        <v>6.62</v>
      </c>
      <c r="J1856">
        <v>44.99</v>
      </c>
      <c r="K1856" t="s">
        <v>493</v>
      </c>
    </row>
    <row r="1857" spans="1:11">
      <c r="A1857" t="str">
        <f>"300401"</f>
        <v>300401</v>
      </c>
      <c r="B1857" t="s">
        <v>2184</v>
      </c>
      <c r="C1857">
        <v>85.27</v>
      </c>
      <c r="D1857">
        <v>59.13</v>
      </c>
      <c r="E1857">
        <v>34.18</v>
      </c>
      <c r="F1857">
        <v>5.43</v>
      </c>
      <c r="G1857">
        <v>5.35</v>
      </c>
      <c r="H1857">
        <v>26228</v>
      </c>
      <c r="I1857">
        <v>2.74</v>
      </c>
      <c r="J1857">
        <v>27.78</v>
      </c>
      <c r="K1857" t="s">
        <v>404</v>
      </c>
    </row>
    <row r="1858" spans="1:11">
      <c r="A1858" t="str">
        <f>"300402"</f>
        <v>300402</v>
      </c>
      <c r="B1858" t="s">
        <v>2185</v>
      </c>
      <c r="C1858">
        <v>55.25</v>
      </c>
      <c r="D1858">
        <v>24.24</v>
      </c>
      <c r="E1858">
        <v>14.98</v>
      </c>
      <c r="F1858">
        <v>2.47</v>
      </c>
      <c r="G1858">
        <v>2.44</v>
      </c>
      <c r="H1858">
        <v>29345</v>
      </c>
      <c r="I1858">
        <v>3.74</v>
      </c>
      <c r="J1858">
        <v>83.64</v>
      </c>
      <c r="K1858" t="s">
        <v>63</v>
      </c>
    </row>
    <row r="1859" spans="1:11">
      <c r="A1859" t="str">
        <f>"300403"</f>
        <v>300403</v>
      </c>
      <c r="B1859" t="s">
        <v>2186</v>
      </c>
      <c r="C1859">
        <v>60.94</v>
      </c>
      <c r="D1859">
        <v>25.22</v>
      </c>
      <c r="E1859">
        <v>21.38</v>
      </c>
      <c r="F1859">
        <v>6.03</v>
      </c>
      <c r="G1859">
        <v>4.27</v>
      </c>
      <c r="H1859">
        <v>57035</v>
      </c>
      <c r="I1859">
        <v>4.02</v>
      </c>
      <c r="J1859">
        <v>38.25</v>
      </c>
      <c r="K1859" t="s">
        <v>134</v>
      </c>
    </row>
    <row r="1860" spans="1:11">
      <c r="A1860" t="str">
        <f>"300404"</f>
        <v>300404</v>
      </c>
      <c r="B1860" t="s">
        <v>2187</v>
      </c>
      <c r="C1860">
        <v>34.76</v>
      </c>
      <c r="D1860">
        <v>15.88</v>
      </c>
      <c r="E1860">
        <v>10.2</v>
      </c>
      <c r="F1860">
        <v>3.86</v>
      </c>
      <c r="G1860">
        <v>2.81</v>
      </c>
      <c r="H1860">
        <v>29555</v>
      </c>
      <c r="I1860">
        <v>4.68</v>
      </c>
      <c r="J1860">
        <v>163.44</v>
      </c>
      <c r="K1860" t="s">
        <v>1595</v>
      </c>
    </row>
    <row r="1861" spans="1:11">
      <c r="A1861" t="str">
        <f>"300405"</f>
        <v>300405</v>
      </c>
      <c r="B1861" t="s">
        <v>2188</v>
      </c>
      <c r="C1861">
        <v>14.42</v>
      </c>
      <c r="D1861">
        <v>10.34</v>
      </c>
      <c r="E1861">
        <v>4.19</v>
      </c>
      <c r="F1861">
        <v>2.84</v>
      </c>
      <c r="G1861">
        <v>2.19</v>
      </c>
      <c r="H1861">
        <v>16153</v>
      </c>
      <c r="I1861">
        <v>4.48</v>
      </c>
      <c r="J1861" t="s">
        <v>14</v>
      </c>
      <c r="K1861" t="s">
        <v>511</v>
      </c>
    </row>
    <row r="1862" spans="1:11">
      <c r="A1862" t="str">
        <f>"300406"</f>
        <v>300406</v>
      </c>
      <c r="B1862" t="s">
        <v>2189</v>
      </c>
      <c r="C1862">
        <v>63.24</v>
      </c>
      <c r="D1862">
        <v>52.95</v>
      </c>
      <c r="E1862">
        <v>40</v>
      </c>
      <c r="F1862">
        <v>5.86</v>
      </c>
      <c r="G1862">
        <v>4.24</v>
      </c>
      <c r="H1862">
        <v>18058</v>
      </c>
      <c r="I1862">
        <v>2.28</v>
      </c>
      <c r="J1862">
        <v>24.05</v>
      </c>
      <c r="K1862" t="s">
        <v>775</v>
      </c>
    </row>
    <row r="1863" spans="1:11">
      <c r="A1863" t="str">
        <f>"300407"</f>
        <v>300407</v>
      </c>
      <c r="B1863" t="s">
        <v>2190</v>
      </c>
      <c r="C1863">
        <v>30.97</v>
      </c>
      <c r="D1863">
        <v>34.26</v>
      </c>
      <c r="E1863">
        <v>19.16</v>
      </c>
      <c r="F1863">
        <v>3.2</v>
      </c>
      <c r="G1863">
        <v>2.44</v>
      </c>
      <c r="H1863">
        <v>18783</v>
      </c>
      <c r="I1863">
        <v>2.11</v>
      </c>
      <c r="J1863">
        <v>44.2</v>
      </c>
      <c r="K1863" t="s">
        <v>127</v>
      </c>
    </row>
    <row r="1864" spans="1:11">
      <c r="A1864" t="str">
        <f>"300408"</f>
        <v>300408</v>
      </c>
      <c r="B1864" t="s">
        <v>2191</v>
      </c>
      <c r="C1864">
        <v>919.57</v>
      </c>
      <c r="D1864">
        <v>253.81</v>
      </c>
      <c r="E1864">
        <v>210.01</v>
      </c>
      <c r="F1864">
        <v>19.16</v>
      </c>
      <c r="G1864">
        <v>18.7</v>
      </c>
      <c r="H1864">
        <v>30208</v>
      </c>
      <c r="I1864">
        <v>4.49</v>
      </c>
      <c r="J1864">
        <v>36.09</v>
      </c>
      <c r="K1864" t="s">
        <v>310</v>
      </c>
    </row>
    <row r="1865" spans="1:11">
      <c r="A1865" t="str">
        <f>"300409"</f>
        <v>300409</v>
      </c>
      <c r="B1865" t="s">
        <v>2192</v>
      </c>
      <c r="C1865">
        <v>228.93</v>
      </c>
      <c r="D1865">
        <v>139.26</v>
      </c>
      <c r="E1865">
        <v>80.31</v>
      </c>
      <c r="F1865">
        <v>7.82</v>
      </c>
      <c r="G1865">
        <v>6.87</v>
      </c>
      <c r="H1865">
        <v>84489</v>
      </c>
      <c r="I1865">
        <v>3.24</v>
      </c>
      <c r="J1865">
        <v>47.03</v>
      </c>
      <c r="K1865" t="s">
        <v>24</v>
      </c>
    </row>
    <row r="1866" spans="1:11">
      <c r="A1866" t="str">
        <f>"300410"</f>
        <v>300410</v>
      </c>
      <c r="B1866" t="s">
        <v>2193</v>
      </c>
      <c r="C1866">
        <v>31.23</v>
      </c>
      <c r="D1866">
        <v>15.01</v>
      </c>
      <c r="E1866">
        <v>2.41</v>
      </c>
      <c r="F1866">
        <v>3.67</v>
      </c>
      <c r="G1866">
        <v>3.67</v>
      </c>
      <c r="H1866">
        <v>34574</v>
      </c>
      <c r="I1866">
        <v>12.97</v>
      </c>
      <c r="J1866">
        <v>101.69</v>
      </c>
      <c r="K1866" t="s">
        <v>1975</v>
      </c>
    </row>
    <row r="1867" spans="1:11">
      <c r="A1867" t="str">
        <f>"300411"</f>
        <v>300411</v>
      </c>
      <c r="B1867" t="s">
        <v>2194</v>
      </c>
      <c r="C1867">
        <v>39.29</v>
      </c>
      <c r="D1867">
        <v>14.67</v>
      </c>
      <c r="E1867">
        <v>9.69</v>
      </c>
      <c r="F1867">
        <v>4.07</v>
      </c>
      <c r="G1867">
        <v>3.09</v>
      </c>
      <c r="H1867">
        <v>44160</v>
      </c>
      <c r="I1867">
        <v>5.33</v>
      </c>
      <c r="J1867">
        <v>266.81</v>
      </c>
      <c r="K1867" t="s">
        <v>744</v>
      </c>
    </row>
    <row r="1868" spans="1:11">
      <c r="A1868" t="str">
        <f>"300412"</f>
        <v>300412</v>
      </c>
      <c r="B1868" t="s">
        <v>2195</v>
      </c>
      <c r="C1868">
        <v>27.74</v>
      </c>
      <c r="D1868">
        <v>24.57</v>
      </c>
      <c r="E1868">
        <v>10.32</v>
      </c>
      <c r="F1868">
        <v>4.98</v>
      </c>
      <c r="G1868">
        <v>4.68</v>
      </c>
      <c r="H1868">
        <v>27448</v>
      </c>
      <c r="I1868">
        <v>2.86</v>
      </c>
      <c r="J1868">
        <v>219.23</v>
      </c>
      <c r="K1868" t="s">
        <v>1972</v>
      </c>
    </row>
    <row r="1869" spans="1:11">
      <c r="A1869" t="str">
        <f>"300413"</f>
        <v>300413</v>
      </c>
      <c r="B1869" t="s">
        <v>2196</v>
      </c>
      <c r="C1869">
        <v>288.43</v>
      </c>
      <c r="D1869">
        <v>329.49</v>
      </c>
      <c r="E1869">
        <v>231.57</v>
      </c>
      <c r="F1869">
        <v>18.71</v>
      </c>
      <c r="G1869">
        <v>10.22</v>
      </c>
      <c r="H1869">
        <v>54721</v>
      </c>
      <c r="I1869">
        <v>2.28</v>
      </c>
      <c r="J1869">
        <v>38.99</v>
      </c>
      <c r="K1869" t="s">
        <v>2197</v>
      </c>
    </row>
    <row r="1870" spans="1:11">
      <c r="A1870" t="str">
        <f>"300414"</f>
        <v>300414</v>
      </c>
      <c r="B1870" t="s">
        <v>2198</v>
      </c>
      <c r="C1870">
        <v>53.86</v>
      </c>
      <c r="D1870">
        <v>12.08</v>
      </c>
      <c r="E1870">
        <v>9.94</v>
      </c>
      <c r="F1870">
        <v>3.26</v>
      </c>
      <c r="G1870">
        <v>3.14</v>
      </c>
      <c r="H1870">
        <v>32547</v>
      </c>
      <c r="I1870">
        <v>5.63</v>
      </c>
      <c r="J1870">
        <v>245.16</v>
      </c>
      <c r="K1870" t="s">
        <v>933</v>
      </c>
    </row>
    <row r="1871" spans="1:11">
      <c r="A1871" t="str">
        <f>"300415"</f>
        <v>300415</v>
      </c>
      <c r="B1871" t="s">
        <v>2199</v>
      </c>
      <c r="C1871">
        <v>121.34</v>
      </c>
      <c r="D1871">
        <v>81.35</v>
      </c>
      <c r="E1871">
        <v>31.18</v>
      </c>
      <c r="F1871">
        <v>4.69</v>
      </c>
      <c r="G1871">
        <v>4.53</v>
      </c>
      <c r="H1871">
        <v>30362</v>
      </c>
      <c r="I1871">
        <v>4.02</v>
      </c>
      <c r="J1871">
        <v>16.68</v>
      </c>
      <c r="K1871" t="s">
        <v>493</v>
      </c>
    </row>
    <row r="1872" spans="1:11">
      <c r="A1872" t="str">
        <f>"300416"</f>
        <v>300416</v>
      </c>
      <c r="B1872" t="s">
        <v>2200</v>
      </c>
      <c r="C1872">
        <v>95.07</v>
      </c>
      <c r="D1872">
        <v>51.05</v>
      </c>
      <c r="E1872">
        <v>26.63</v>
      </c>
      <c r="F1872">
        <v>5.09</v>
      </c>
      <c r="G1872">
        <v>5.05</v>
      </c>
      <c r="H1872">
        <v>41960</v>
      </c>
      <c r="I1872">
        <v>3.59</v>
      </c>
      <c r="J1872">
        <v>45.77</v>
      </c>
      <c r="K1872" t="s">
        <v>1733</v>
      </c>
    </row>
    <row r="1873" spans="1:11">
      <c r="A1873" t="str">
        <f>"300417"</f>
        <v>300417</v>
      </c>
      <c r="B1873" t="s">
        <v>2201</v>
      </c>
      <c r="C1873">
        <v>12.1</v>
      </c>
      <c r="D1873">
        <v>5.34</v>
      </c>
      <c r="E1873">
        <v>4.59</v>
      </c>
      <c r="F1873">
        <v>1.35</v>
      </c>
      <c r="G1873">
        <v>0.88</v>
      </c>
      <c r="H1873">
        <v>11084</v>
      </c>
      <c r="I1873">
        <v>4.05</v>
      </c>
      <c r="J1873" t="s">
        <v>14</v>
      </c>
      <c r="K1873" t="s">
        <v>952</v>
      </c>
    </row>
    <row r="1874" spans="1:11">
      <c r="A1874" t="str">
        <f>"300418"</f>
        <v>300418</v>
      </c>
      <c r="B1874" t="s">
        <v>2202</v>
      </c>
      <c r="C1874">
        <v>785.31</v>
      </c>
      <c r="D1874">
        <v>206.41</v>
      </c>
      <c r="E1874">
        <v>140.43</v>
      </c>
      <c r="F1874">
        <v>12.55</v>
      </c>
      <c r="G1874">
        <v>12.54</v>
      </c>
      <c r="H1874">
        <v>162814</v>
      </c>
      <c r="I1874">
        <v>5.6</v>
      </c>
      <c r="J1874" t="s">
        <v>14</v>
      </c>
      <c r="K1874" t="s">
        <v>950</v>
      </c>
    </row>
    <row r="1875" spans="1:11">
      <c r="A1875" t="str">
        <f>"300419"</f>
        <v>300419</v>
      </c>
      <c r="B1875" t="s">
        <v>2203</v>
      </c>
      <c r="C1875">
        <v>24.01</v>
      </c>
      <c r="D1875">
        <v>6.63</v>
      </c>
      <c r="E1875">
        <v>4.32</v>
      </c>
      <c r="F1875">
        <v>3.68</v>
      </c>
      <c r="G1875">
        <v>3.68</v>
      </c>
      <c r="H1875">
        <v>19947</v>
      </c>
      <c r="I1875">
        <v>5.56</v>
      </c>
      <c r="J1875" t="s">
        <v>14</v>
      </c>
      <c r="K1875" t="s">
        <v>117</v>
      </c>
    </row>
    <row r="1876" spans="1:11">
      <c r="A1876" t="str">
        <f>"300420"</f>
        <v>300420</v>
      </c>
      <c r="B1876" t="s">
        <v>2204</v>
      </c>
      <c r="C1876">
        <v>48.78</v>
      </c>
      <c r="D1876">
        <v>31.39</v>
      </c>
      <c r="E1876">
        <v>23.62</v>
      </c>
      <c r="F1876">
        <v>11.16</v>
      </c>
      <c r="G1876">
        <v>11.16</v>
      </c>
      <c r="H1876">
        <v>34278</v>
      </c>
      <c r="I1876">
        <v>2.07</v>
      </c>
      <c r="J1876">
        <v>94.36</v>
      </c>
      <c r="K1876" t="s">
        <v>493</v>
      </c>
    </row>
    <row r="1877" spans="1:11">
      <c r="A1877" t="str">
        <f>"300421"</f>
        <v>300421</v>
      </c>
      <c r="B1877" t="s">
        <v>2205</v>
      </c>
      <c r="C1877">
        <v>74.61</v>
      </c>
      <c r="D1877">
        <v>19.67</v>
      </c>
      <c r="E1877">
        <v>12.69</v>
      </c>
      <c r="F1877">
        <v>2.94</v>
      </c>
      <c r="G1877">
        <v>2.3</v>
      </c>
      <c r="H1877">
        <v>54405</v>
      </c>
      <c r="I1877">
        <v>7.5</v>
      </c>
      <c r="J1877">
        <v>138.3</v>
      </c>
      <c r="K1877" t="s">
        <v>424</v>
      </c>
    </row>
    <row r="1878" spans="1:11">
      <c r="A1878" t="str">
        <f>"300422"</f>
        <v>300422</v>
      </c>
      <c r="B1878" t="s">
        <v>2206</v>
      </c>
      <c r="C1878">
        <v>24.55</v>
      </c>
      <c r="D1878">
        <v>93.29</v>
      </c>
      <c r="E1878">
        <v>11.08</v>
      </c>
      <c r="F1878">
        <v>5.34</v>
      </c>
      <c r="G1878">
        <v>5.11</v>
      </c>
      <c r="H1878">
        <v>20742</v>
      </c>
      <c r="I1878">
        <v>2.31</v>
      </c>
      <c r="J1878" t="s">
        <v>14</v>
      </c>
      <c r="K1878" t="s">
        <v>90</v>
      </c>
    </row>
    <row r="1879" spans="1:11">
      <c r="A1879" t="str">
        <f>"300423"</f>
        <v>300423</v>
      </c>
      <c r="B1879" t="s">
        <v>2207</v>
      </c>
      <c r="C1879">
        <v>30.84</v>
      </c>
      <c r="D1879">
        <v>27.09</v>
      </c>
      <c r="E1879">
        <v>13.48</v>
      </c>
      <c r="F1879">
        <v>4.98</v>
      </c>
      <c r="G1879">
        <v>3.33</v>
      </c>
      <c r="H1879">
        <v>22284</v>
      </c>
      <c r="I1879">
        <v>3.41</v>
      </c>
      <c r="J1879">
        <v>533.54</v>
      </c>
      <c r="K1879" t="s">
        <v>208</v>
      </c>
    </row>
    <row r="1880" spans="1:11">
      <c r="A1880" t="str">
        <f>"300424"</f>
        <v>300424</v>
      </c>
      <c r="B1880" t="s">
        <v>2208</v>
      </c>
      <c r="C1880">
        <v>46.75</v>
      </c>
      <c r="D1880">
        <v>25.64</v>
      </c>
      <c r="E1880">
        <v>7.9</v>
      </c>
      <c r="F1880">
        <v>2.45</v>
      </c>
      <c r="G1880">
        <v>2.45</v>
      </c>
      <c r="H1880">
        <v>35059</v>
      </c>
      <c r="I1880">
        <v>6.15</v>
      </c>
      <c r="J1880">
        <v>199.07</v>
      </c>
      <c r="K1880" t="s">
        <v>353</v>
      </c>
    </row>
    <row r="1881" spans="1:11">
      <c r="A1881" t="str">
        <f>"300425"</f>
        <v>300425</v>
      </c>
      <c r="B1881" t="s">
        <v>2209</v>
      </c>
      <c r="C1881">
        <v>34.43</v>
      </c>
      <c r="D1881">
        <v>45.07</v>
      </c>
      <c r="E1881">
        <v>23.51</v>
      </c>
      <c r="F1881">
        <v>6.82</v>
      </c>
      <c r="G1881">
        <v>6.79</v>
      </c>
      <c r="H1881">
        <v>19107</v>
      </c>
      <c r="I1881">
        <v>1.47</v>
      </c>
      <c r="J1881" t="s">
        <v>14</v>
      </c>
      <c r="K1881" t="s">
        <v>90</v>
      </c>
    </row>
    <row r="1882" spans="1:11">
      <c r="A1882" t="str">
        <f>"300426"</f>
        <v>300426</v>
      </c>
      <c r="B1882" t="s">
        <v>2210</v>
      </c>
      <c r="C1882">
        <v>36.52</v>
      </c>
      <c r="D1882">
        <v>17.19</v>
      </c>
      <c r="E1882">
        <v>1.47</v>
      </c>
      <c r="F1882">
        <v>4.5</v>
      </c>
      <c r="G1882">
        <v>4</v>
      </c>
      <c r="H1882">
        <v>16802</v>
      </c>
      <c r="I1882">
        <v>27.92</v>
      </c>
      <c r="J1882" t="s">
        <v>14</v>
      </c>
      <c r="K1882" t="s">
        <v>452</v>
      </c>
    </row>
    <row r="1883" spans="1:11">
      <c r="A1883" t="str">
        <f>"300427"</f>
        <v>300427</v>
      </c>
      <c r="B1883" t="s">
        <v>2211</v>
      </c>
      <c r="C1883">
        <v>79.27</v>
      </c>
      <c r="D1883">
        <v>17.48</v>
      </c>
      <c r="E1883">
        <v>12.8</v>
      </c>
      <c r="F1883">
        <v>5.09</v>
      </c>
      <c r="G1883">
        <v>5.03</v>
      </c>
      <c r="H1883">
        <v>71551</v>
      </c>
      <c r="I1883">
        <v>6.26</v>
      </c>
      <c r="J1883">
        <v>96.49</v>
      </c>
      <c r="K1883" t="s">
        <v>127</v>
      </c>
    </row>
    <row r="1884" spans="1:11">
      <c r="A1884" t="str">
        <f>"300428"</f>
        <v>300428</v>
      </c>
      <c r="B1884" t="s">
        <v>2212</v>
      </c>
      <c r="C1884">
        <v>142.92</v>
      </c>
      <c r="D1884">
        <v>234.23</v>
      </c>
      <c r="E1884">
        <v>78.92</v>
      </c>
      <c r="F1884">
        <v>6.86</v>
      </c>
      <c r="G1884">
        <v>5.97</v>
      </c>
      <c r="H1884">
        <v>30421</v>
      </c>
      <c r="I1884">
        <v>1.97</v>
      </c>
      <c r="J1884">
        <v>19.69</v>
      </c>
      <c r="K1884" t="s">
        <v>263</v>
      </c>
    </row>
    <row r="1885" spans="1:11">
      <c r="A1885" t="str">
        <f>"300429"</f>
        <v>300429</v>
      </c>
      <c r="B1885" t="s">
        <v>2213</v>
      </c>
      <c r="C1885">
        <v>62.78</v>
      </c>
      <c r="D1885">
        <v>34.28</v>
      </c>
      <c r="E1885">
        <v>18.58</v>
      </c>
      <c r="F1885">
        <v>5.36</v>
      </c>
      <c r="G1885">
        <v>3.99</v>
      </c>
      <c r="H1885">
        <v>54015</v>
      </c>
      <c r="I1885">
        <v>4.9</v>
      </c>
      <c r="J1885" t="s">
        <v>14</v>
      </c>
      <c r="K1885" t="s">
        <v>884</v>
      </c>
    </row>
    <row r="1886" spans="1:11">
      <c r="A1886" t="str">
        <f>"300430"</f>
        <v>300430</v>
      </c>
      <c r="B1886" t="s">
        <v>2214</v>
      </c>
      <c r="C1886">
        <v>66.08</v>
      </c>
      <c r="D1886">
        <v>37.69</v>
      </c>
      <c r="E1886">
        <v>22.88</v>
      </c>
      <c r="F1886">
        <v>2.73</v>
      </c>
      <c r="G1886">
        <v>2.6</v>
      </c>
      <c r="H1886">
        <v>32041</v>
      </c>
      <c r="I1886">
        <v>3.04</v>
      </c>
      <c r="J1886">
        <v>76.78</v>
      </c>
      <c r="K1886" t="s">
        <v>663</v>
      </c>
    </row>
    <row r="1887" spans="1:11">
      <c r="A1887" t="str">
        <f>"300432"</f>
        <v>300432</v>
      </c>
      <c r="B1887" t="s">
        <v>2215</v>
      </c>
      <c r="C1887">
        <v>340.99</v>
      </c>
      <c r="D1887">
        <v>136.09</v>
      </c>
      <c r="E1887">
        <v>45.89</v>
      </c>
      <c r="F1887">
        <v>17.1</v>
      </c>
      <c r="G1887">
        <v>16.91</v>
      </c>
      <c r="H1887">
        <v>121279</v>
      </c>
      <c r="I1887">
        <v>7.51</v>
      </c>
      <c r="J1887">
        <v>79.57</v>
      </c>
      <c r="K1887" t="s">
        <v>51</v>
      </c>
    </row>
    <row r="1888" spans="1:11">
      <c r="A1888" t="str">
        <f>"300433"</f>
        <v>300433</v>
      </c>
      <c r="B1888" t="s">
        <v>2216</v>
      </c>
      <c r="C1888">
        <v>1908.62</v>
      </c>
      <c r="D1888">
        <v>835.39</v>
      </c>
      <c r="E1888">
        <v>538.45</v>
      </c>
      <c r="F1888">
        <v>52.84</v>
      </c>
      <c r="G1888">
        <v>49.74</v>
      </c>
      <c r="H1888">
        <v>159895</v>
      </c>
      <c r="I1888">
        <v>3.77</v>
      </c>
      <c r="J1888">
        <v>53.49</v>
      </c>
      <c r="K1888" t="s">
        <v>41</v>
      </c>
    </row>
    <row r="1889" spans="1:11">
      <c r="A1889" t="str">
        <f>"300434"</f>
        <v>300434</v>
      </c>
      <c r="B1889" t="s">
        <v>2217</v>
      </c>
      <c r="C1889">
        <v>38.01</v>
      </c>
      <c r="D1889">
        <v>30.25</v>
      </c>
      <c r="E1889">
        <v>25.17</v>
      </c>
      <c r="F1889">
        <v>4.02</v>
      </c>
      <c r="G1889">
        <v>3.42</v>
      </c>
      <c r="H1889">
        <v>23183</v>
      </c>
      <c r="I1889">
        <v>1.77</v>
      </c>
      <c r="J1889">
        <v>34.59</v>
      </c>
      <c r="K1889" t="s">
        <v>109</v>
      </c>
    </row>
    <row r="1890" spans="1:11">
      <c r="A1890" t="str">
        <f>"300435"</f>
        <v>300435</v>
      </c>
      <c r="B1890" t="s">
        <v>2218</v>
      </c>
      <c r="C1890">
        <v>107.47</v>
      </c>
      <c r="D1890">
        <v>46.19</v>
      </c>
      <c r="E1890">
        <v>33.12</v>
      </c>
      <c r="F1890">
        <v>3.86</v>
      </c>
      <c r="G1890">
        <v>3.69</v>
      </c>
      <c r="H1890">
        <v>25061</v>
      </c>
      <c r="I1890">
        <v>3.39</v>
      </c>
      <c r="J1890">
        <v>25.12</v>
      </c>
      <c r="K1890" t="s">
        <v>136</v>
      </c>
    </row>
    <row r="1891" spans="1:11">
      <c r="A1891" t="str">
        <f>"300436"</f>
        <v>300436</v>
      </c>
      <c r="B1891" t="s">
        <v>2219</v>
      </c>
      <c r="C1891">
        <v>124.66</v>
      </c>
      <c r="D1891">
        <v>15.2</v>
      </c>
      <c r="E1891">
        <v>3.83</v>
      </c>
      <c r="F1891">
        <v>1.59</v>
      </c>
      <c r="G1891">
        <v>1.37</v>
      </c>
      <c r="H1891">
        <v>45797</v>
      </c>
      <c r="I1891">
        <v>37.91</v>
      </c>
      <c r="J1891" t="s">
        <v>14</v>
      </c>
      <c r="K1891" t="s">
        <v>109</v>
      </c>
    </row>
    <row r="1892" spans="1:11">
      <c r="A1892" t="str">
        <f>"300437"</f>
        <v>300437</v>
      </c>
      <c r="B1892" t="s">
        <v>2220</v>
      </c>
      <c r="C1892">
        <v>31.72</v>
      </c>
      <c r="D1892">
        <v>23.81</v>
      </c>
      <c r="E1892">
        <v>13.93</v>
      </c>
      <c r="F1892">
        <v>2.52</v>
      </c>
      <c r="G1892">
        <v>1.76</v>
      </c>
      <c r="H1892">
        <v>45827</v>
      </c>
      <c r="I1892">
        <v>3.27</v>
      </c>
      <c r="J1892" t="s">
        <v>14</v>
      </c>
      <c r="K1892" t="s">
        <v>90</v>
      </c>
    </row>
    <row r="1893" spans="1:11">
      <c r="A1893" t="str">
        <f>"300438"</f>
        <v>300438</v>
      </c>
      <c r="B1893" t="s">
        <v>2221</v>
      </c>
      <c r="C1893">
        <v>210.53</v>
      </c>
      <c r="D1893">
        <v>203.22</v>
      </c>
      <c r="E1893">
        <v>52.1</v>
      </c>
      <c r="F1893">
        <v>5.03</v>
      </c>
      <c r="G1893">
        <v>4.04</v>
      </c>
      <c r="H1893">
        <v>52173</v>
      </c>
      <c r="I1893">
        <v>5.03</v>
      </c>
      <c r="J1893">
        <v>171.67</v>
      </c>
      <c r="K1893" t="s">
        <v>70</v>
      </c>
    </row>
    <row r="1894" spans="1:11">
      <c r="A1894" t="str">
        <f>"300439"</f>
        <v>300439</v>
      </c>
      <c r="B1894" t="s">
        <v>2222</v>
      </c>
      <c r="C1894">
        <v>30.84</v>
      </c>
      <c r="D1894">
        <v>36.55</v>
      </c>
      <c r="E1894">
        <v>29.56</v>
      </c>
      <c r="F1894">
        <v>3.84</v>
      </c>
      <c r="G1894">
        <v>2.92</v>
      </c>
      <c r="H1894">
        <v>23895</v>
      </c>
      <c r="I1894">
        <v>1.37</v>
      </c>
      <c r="J1894">
        <v>50.24</v>
      </c>
      <c r="K1894" t="s">
        <v>775</v>
      </c>
    </row>
    <row r="1895" spans="1:11">
      <c r="A1895" t="str">
        <f>"300440"</f>
        <v>300440</v>
      </c>
      <c r="B1895" t="s">
        <v>2223</v>
      </c>
      <c r="C1895">
        <v>57.62</v>
      </c>
      <c r="D1895">
        <v>22.93</v>
      </c>
      <c r="E1895">
        <v>16.29</v>
      </c>
      <c r="F1895">
        <v>4.4</v>
      </c>
      <c r="G1895">
        <v>4.38</v>
      </c>
      <c r="H1895">
        <v>17305</v>
      </c>
      <c r="I1895">
        <v>3.59</v>
      </c>
      <c r="J1895">
        <v>108.27</v>
      </c>
      <c r="K1895" t="s">
        <v>117</v>
      </c>
    </row>
    <row r="1896" spans="1:11">
      <c r="A1896" t="str">
        <f>"300441"</f>
        <v>300441</v>
      </c>
      <c r="B1896" t="s">
        <v>2224</v>
      </c>
      <c r="C1896">
        <v>49.62</v>
      </c>
      <c r="D1896">
        <v>35.77</v>
      </c>
      <c r="E1896">
        <v>24.7</v>
      </c>
      <c r="F1896">
        <v>6.44</v>
      </c>
      <c r="G1896">
        <v>6.27</v>
      </c>
      <c r="H1896">
        <v>32532</v>
      </c>
      <c r="I1896">
        <v>2.07</v>
      </c>
      <c r="J1896">
        <v>23.79</v>
      </c>
      <c r="K1896" t="s">
        <v>203</v>
      </c>
    </row>
    <row r="1897" spans="1:11">
      <c r="A1897" t="str">
        <f>"300442"</f>
        <v>300442</v>
      </c>
      <c r="B1897" t="s">
        <v>2225</v>
      </c>
      <c r="C1897">
        <v>1477.1</v>
      </c>
      <c r="D1897">
        <v>420.37</v>
      </c>
      <c r="E1897">
        <v>135.45</v>
      </c>
      <c r="F1897">
        <v>16.34</v>
      </c>
      <c r="G1897">
        <v>16.28</v>
      </c>
      <c r="H1897">
        <v>95334</v>
      </c>
      <c r="I1897">
        <v>10.94</v>
      </c>
      <c r="J1897">
        <v>23.64</v>
      </c>
      <c r="K1897" t="s">
        <v>463</v>
      </c>
    </row>
    <row r="1898" spans="1:11">
      <c r="A1898" t="str">
        <f>"300443"</f>
        <v>300443</v>
      </c>
      <c r="B1898" t="s">
        <v>2226</v>
      </c>
      <c r="C1898">
        <v>71.04</v>
      </c>
      <c r="D1898">
        <v>69.82</v>
      </c>
      <c r="E1898">
        <v>62.99</v>
      </c>
      <c r="F1898">
        <v>3.2</v>
      </c>
      <c r="G1898">
        <v>2.43</v>
      </c>
      <c r="H1898">
        <v>27900</v>
      </c>
      <c r="I1898">
        <v>1.49</v>
      </c>
      <c r="J1898">
        <v>23.03</v>
      </c>
      <c r="K1898" t="s">
        <v>456</v>
      </c>
    </row>
    <row r="1899" spans="1:11">
      <c r="A1899" t="str">
        <f>"300444"</f>
        <v>300444</v>
      </c>
      <c r="B1899" t="s">
        <v>2227</v>
      </c>
      <c r="C1899">
        <v>84.83</v>
      </c>
      <c r="D1899">
        <v>84.05</v>
      </c>
      <c r="E1899">
        <v>17.81</v>
      </c>
      <c r="F1899">
        <v>7.99</v>
      </c>
      <c r="G1899">
        <v>6.21</v>
      </c>
      <c r="H1899">
        <v>39343</v>
      </c>
      <c r="I1899">
        <v>6.12</v>
      </c>
      <c r="J1899">
        <v>65.37</v>
      </c>
      <c r="K1899" t="s">
        <v>208</v>
      </c>
    </row>
    <row r="1900" spans="1:11">
      <c r="A1900" t="str">
        <f>"300445"</f>
        <v>300445</v>
      </c>
      <c r="B1900" t="s">
        <v>2228</v>
      </c>
      <c r="C1900">
        <v>36.44</v>
      </c>
      <c r="D1900">
        <v>14.03</v>
      </c>
      <c r="E1900">
        <v>12.71</v>
      </c>
      <c r="F1900">
        <v>2.12</v>
      </c>
      <c r="G1900">
        <v>1.42</v>
      </c>
      <c r="H1900">
        <v>18938</v>
      </c>
      <c r="I1900">
        <v>4.29</v>
      </c>
      <c r="J1900">
        <v>43.33</v>
      </c>
      <c r="K1900" t="s">
        <v>952</v>
      </c>
    </row>
    <row r="1901" spans="1:11">
      <c r="A1901" t="str">
        <f>"300446"</f>
        <v>300446</v>
      </c>
      <c r="B1901" t="s">
        <v>2229</v>
      </c>
      <c r="C1901">
        <v>99.48</v>
      </c>
      <c r="D1901">
        <v>109.62</v>
      </c>
      <c r="E1901">
        <v>56.67</v>
      </c>
      <c r="F1901">
        <v>8.45</v>
      </c>
      <c r="G1901">
        <v>3.74</v>
      </c>
      <c r="H1901">
        <v>40550</v>
      </c>
      <c r="I1901">
        <v>3.97</v>
      </c>
      <c r="J1901">
        <v>25.95</v>
      </c>
      <c r="K1901" t="s">
        <v>356</v>
      </c>
    </row>
    <row r="1902" spans="1:11">
      <c r="A1902" t="str">
        <f>"300447"</f>
        <v>300447</v>
      </c>
      <c r="B1902" t="s">
        <v>2230</v>
      </c>
      <c r="C1902">
        <v>43.46</v>
      </c>
      <c r="D1902">
        <v>25.53</v>
      </c>
      <c r="E1902">
        <v>19.99</v>
      </c>
      <c r="F1902">
        <v>3.12</v>
      </c>
      <c r="G1902">
        <v>2.01</v>
      </c>
      <c r="H1902">
        <v>22370</v>
      </c>
      <c r="I1902">
        <v>3.37</v>
      </c>
      <c r="J1902">
        <v>160.25</v>
      </c>
      <c r="K1902" t="s">
        <v>223</v>
      </c>
    </row>
    <row r="1903" spans="1:11">
      <c r="A1903" t="str">
        <f>"300448"</f>
        <v>300448</v>
      </c>
      <c r="B1903" t="s">
        <v>2231</v>
      </c>
      <c r="C1903">
        <v>58.41</v>
      </c>
      <c r="D1903">
        <v>13.01</v>
      </c>
      <c r="E1903">
        <v>12.27</v>
      </c>
      <c r="F1903">
        <v>6.77</v>
      </c>
      <c r="G1903">
        <v>6.43</v>
      </c>
      <c r="H1903">
        <v>39281</v>
      </c>
      <c r="I1903">
        <v>5.01</v>
      </c>
      <c r="J1903" t="s">
        <v>14</v>
      </c>
      <c r="K1903" t="s">
        <v>117</v>
      </c>
    </row>
    <row r="1904" spans="1:11">
      <c r="A1904" t="str">
        <f>"300449"</f>
        <v>300449</v>
      </c>
      <c r="B1904" t="s">
        <v>2232</v>
      </c>
      <c r="C1904">
        <v>30.03</v>
      </c>
      <c r="D1904">
        <v>4.68</v>
      </c>
      <c r="E1904">
        <v>3.1</v>
      </c>
      <c r="F1904">
        <v>3.86</v>
      </c>
      <c r="G1904">
        <v>3.86</v>
      </c>
      <c r="H1904">
        <v>20610</v>
      </c>
      <c r="I1904">
        <v>9.69</v>
      </c>
      <c r="J1904" t="s">
        <v>14</v>
      </c>
      <c r="K1904" t="s">
        <v>1022</v>
      </c>
    </row>
    <row r="1905" spans="1:11">
      <c r="A1905" t="str">
        <f>"300450"</f>
        <v>300450</v>
      </c>
      <c r="B1905" t="s">
        <v>2233</v>
      </c>
      <c r="C1905">
        <v>905.55</v>
      </c>
      <c r="D1905">
        <v>390.4</v>
      </c>
      <c r="E1905">
        <v>127.43</v>
      </c>
      <c r="F1905">
        <v>15.66</v>
      </c>
      <c r="G1905">
        <v>15.59</v>
      </c>
      <c r="H1905">
        <v>280890</v>
      </c>
      <c r="I1905">
        <v>7.14</v>
      </c>
      <c r="J1905">
        <v>57.5</v>
      </c>
      <c r="K1905" t="s">
        <v>1975</v>
      </c>
    </row>
    <row r="1906" spans="1:11">
      <c r="A1906" t="str">
        <f>"300451"</f>
        <v>300451</v>
      </c>
      <c r="B1906" t="s">
        <v>2234</v>
      </c>
      <c r="C1906">
        <v>101.22</v>
      </c>
      <c r="D1906">
        <v>54.88</v>
      </c>
      <c r="E1906">
        <v>43.06</v>
      </c>
      <c r="F1906">
        <v>15.49</v>
      </c>
      <c r="G1906">
        <v>15.27</v>
      </c>
      <c r="H1906">
        <v>64387</v>
      </c>
      <c r="I1906">
        <v>2.39</v>
      </c>
      <c r="J1906" t="s">
        <v>14</v>
      </c>
      <c r="K1906" t="s">
        <v>117</v>
      </c>
    </row>
    <row r="1907" spans="1:11">
      <c r="A1907" t="str">
        <f>"300452"</f>
        <v>300452</v>
      </c>
      <c r="B1907" t="s">
        <v>2235</v>
      </c>
      <c r="C1907">
        <v>27.89</v>
      </c>
      <c r="D1907">
        <v>16.26</v>
      </c>
      <c r="E1907">
        <v>9.63</v>
      </c>
      <c r="F1907">
        <v>2.34</v>
      </c>
      <c r="G1907">
        <v>1.99</v>
      </c>
      <c r="H1907">
        <v>19072</v>
      </c>
      <c r="I1907">
        <v>3.53</v>
      </c>
      <c r="J1907">
        <v>18.62</v>
      </c>
      <c r="K1907" t="s">
        <v>404</v>
      </c>
    </row>
    <row r="1908" spans="1:11">
      <c r="A1908" t="str">
        <f>"300453"</f>
        <v>300453</v>
      </c>
      <c r="B1908" t="s">
        <v>2236</v>
      </c>
      <c r="C1908">
        <v>34.04</v>
      </c>
      <c r="D1908">
        <v>23.1</v>
      </c>
      <c r="E1908">
        <v>13.81</v>
      </c>
      <c r="F1908">
        <v>5.22</v>
      </c>
      <c r="G1908">
        <v>3.6</v>
      </c>
      <c r="H1908">
        <v>23101</v>
      </c>
      <c r="I1908">
        <v>3.58</v>
      </c>
      <c r="J1908">
        <v>20.02</v>
      </c>
      <c r="K1908" t="s">
        <v>1173</v>
      </c>
    </row>
    <row r="1909" spans="1:11">
      <c r="A1909" t="str">
        <f>"300454"</f>
        <v>300454</v>
      </c>
      <c r="B1909" t="s">
        <v>2237</v>
      </c>
      <c r="C1909">
        <v>429.41</v>
      </c>
      <c r="D1909">
        <v>148.82</v>
      </c>
      <c r="E1909">
        <v>92.08</v>
      </c>
      <c r="F1909">
        <v>4.21</v>
      </c>
      <c r="G1909">
        <v>2.77</v>
      </c>
      <c r="H1909">
        <v>30893</v>
      </c>
      <c r="I1909">
        <v>7.18</v>
      </c>
      <c r="J1909" t="s">
        <v>14</v>
      </c>
      <c r="K1909" t="s">
        <v>17</v>
      </c>
    </row>
    <row r="1910" spans="1:11">
      <c r="A1910" t="str">
        <f>"300455"</f>
        <v>300455</v>
      </c>
      <c r="B1910" t="s">
        <v>2238</v>
      </c>
      <c r="C1910">
        <v>236.68</v>
      </c>
      <c r="D1910">
        <v>29.6</v>
      </c>
      <c r="E1910">
        <v>16.86</v>
      </c>
      <c r="F1910">
        <v>7.18</v>
      </c>
      <c r="G1910">
        <v>7.09</v>
      </c>
      <c r="H1910">
        <v>40434</v>
      </c>
      <c r="I1910">
        <v>14.22</v>
      </c>
      <c r="J1910" t="s">
        <v>14</v>
      </c>
      <c r="K1910" t="s">
        <v>88</v>
      </c>
    </row>
    <row r="1911" spans="1:11">
      <c r="A1911" t="str">
        <f>"300456"</f>
        <v>300456</v>
      </c>
      <c r="B1911" t="s">
        <v>2239</v>
      </c>
      <c r="C1911">
        <v>375.2</v>
      </c>
      <c r="D1911">
        <v>89.19</v>
      </c>
      <c r="E1911">
        <v>68.03</v>
      </c>
      <c r="F1911">
        <v>7.32</v>
      </c>
      <c r="G1911">
        <v>5.97</v>
      </c>
      <c r="H1911">
        <v>76168</v>
      </c>
      <c r="I1911">
        <v>6.76</v>
      </c>
      <c r="J1911">
        <v>21.89</v>
      </c>
      <c r="K1911" t="s">
        <v>2240</v>
      </c>
    </row>
    <row r="1912" spans="1:11">
      <c r="A1912" t="str">
        <f>"300457"</f>
        <v>300457</v>
      </c>
      <c r="B1912" t="s">
        <v>2241</v>
      </c>
      <c r="C1912">
        <v>185.04</v>
      </c>
      <c r="D1912">
        <v>180.27</v>
      </c>
      <c r="E1912">
        <v>65.73</v>
      </c>
      <c r="F1912">
        <v>6.45</v>
      </c>
      <c r="G1912">
        <v>6.34</v>
      </c>
      <c r="H1912">
        <v>62485</v>
      </c>
      <c r="I1912">
        <v>2.88</v>
      </c>
      <c r="J1912">
        <v>46.77</v>
      </c>
      <c r="K1912" t="s">
        <v>1975</v>
      </c>
    </row>
    <row r="1913" spans="1:11">
      <c r="A1913" t="str">
        <f>"300458"</f>
        <v>300458</v>
      </c>
      <c r="B1913" t="s">
        <v>2242</v>
      </c>
      <c r="C1913">
        <v>303.38</v>
      </c>
      <c r="D1913">
        <v>38.15</v>
      </c>
      <c r="E1913">
        <v>31.27</v>
      </c>
      <c r="F1913">
        <v>8.25</v>
      </c>
      <c r="G1913">
        <v>6.76</v>
      </c>
      <c r="H1913">
        <v>157302</v>
      </c>
      <c r="I1913">
        <v>11.85</v>
      </c>
      <c r="J1913">
        <v>99.83</v>
      </c>
      <c r="K1913" t="s">
        <v>691</v>
      </c>
    </row>
    <row r="1914" spans="1:11">
      <c r="A1914" t="str">
        <f>"300459"</f>
        <v>300459</v>
      </c>
      <c r="B1914" t="s">
        <v>2243</v>
      </c>
      <c r="C1914">
        <v>198.55</v>
      </c>
      <c r="D1914">
        <v>38.7</v>
      </c>
      <c r="E1914">
        <v>20.95</v>
      </c>
      <c r="F1914">
        <v>35.16</v>
      </c>
      <c r="G1914">
        <v>32.87</v>
      </c>
      <c r="H1914">
        <v>235524</v>
      </c>
      <c r="I1914">
        <v>10.13</v>
      </c>
      <c r="J1914" t="s">
        <v>14</v>
      </c>
      <c r="K1914" t="s">
        <v>950</v>
      </c>
    </row>
    <row r="1915" spans="1:11">
      <c r="A1915" t="str">
        <f>"300460"</f>
        <v>300460</v>
      </c>
      <c r="B1915" t="s">
        <v>2244</v>
      </c>
      <c r="C1915">
        <v>24.43</v>
      </c>
      <c r="D1915">
        <v>15.38</v>
      </c>
      <c r="E1915">
        <v>5.58</v>
      </c>
      <c r="F1915">
        <v>2.81</v>
      </c>
      <c r="G1915">
        <v>2.81</v>
      </c>
      <c r="H1915">
        <v>30807</v>
      </c>
      <c r="I1915">
        <v>4.38</v>
      </c>
      <c r="J1915" t="s">
        <v>14</v>
      </c>
      <c r="K1915" t="s">
        <v>310</v>
      </c>
    </row>
    <row r="1916" spans="1:11">
      <c r="A1916" t="str">
        <f>"300461"</f>
        <v>300461</v>
      </c>
      <c r="B1916" t="s">
        <v>2245</v>
      </c>
      <c r="C1916">
        <v>28.51</v>
      </c>
      <c r="D1916">
        <v>8.05</v>
      </c>
      <c r="E1916">
        <v>5.32</v>
      </c>
      <c r="F1916">
        <v>1.57</v>
      </c>
      <c r="G1916">
        <v>1.44</v>
      </c>
      <c r="H1916">
        <v>10785</v>
      </c>
      <c r="I1916">
        <v>5.86</v>
      </c>
      <c r="J1916">
        <v>495.02</v>
      </c>
      <c r="K1916" t="s">
        <v>663</v>
      </c>
    </row>
    <row r="1917" spans="1:11">
      <c r="A1917" t="str">
        <f>"300462"</f>
        <v>300462</v>
      </c>
      <c r="B1917" t="s">
        <v>2246</v>
      </c>
      <c r="C1917">
        <v>15.71</v>
      </c>
      <c r="D1917">
        <v>20.84</v>
      </c>
      <c r="E1917">
        <v>14.4</v>
      </c>
      <c r="F1917">
        <v>1.81</v>
      </c>
      <c r="G1917">
        <v>1.38</v>
      </c>
      <c r="H1917">
        <v>11702</v>
      </c>
      <c r="I1917">
        <v>1.44</v>
      </c>
      <c r="J1917" t="s">
        <v>14</v>
      </c>
      <c r="K1917" t="s">
        <v>88</v>
      </c>
    </row>
    <row r="1918" spans="1:11">
      <c r="A1918" t="str">
        <f>"300463"</f>
        <v>300463</v>
      </c>
      <c r="B1918" t="s">
        <v>2247</v>
      </c>
      <c r="C1918">
        <v>58.77</v>
      </c>
      <c r="D1918">
        <v>79.89</v>
      </c>
      <c r="E1918">
        <v>63.26</v>
      </c>
      <c r="F1918">
        <v>6.05</v>
      </c>
      <c r="G1918">
        <v>4.92</v>
      </c>
      <c r="H1918">
        <v>33893</v>
      </c>
      <c r="I1918">
        <v>1.14</v>
      </c>
      <c r="J1918">
        <v>146.06</v>
      </c>
      <c r="K1918" t="s">
        <v>775</v>
      </c>
    </row>
    <row r="1919" spans="1:11">
      <c r="A1919" t="str">
        <f>"300464"</f>
        <v>300464</v>
      </c>
      <c r="B1919" t="s">
        <v>2248</v>
      </c>
      <c r="C1919">
        <v>23.99</v>
      </c>
      <c r="D1919">
        <v>14.8</v>
      </c>
      <c r="E1919">
        <v>1.39</v>
      </c>
      <c r="F1919">
        <v>4.58</v>
      </c>
      <c r="G1919">
        <v>3.55</v>
      </c>
      <c r="H1919">
        <v>20152</v>
      </c>
      <c r="I1919">
        <v>22.28</v>
      </c>
      <c r="J1919">
        <v>860.93</v>
      </c>
      <c r="K1919" t="s">
        <v>1102</v>
      </c>
    </row>
    <row r="1920" spans="1:11">
      <c r="A1920" t="str">
        <f>"300465"</f>
        <v>300465</v>
      </c>
      <c r="B1920" t="s">
        <v>2249</v>
      </c>
      <c r="C1920">
        <v>98.73</v>
      </c>
      <c r="D1920">
        <v>12.32</v>
      </c>
      <c r="E1920">
        <v>6.71</v>
      </c>
      <c r="F1920">
        <v>4.44</v>
      </c>
      <c r="G1920">
        <v>4.44</v>
      </c>
      <c r="H1920">
        <v>49497</v>
      </c>
      <c r="I1920">
        <v>14.72</v>
      </c>
      <c r="J1920">
        <v>346.88</v>
      </c>
      <c r="K1920" t="s">
        <v>117</v>
      </c>
    </row>
    <row r="1921" spans="1:11">
      <c r="A1921" t="str">
        <f>"300466"</f>
        <v>300466</v>
      </c>
      <c r="B1921" t="s">
        <v>2250</v>
      </c>
      <c r="C1921">
        <v>47.58</v>
      </c>
      <c r="D1921">
        <v>12.72</v>
      </c>
      <c r="E1921">
        <v>7.21</v>
      </c>
      <c r="F1921">
        <v>5.36</v>
      </c>
      <c r="G1921">
        <v>4.49</v>
      </c>
      <c r="H1921">
        <v>29265</v>
      </c>
      <c r="I1921">
        <v>7.88</v>
      </c>
      <c r="J1921" t="s">
        <v>14</v>
      </c>
      <c r="K1921" t="s">
        <v>952</v>
      </c>
    </row>
    <row r="1922" spans="1:11">
      <c r="A1922" t="str">
        <f>"300467"</f>
        <v>300467</v>
      </c>
      <c r="B1922" t="s">
        <v>2251</v>
      </c>
      <c r="C1922">
        <v>57.07</v>
      </c>
      <c r="D1922">
        <v>8.96</v>
      </c>
      <c r="E1922">
        <v>6.38</v>
      </c>
      <c r="F1922">
        <v>2.03</v>
      </c>
      <c r="G1922">
        <v>1.69</v>
      </c>
      <c r="H1922">
        <v>17542</v>
      </c>
      <c r="I1922">
        <v>10.78</v>
      </c>
      <c r="J1922">
        <v>292.12</v>
      </c>
      <c r="K1922" t="s">
        <v>950</v>
      </c>
    </row>
    <row r="1923" spans="1:11">
      <c r="A1923" t="str">
        <f>"300468"</f>
        <v>300468</v>
      </c>
      <c r="B1923" t="s">
        <v>2252</v>
      </c>
      <c r="C1923">
        <v>203.33</v>
      </c>
      <c r="D1923">
        <v>17.47</v>
      </c>
      <c r="E1923">
        <v>16.46</v>
      </c>
      <c r="F1923">
        <v>5.31</v>
      </c>
      <c r="G1923">
        <v>5.3</v>
      </c>
      <c r="H1923">
        <v>116757</v>
      </c>
      <c r="I1923">
        <v>12.37</v>
      </c>
      <c r="J1923">
        <v>228.35</v>
      </c>
      <c r="K1923" t="s">
        <v>117</v>
      </c>
    </row>
    <row r="1924" spans="1:11">
      <c r="A1924" t="str">
        <f>"300469"</f>
        <v>300469</v>
      </c>
      <c r="B1924" t="s">
        <v>2253</v>
      </c>
      <c r="C1924">
        <v>169.54</v>
      </c>
      <c r="D1924">
        <v>11.88</v>
      </c>
      <c r="E1924">
        <v>3.81</v>
      </c>
      <c r="F1924">
        <v>2.48</v>
      </c>
      <c r="G1924">
        <v>2.48</v>
      </c>
      <c r="H1924">
        <v>23091</v>
      </c>
      <c r="I1924">
        <v>44.5</v>
      </c>
      <c r="J1924" t="s">
        <v>14</v>
      </c>
      <c r="K1924" t="s">
        <v>117</v>
      </c>
    </row>
    <row r="1925" spans="1:11">
      <c r="A1925" t="str">
        <f>"300470"</f>
        <v>300470</v>
      </c>
      <c r="B1925" t="s">
        <v>2254</v>
      </c>
      <c r="C1925">
        <v>75.61</v>
      </c>
      <c r="D1925">
        <v>34.61</v>
      </c>
      <c r="E1925">
        <v>27.8</v>
      </c>
      <c r="F1925">
        <v>2.08</v>
      </c>
      <c r="G1925">
        <v>1.97</v>
      </c>
      <c r="H1925">
        <v>18160</v>
      </c>
      <c r="I1925">
        <v>2.87</v>
      </c>
      <c r="J1925">
        <v>21.48</v>
      </c>
      <c r="K1925" t="s">
        <v>424</v>
      </c>
    </row>
    <row r="1926" spans="1:11">
      <c r="A1926" t="str">
        <f>"300471"</f>
        <v>300471</v>
      </c>
      <c r="B1926" t="s">
        <v>2255</v>
      </c>
      <c r="C1926">
        <v>49.56</v>
      </c>
      <c r="D1926">
        <v>28.59</v>
      </c>
      <c r="E1926">
        <v>15.58</v>
      </c>
      <c r="F1926">
        <v>4.7</v>
      </c>
      <c r="G1926">
        <v>3.67</v>
      </c>
      <c r="H1926">
        <v>31458</v>
      </c>
      <c r="I1926">
        <v>3.51</v>
      </c>
      <c r="J1926" t="s">
        <v>14</v>
      </c>
      <c r="K1926" t="s">
        <v>493</v>
      </c>
    </row>
    <row r="1927" spans="1:11">
      <c r="A1927" t="str">
        <f>"300472"</f>
        <v>300472</v>
      </c>
      <c r="B1927" t="s">
        <v>2256</v>
      </c>
      <c r="C1927">
        <v>20.21</v>
      </c>
      <c r="D1927">
        <v>9.83</v>
      </c>
      <c r="E1927">
        <v>-0.55</v>
      </c>
      <c r="F1927">
        <v>2.75</v>
      </c>
      <c r="G1927">
        <v>2.65</v>
      </c>
      <c r="H1927">
        <v>16519</v>
      </c>
      <c r="I1927">
        <v>-38.15</v>
      </c>
      <c r="J1927" t="s">
        <v>14</v>
      </c>
      <c r="K1927" t="s">
        <v>493</v>
      </c>
    </row>
    <row r="1928" spans="1:11">
      <c r="A1928" t="str">
        <f>"300473"</f>
        <v>300473</v>
      </c>
      <c r="B1928" t="s">
        <v>2257</v>
      </c>
      <c r="C1928">
        <v>47.75</v>
      </c>
      <c r="D1928">
        <v>41.39</v>
      </c>
      <c r="E1928">
        <v>17.04</v>
      </c>
      <c r="F1928">
        <v>1.7</v>
      </c>
      <c r="G1928">
        <v>1.51</v>
      </c>
      <c r="H1928">
        <v>25049</v>
      </c>
      <c r="I1928">
        <v>2.81</v>
      </c>
      <c r="J1928">
        <v>51.06</v>
      </c>
      <c r="K1928" t="s">
        <v>51</v>
      </c>
    </row>
    <row r="1929" spans="1:11">
      <c r="A1929" t="str">
        <f>"300474"</f>
        <v>300474</v>
      </c>
      <c r="B1929" t="s">
        <v>2258</v>
      </c>
      <c r="C1929">
        <v>312.13</v>
      </c>
      <c r="D1929">
        <v>77.75</v>
      </c>
      <c r="E1929">
        <v>69.72</v>
      </c>
      <c r="F1929">
        <v>5.23</v>
      </c>
      <c r="G1929">
        <v>4.06</v>
      </c>
      <c r="H1929">
        <v>93579</v>
      </c>
      <c r="I1929">
        <v>5.76</v>
      </c>
      <c r="J1929" t="s">
        <v>14</v>
      </c>
      <c r="K1929" t="s">
        <v>223</v>
      </c>
    </row>
    <row r="1930" spans="1:11">
      <c r="A1930" t="str">
        <f>"300475"</f>
        <v>300475</v>
      </c>
      <c r="B1930" t="s">
        <v>2259</v>
      </c>
      <c r="C1930">
        <v>728.29</v>
      </c>
      <c r="D1930">
        <v>93.54</v>
      </c>
      <c r="E1930">
        <v>33.84</v>
      </c>
      <c r="F1930">
        <v>4.65</v>
      </c>
      <c r="G1930">
        <v>4.45</v>
      </c>
      <c r="H1930">
        <v>58618</v>
      </c>
      <c r="I1930">
        <v>22.41</v>
      </c>
      <c r="J1930">
        <v>158.66</v>
      </c>
      <c r="K1930" t="s">
        <v>82</v>
      </c>
    </row>
    <row r="1931" spans="1:11">
      <c r="A1931" t="str">
        <f>"300476"</f>
        <v>300476</v>
      </c>
      <c r="B1931" t="s">
        <v>2260</v>
      </c>
      <c r="C1931">
        <v>2410.99</v>
      </c>
      <c r="D1931">
        <v>306.12</v>
      </c>
      <c r="E1931">
        <v>151.71</v>
      </c>
      <c r="F1931">
        <v>8.7</v>
      </c>
      <c r="G1931">
        <v>8.55</v>
      </c>
      <c r="H1931">
        <v>192202</v>
      </c>
      <c r="I1931">
        <v>16.03</v>
      </c>
      <c r="J1931">
        <v>56.71</v>
      </c>
      <c r="K1931" t="s">
        <v>472</v>
      </c>
    </row>
    <row r="1932" spans="1:11">
      <c r="A1932" t="str">
        <f>"300477"</f>
        <v>300477</v>
      </c>
      <c r="B1932" t="s">
        <v>2261</v>
      </c>
      <c r="C1932">
        <v>28.34</v>
      </c>
      <c r="D1932">
        <v>48.68</v>
      </c>
      <c r="E1932">
        <v>9.86</v>
      </c>
      <c r="F1932">
        <v>10.72</v>
      </c>
      <c r="G1932">
        <v>9.91</v>
      </c>
      <c r="H1932">
        <v>42195</v>
      </c>
      <c r="I1932">
        <v>3.11</v>
      </c>
      <c r="J1932" t="s">
        <v>14</v>
      </c>
      <c r="K1932" t="s">
        <v>943</v>
      </c>
    </row>
    <row r="1933" spans="1:11">
      <c r="A1933" t="str">
        <f>"300478"</f>
        <v>300478</v>
      </c>
      <c r="B1933" t="s">
        <v>2262</v>
      </c>
      <c r="C1933">
        <v>34.11</v>
      </c>
      <c r="D1933">
        <v>3.92</v>
      </c>
      <c r="E1933">
        <v>0.51</v>
      </c>
      <c r="F1933">
        <v>1.27</v>
      </c>
      <c r="G1933">
        <v>1.27</v>
      </c>
      <c r="H1933">
        <v>8996</v>
      </c>
      <c r="I1933">
        <v>66.49</v>
      </c>
      <c r="J1933" t="s">
        <v>14</v>
      </c>
      <c r="K1933" t="s">
        <v>1113</v>
      </c>
    </row>
    <row r="1934" spans="1:11">
      <c r="A1934" t="str">
        <f>"300479"</f>
        <v>300479</v>
      </c>
      <c r="B1934" t="s">
        <v>2263</v>
      </c>
      <c r="C1934">
        <v>40.69</v>
      </c>
      <c r="D1934">
        <v>10.34</v>
      </c>
      <c r="E1934">
        <v>4.4</v>
      </c>
      <c r="F1934">
        <v>1.97</v>
      </c>
      <c r="G1934">
        <v>1.97</v>
      </c>
      <c r="H1934">
        <v>26744</v>
      </c>
      <c r="I1934">
        <v>9.26</v>
      </c>
      <c r="J1934" t="s">
        <v>14</v>
      </c>
      <c r="K1934" t="s">
        <v>88</v>
      </c>
    </row>
    <row r="1935" spans="1:11">
      <c r="A1935" t="str">
        <f>"300480"</f>
        <v>300480</v>
      </c>
      <c r="B1935" t="s">
        <v>2264</v>
      </c>
      <c r="C1935">
        <v>45.6</v>
      </c>
      <c r="D1935">
        <v>19.64</v>
      </c>
      <c r="E1935">
        <v>13.09</v>
      </c>
      <c r="F1935">
        <v>3.53</v>
      </c>
      <c r="G1935">
        <v>2.48</v>
      </c>
      <c r="H1935">
        <v>25000</v>
      </c>
      <c r="I1935">
        <v>5.07</v>
      </c>
      <c r="J1935">
        <v>133.47</v>
      </c>
      <c r="K1935" t="s">
        <v>491</v>
      </c>
    </row>
    <row r="1936" spans="1:11">
      <c r="A1936" t="str">
        <f>"300481"</f>
        <v>300481</v>
      </c>
      <c r="B1936" t="s">
        <v>2265</v>
      </c>
      <c r="C1936">
        <v>47.4</v>
      </c>
      <c r="D1936">
        <v>29.93</v>
      </c>
      <c r="E1936">
        <v>24.04</v>
      </c>
      <c r="F1936">
        <v>2.92</v>
      </c>
      <c r="G1936">
        <v>2.9</v>
      </c>
      <c r="H1936">
        <v>23000</v>
      </c>
      <c r="I1936">
        <v>1.98</v>
      </c>
      <c r="J1936">
        <v>32.92</v>
      </c>
      <c r="K1936" t="s">
        <v>1201</v>
      </c>
    </row>
    <row r="1937" spans="1:11">
      <c r="A1937" t="str">
        <f>"300482"</f>
        <v>300482</v>
      </c>
      <c r="B1937" t="s">
        <v>2266</v>
      </c>
      <c r="C1937">
        <v>92.11</v>
      </c>
      <c r="D1937">
        <v>66.53</v>
      </c>
      <c r="E1937">
        <v>55</v>
      </c>
      <c r="F1937">
        <v>4.68</v>
      </c>
      <c r="G1937">
        <v>4.3</v>
      </c>
      <c r="H1937">
        <v>42360</v>
      </c>
      <c r="I1937">
        <v>1.86</v>
      </c>
      <c r="J1937">
        <v>56.17</v>
      </c>
      <c r="K1937" t="s">
        <v>2179</v>
      </c>
    </row>
    <row r="1938" spans="1:11">
      <c r="A1938" t="str">
        <f>"300483"</f>
        <v>300483</v>
      </c>
      <c r="B1938" t="s">
        <v>2267</v>
      </c>
      <c r="C1938">
        <v>46.83</v>
      </c>
      <c r="D1938">
        <v>81.64</v>
      </c>
      <c r="E1938">
        <v>20.54</v>
      </c>
      <c r="F1938">
        <v>2.9</v>
      </c>
      <c r="G1938">
        <v>2.9</v>
      </c>
      <c r="H1938">
        <v>19629</v>
      </c>
      <c r="I1938">
        <v>2.3</v>
      </c>
      <c r="J1938" t="s">
        <v>14</v>
      </c>
      <c r="K1938" t="s">
        <v>588</v>
      </c>
    </row>
    <row r="1939" spans="1:11">
      <c r="A1939" t="str">
        <f>"300484"</f>
        <v>300484</v>
      </c>
      <c r="B1939" t="s">
        <v>2268</v>
      </c>
      <c r="C1939">
        <v>33.24</v>
      </c>
      <c r="D1939">
        <v>9.52</v>
      </c>
      <c r="E1939">
        <v>6.75</v>
      </c>
      <c r="F1939">
        <v>2.07</v>
      </c>
      <c r="G1939">
        <v>1.66</v>
      </c>
      <c r="H1939">
        <v>35899</v>
      </c>
      <c r="I1939">
        <v>6.13</v>
      </c>
      <c r="J1939">
        <v>65.65</v>
      </c>
      <c r="K1939" t="s">
        <v>663</v>
      </c>
    </row>
    <row r="1940" spans="1:11">
      <c r="A1940" t="str">
        <f>"300485"</f>
        <v>300485</v>
      </c>
      <c r="B1940" t="s">
        <v>2269</v>
      </c>
      <c r="C1940">
        <v>32.47</v>
      </c>
      <c r="D1940">
        <v>36.05</v>
      </c>
      <c r="E1940">
        <v>34.09</v>
      </c>
      <c r="F1940">
        <v>4.82</v>
      </c>
      <c r="G1940">
        <v>2.74</v>
      </c>
      <c r="H1940">
        <v>33621</v>
      </c>
      <c r="I1940">
        <v>1.68</v>
      </c>
      <c r="J1940">
        <v>82.62</v>
      </c>
      <c r="K1940" t="s">
        <v>2270</v>
      </c>
    </row>
    <row r="1941" spans="1:11">
      <c r="A1941" t="str">
        <f>"300486"</f>
        <v>300486</v>
      </c>
      <c r="B1941" t="s">
        <v>2271</v>
      </c>
      <c r="C1941">
        <v>101.6</v>
      </c>
      <c r="D1941">
        <v>29.11</v>
      </c>
      <c r="E1941">
        <v>16.76</v>
      </c>
      <c r="F1941">
        <v>4.77</v>
      </c>
      <c r="G1941">
        <v>4.77</v>
      </c>
      <c r="H1941">
        <v>29578</v>
      </c>
      <c r="I1941">
        <v>6.06</v>
      </c>
      <c r="J1941">
        <v>912.56</v>
      </c>
      <c r="K1941" t="s">
        <v>493</v>
      </c>
    </row>
    <row r="1942" spans="1:11">
      <c r="A1942" t="str">
        <f>"300487"</f>
        <v>300487</v>
      </c>
      <c r="B1942" t="s">
        <v>2272</v>
      </c>
      <c r="C1942">
        <v>220.16</v>
      </c>
      <c r="D1942">
        <v>64.14</v>
      </c>
      <c r="E1942">
        <v>41.83</v>
      </c>
      <c r="F1942">
        <v>5.08</v>
      </c>
      <c r="G1942">
        <v>3.07</v>
      </c>
      <c r="H1942">
        <v>17239</v>
      </c>
      <c r="I1942">
        <v>9.1</v>
      </c>
      <c r="J1942">
        <v>41.95</v>
      </c>
      <c r="K1942" t="s">
        <v>601</v>
      </c>
    </row>
    <row r="1943" spans="1:11">
      <c r="A1943" t="str">
        <f>"300488"</f>
        <v>300488</v>
      </c>
      <c r="B1943" t="s">
        <v>2273</v>
      </c>
      <c r="C1943">
        <v>47.43</v>
      </c>
      <c r="D1943">
        <v>23.16</v>
      </c>
      <c r="E1943">
        <v>17.05</v>
      </c>
      <c r="F1943">
        <v>1.73</v>
      </c>
      <c r="G1943">
        <v>1.44</v>
      </c>
      <c r="H1943">
        <v>14347</v>
      </c>
      <c r="I1943">
        <v>3.49</v>
      </c>
      <c r="J1943">
        <v>37.42</v>
      </c>
      <c r="K1943" t="s">
        <v>63</v>
      </c>
    </row>
    <row r="1944" spans="1:11">
      <c r="A1944" t="str">
        <f>"300489"</f>
        <v>300489</v>
      </c>
      <c r="B1944" t="s">
        <v>2274</v>
      </c>
      <c r="C1944">
        <v>62.57</v>
      </c>
      <c r="D1944">
        <v>43.55</v>
      </c>
      <c r="E1944">
        <v>6.33</v>
      </c>
      <c r="F1944">
        <v>1.38</v>
      </c>
      <c r="G1944">
        <v>1.37</v>
      </c>
      <c r="H1944">
        <v>19000</v>
      </c>
      <c r="I1944">
        <v>9.92</v>
      </c>
      <c r="J1944" t="s">
        <v>14</v>
      </c>
      <c r="K1944" t="s">
        <v>604</v>
      </c>
    </row>
    <row r="1945" spans="1:11">
      <c r="A1945" t="str">
        <f>"300490"</f>
        <v>300490</v>
      </c>
      <c r="B1945" t="s">
        <v>2275</v>
      </c>
      <c r="C1945">
        <v>51.52</v>
      </c>
      <c r="D1945">
        <v>70.01</v>
      </c>
      <c r="E1945">
        <v>22.04</v>
      </c>
      <c r="F1945">
        <v>3.99</v>
      </c>
      <c r="G1945">
        <v>3.93</v>
      </c>
      <c r="H1945">
        <v>38407</v>
      </c>
      <c r="I1945">
        <v>2.37</v>
      </c>
      <c r="J1945" t="s">
        <v>14</v>
      </c>
      <c r="K1945" t="s">
        <v>1975</v>
      </c>
    </row>
    <row r="1946" spans="1:11">
      <c r="A1946" t="str">
        <f>"300491"</f>
        <v>300491</v>
      </c>
      <c r="B1946" t="s">
        <v>2276</v>
      </c>
      <c r="C1946">
        <v>44.18</v>
      </c>
      <c r="D1946">
        <v>22.91</v>
      </c>
      <c r="E1946">
        <v>11.77</v>
      </c>
      <c r="F1946">
        <v>1.76</v>
      </c>
      <c r="G1946">
        <v>1.56</v>
      </c>
      <c r="H1946">
        <v>22343</v>
      </c>
      <c r="I1946">
        <v>4.22</v>
      </c>
      <c r="J1946">
        <v>182.57</v>
      </c>
      <c r="K1946" t="s">
        <v>1010</v>
      </c>
    </row>
    <row r="1947" spans="1:11">
      <c r="A1947" t="str">
        <f>"300492"</f>
        <v>300492</v>
      </c>
      <c r="B1947" t="s">
        <v>2277</v>
      </c>
      <c r="C1947">
        <v>178.98</v>
      </c>
      <c r="D1947">
        <v>24.18</v>
      </c>
      <c r="E1947">
        <v>3.97</v>
      </c>
      <c r="F1947">
        <v>1.97</v>
      </c>
      <c r="G1947">
        <v>1.97</v>
      </c>
      <c r="H1947">
        <v>6351</v>
      </c>
      <c r="I1947">
        <v>45.07</v>
      </c>
      <c r="J1947">
        <v>53.88</v>
      </c>
      <c r="K1947" t="s">
        <v>198</v>
      </c>
    </row>
    <row r="1948" spans="1:11">
      <c r="A1948" t="str">
        <f>"300493"</f>
        <v>300493</v>
      </c>
      <c r="B1948" t="s">
        <v>2278</v>
      </c>
      <c r="C1948">
        <v>112.76</v>
      </c>
      <c r="D1948">
        <v>20.66</v>
      </c>
      <c r="E1948">
        <v>11.64</v>
      </c>
      <c r="F1948">
        <v>5.13</v>
      </c>
      <c r="G1948">
        <v>5.07</v>
      </c>
      <c r="H1948">
        <v>74691</v>
      </c>
      <c r="I1948">
        <v>9.81</v>
      </c>
      <c r="J1948">
        <v>185.72</v>
      </c>
      <c r="K1948" t="s">
        <v>82</v>
      </c>
    </row>
    <row r="1949" spans="1:11">
      <c r="A1949" t="str">
        <f>"300494"</f>
        <v>300494</v>
      </c>
      <c r="B1949" t="s">
        <v>2279</v>
      </c>
      <c r="C1949">
        <v>58.08</v>
      </c>
      <c r="D1949">
        <v>15.77</v>
      </c>
      <c r="E1949">
        <v>14.4</v>
      </c>
      <c r="F1949">
        <v>4.91</v>
      </c>
      <c r="G1949">
        <v>3.98</v>
      </c>
      <c r="H1949">
        <v>48743</v>
      </c>
      <c r="I1949">
        <v>4.97</v>
      </c>
      <c r="J1949">
        <v>174.68</v>
      </c>
      <c r="K1949" t="s">
        <v>950</v>
      </c>
    </row>
    <row r="1950" spans="1:11">
      <c r="A1950" t="str">
        <f>"300496"</f>
        <v>300496</v>
      </c>
      <c r="B1950" t="s">
        <v>2280</v>
      </c>
      <c r="C1950">
        <v>306.72</v>
      </c>
      <c r="D1950">
        <v>131.94</v>
      </c>
      <c r="E1950">
        <v>100.73</v>
      </c>
      <c r="F1950">
        <v>4.6</v>
      </c>
      <c r="G1950">
        <v>3.68</v>
      </c>
      <c r="H1950">
        <v>101163</v>
      </c>
      <c r="I1950">
        <v>3.81</v>
      </c>
      <c r="J1950">
        <v>125.56</v>
      </c>
      <c r="K1950" t="s">
        <v>117</v>
      </c>
    </row>
    <row r="1951" spans="1:11">
      <c r="A1951" t="str">
        <f>"300497"</f>
        <v>300497</v>
      </c>
      <c r="B1951" t="s">
        <v>2281</v>
      </c>
      <c r="C1951">
        <v>70.62</v>
      </c>
      <c r="D1951">
        <v>44.38</v>
      </c>
      <c r="E1951">
        <v>21.49</v>
      </c>
      <c r="F1951">
        <v>5.39</v>
      </c>
      <c r="G1951">
        <v>4.41</v>
      </c>
      <c r="H1951">
        <v>20651</v>
      </c>
      <c r="I1951">
        <v>4.02</v>
      </c>
      <c r="J1951" t="s">
        <v>14</v>
      </c>
      <c r="K1951" t="s">
        <v>404</v>
      </c>
    </row>
    <row r="1952" spans="1:11">
      <c r="A1952" t="str">
        <f>"300498"</f>
        <v>300498</v>
      </c>
      <c r="B1952" t="s">
        <v>2282</v>
      </c>
      <c r="C1952">
        <v>1005.38</v>
      </c>
      <c r="D1952">
        <v>922.76</v>
      </c>
      <c r="E1952">
        <v>438.63</v>
      </c>
      <c r="F1952">
        <v>66.54</v>
      </c>
      <c r="G1952">
        <v>59.53</v>
      </c>
      <c r="H1952">
        <v>81077</v>
      </c>
      <c r="I1952">
        <v>2.61</v>
      </c>
      <c r="J1952">
        <v>16.04</v>
      </c>
      <c r="K1952" t="s">
        <v>68</v>
      </c>
    </row>
    <row r="1953" spans="1:11">
      <c r="A1953" t="str">
        <f>"300499"</f>
        <v>300499</v>
      </c>
      <c r="B1953" t="s">
        <v>2283</v>
      </c>
      <c r="C1953">
        <v>90.08</v>
      </c>
      <c r="D1953">
        <v>21.3</v>
      </c>
      <c r="E1953">
        <v>13.84</v>
      </c>
      <c r="F1953">
        <v>3.05</v>
      </c>
      <c r="G1953">
        <v>2.71</v>
      </c>
      <c r="H1953">
        <v>60405</v>
      </c>
      <c r="I1953">
        <v>7.32</v>
      </c>
      <c r="J1953">
        <v>221.95</v>
      </c>
      <c r="K1953" t="s">
        <v>493</v>
      </c>
    </row>
    <row r="1954" spans="1:11">
      <c r="A1954" t="str">
        <f>"300500"</f>
        <v>300500</v>
      </c>
      <c r="B1954" t="s">
        <v>2284</v>
      </c>
      <c r="C1954">
        <v>21.34</v>
      </c>
      <c r="D1954">
        <v>26.55</v>
      </c>
      <c r="E1954">
        <v>11.11</v>
      </c>
      <c r="F1954">
        <v>1.74</v>
      </c>
      <c r="G1954">
        <v>1.68</v>
      </c>
      <c r="H1954">
        <v>15064</v>
      </c>
      <c r="I1954">
        <v>1.99</v>
      </c>
      <c r="J1954">
        <v>38.1</v>
      </c>
      <c r="K1954" t="s">
        <v>428</v>
      </c>
    </row>
    <row r="1955" spans="1:11">
      <c r="A1955" t="str">
        <f>"300501"</f>
        <v>300501</v>
      </c>
      <c r="B1955" t="s">
        <v>2285</v>
      </c>
      <c r="C1955">
        <v>16.13</v>
      </c>
      <c r="D1955">
        <v>28.67</v>
      </c>
      <c r="E1955">
        <v>16.69</v>
      </c>
      <c r="F1955">
        <v>1.94</v>
      </c>
      <c r="G1955">
        <v>1.01</v>
      </c>
      <c r="H1955">
        <v>13499</v>
      </c>
      <c r="I1955">
        <v>2.05</v>
      </c>
      <c r="J1955">
        <v>47.75</v>
      </c>
      <c r="K1955" t="s">
        <v>1030</v>
      </c>
    </row>
    <row r="1956" spans="1:11">
      <c r="A1956" t="str">
        <f>"300502"</f>
        <v>300502</v>
      </c>
      <c r="B1956" t="s">
        <v>2286</v>
      </c>
      <c r="C1956">
        <v>3399.74</v>
      </c>
      <c r="D1956">
        <v>213.56</v>
      </c>
      <c r="E1956">
        <v>145.24</v>
      </c>
      <c r="F1956">
        <v>9.94</v>
      </c>
      <c r="G1956">
        <v>8.85</v>
      </c>
      <c r="H1956">
        <v>155317</v>
      </c>
      <c r="I1956">
        <v>26.28</v>
      </c>
      <c r="J1956">
        <v>45.24</v>
      </c>
      <c r="K1956" t="s">
        <v>972</v>
      </c>
    </row>
    <row r="1957" spans="1:11">
      <c r="A1957" t="str">
        <f>"300503"</f>
        <v>300503</v>
      </c>
      <c r="B1957" t="s">
        <v>2287</v>
      </c>
      <c r="C1957">
        <v>148.06</v>
      </c>
      <c r="D1957">
        <v>30.67</v>
      </c>
      <c r="E1957">
        <v>13.44</v>
      </c>
      <c r="F1957">
        <v>3.08</v>
      </c>
      <c r="G1957">
        <v>2.41</v>
      </c>
      <c r="H1957">
        <v>41126</v>
      </c>
      <c r="I1957">
        <v>14.09</v>
      </c>
      <c r="J1957">
        <v>116.82</v>
      </c>
      <c r="K1957" t="s">
        <v>424</v>
      </c>
    </row>
    <row r="1958" spans="1:11">
      <c r="A1958" t="str">
        <f>"300504"</f>
        <v>300504</v>
      </c>
      <c r="B1958" t="s">
        <v>2288</v>
      </c>
      <c r="C1958">
        <v>34</v>
      </c>
      <c r="D1958">
        <v>24.85</v>
      </c>
      <c r="E1958">
        <v>21.2</v>
      </c>
      <c r="F1958">
        <v>2.71</v>
      </c>
      <c r="G1958">
        <v>2.18</v>
      </c>
      <c r="H1958">
        <v>22280</v>
      </c>
      <c r="I1958">
        <v>1.99</v>
      </c>
      <c r="J1958" t="s">
        <v>14</v>
      </c>
      <c r="K1958" t="s">
        <v>770</v>
      </c>
    </row>
    <row r="1959" spans="1:11">
      <c r="A1959" t="str">
        <f>"300505"</f>
        <v>300505</v>
      </c>
      <c r="B1959" t="s">
        <v>2289</v>
      </c>
      <c r="C1959">
        <v>57.64</v>
      </c>
      <c r="D1959">
        <v>38.36</v>
      </c>
      <c r="E1959">
        <v>27.65</v>
      </c>
      <c r="F1959">
        <v>2.75</v>
      </c>
      <c r="G1959">
        <v>2.17</v>
      </c>
      <c r="H1959">
        <v>32289</v>
      </c>
      <c r="I1959">
        <v>2.64</v>
      </c>
      <c r="J1959">
        <v>17.96</v>
      </c>
      <c r="K1959" t="s">
        <v>153</v>
      </c>
    </row>
    <row r="1960" spans="1:11">
      <c r="A1960" t="str">
        <f>"300506"</f>
        <v>300506</v>
      </c>
      <c r="B1960" t="s">
        <v>2290</v>
      </c>
      <c r="C1960">
        <v>31.08</v>
      </c>
      <c r="D1960">
        <v>6.65</v>
      </c>
      <c r="E1960">
        <v>-0.17</v>
      </c>
      <c r="F1960">
        <v>14.26</v>
      </c>
      <c r="G1960">
        <v>7.35</v>
      </c>
      <c r="H1960">
        <v>15000</v>
      </c>
      <c r="I1960">
        <v>-176.25</v>
      </c>
      <c r="J1960" t="s">
        <v>14</v>
      </c>
      <c r="K1960" t="s">
        <v>804</v>
      </c>
    </row>
    <row r="1961" spans="1:11">
      <c r="A1961" t="str">
        <f>"300507"</f>
        <v>300507</v>
      </c>
      <c r="B1961" t="s">
        <v>2291</v>
      </c>
      <c r="C1961">
        <v>75.25</v>
      </c>
      <c r="D1961">
        <v>39.79</v>
      </c>
      <c r="E1961">
        <v>21.18</v>
      </c>
      <c r="F1961">
        <v>8.01</v>
      </c>
      <c r="G1961">
        <v>7.75</v>
      </c>
      <c r="H1961">
        <v>46019</v>
      </c>
      <c r="I1961">
        <v>3.67</v>
      </c>
      <c r="J1961">
        <v>67.96</v>
      </c>
      <c r="K1961" t="s">
        <v>51</v>
      </c>
    </row>
    <row r="1962" spans="1:11">
      <c r="A1962" t="str">
        <f>"300508"</f>
        <v>300508</v>
      </c>
      <c r="B1962" t="s">
        <v>2292</v>
      </c>
      <c r="C1962">
        <v>33.65</v>
      </c>
      <c r="D1962">
        <v>10.66</v>
      </c>
      <c r="E1962">
        <v>8.46</v>
      </c>
      <c r="F1962">
        <v>1.09</v>
      </c>
      <c r="G1962">
        <v>0.82</v>
      </c>
      <c r="H1962">
        <v>13530</v>
      </c>
      <c r="I1962">
        <v>5.28</v>
      </c>
      <c r="J1962">
        <v>44.86</v>
      </c>
      <c r="K1962" t="s">
        <v>117</v>
      </c>
    </row>
    <row r="1963" spans="1:11">
      <c r="A1963" t="str">
        <f>"300509"</f>
        <v>300509</v>
      </c>
      <c r="B1963" t="s">
        <v>2293</v>
      </c>
      <c r="C1963">
        <v>37.44</v>
      </c>
      <c r="D1963">
        <v>25.84</v>
      </c>
      <c r="E1963">
        <v>6.18</v>
      </c>
      <c r="F1963">
        <v>2.96</v>
      </c>
      <c r="G1963">
        <v>2.47</v>
      </c>
      <c r="H1963">
        <v>12170</v>
      </c>
      <c r="I1963">
        <v>7.27</v>
      </c>
      <c r="J1963">
        <v>42.37</v>
      </c>
      <c r="K1963" t="s">
        <v>657</v>
      </c>
    </row>
    <row r="1964" spans="1:11">
      <c r="A1964" t="str">
        <f>"300510"</f>
        <v>300510</v>
      </c>
      <c r="B1964" t="s">
        <v>2294</v>
      </c>
      <c r="C1964">
        <v>37.28</v>
      </c>
      <c r="D1964">
        <v>31.02</v>
      </c>
      <c r="E1964">
        <v>22.17</v>
      </c>
      <c r="F1964">
        <v>8.25</v>
      </c>
      <c r="G1964">
        <v>8.25</v>
      </c>
      <c r="H1964">
        <v>36058</v>
      </c>
      <c r="I1964">
        <v>1.68</v>
      </c>
      <c r="J1964" t="s">
        <v>14</v>
      </c>
      <c r="K1964" t="s">
        <v>127</v>
      </c>
    </row>
    <row r="1965" spans="1:11">
      <c r="A1965" t="str">
        <f>"300511"</f>
        <v>300511</v>
      </c>
      <c r="B1965" t="s">
        <v>2295</v>
      </c>
      <c r="C1965">
        <v>35</v>
      </c>
      <c r="D1965">
        <v>36.01</v>
      </c>
      <c r="E1965">
        <v>14.57</v>
      </c>
      <c r="F1965">
        <v>6.41</v>
      </c>
      <c r="G1965">
        <v>5.6</v>
      </c>
      <c r="H1965">
        <v>28647</v>
      </c>
      <c r="I1965">
        <v>2.7</v>
      </c>
      <c r="J1965" t="s">
        <v>14</v>
      </c>
      <c r="K1965" t="s">
        <v>1549</v>
      </c>
    </row>
    <row r="1966" spans="1:11">
      <c r="A1966" t="str">
        <f>"300512"</f>
        <v>300512</v>
      </c>
      <c r="B1966" t="s">
        <v>2296</v>
      </c>
      <c r="C1966">
        <v>30.87</v>
      </c>
      <c r="D1966">
        <v>26.79</v>
      </c>
      <c r="E1966">
        <v>16.23</v>
      </c>
      <c r="F1966">
        <v>4.09</v>
      </c>
      <c r="G1966">
        <v>3.24</v>
      </c>
      <c r="H1966">
        <v>13028</v>
      </c>
      <c r="I1966">
        <v>2.39</v>
      </c>
      <c r="J1966">
        <v>64.19</v>
      </c>
      <c r="K1966" t="s">
        <v>657</v>
      </c>
    </row>
    <row r="1967" spans="1:11">
      <c r="A1967" t="str">
        <f>"300513"</f>
        <v>300513</v>
      </c>
      <c r="B1967" t="s">
        <v>2297</v>
      </c>
      <c r="C1967">
        <v>30.87</v>
      </c>
      <c r="D1967">
        <v>32.48</v>
      </c>
      <c r="E1967">
        <v>13.2</v>
      </c>
      <c r="F1967">
        <v>3.14</v>
      </c>
      <c r="G1967">
        <v>2.88</v>
      </c>
      <c r="H1967">
        <v>24352</v>
      </c>
      <c r="I1967">
        <v>2.55</v>
      </c>
      <c r="J1967" t="s">
        <v>14</v>
      </c>
      <c r="K1967" t="s">
        <v>117</v>
      </c>
    </row>
    <row r="1968" spans="1:11">
      <c r="A1968" t="str">
        <f>"300514"</f>
        <v>300514</v>
      </c>
      <c r="B1968" t="s">
        <v>2298</v>
      </c>
      <c r="C1968">
        <v>22.56</v>
      </c>
      <c r="D1968">
        <v>14.61</v>
      </c>
      <c r="E1968">
        <v>10.57</v>
      </c>
      <c r="F1968">
        <v>2</v>
      </c>
      <c r="G1968">
        <v>1.6</v>
      </c>
      <c r="H1968">
        <v>14887</v>
      </c>
      <c r="I1968">
        <v>2.66</v>
      </c>
      <c r="J1968">
        <v>28.11</v>
      </c>
      <c r="K1968" t="s">
        <v>888</v>
      </c>
    </row>
    <row r="1969" spans="1:11">
      <c r="A1969" t="str">
        <f>"300515"</f>
        <v>300515</v>
      </c>
      <c r="B1969" t="s">
        <v>2299</v>
      </c>
      <c r="C1969">
        <v>41.02</v>
      </c>
      <c r="D1969">
        <v>13.58</v>
      </c>
      <c r="E1969">
        <v>8.63</v>
      </c>
      <c r="F1969">
        <v>2.06</v>
      </c>
      <c r="G1969">
        <v>2.02</v>
      </c>
      <c r="H1969">
        <v>18454</v>
      </c>
      <c r="I1969">
        <v>4.85</v>
      </c>
      <c r="J1969">
        <v>27.25</v>
      </c>
      <c r="K1969" t="s">
        <v>952</v>
      </c>
    </row>
    <row r="1970" spans="1:11">
      <c r="A1970" t="str">
        <f>"300516"</f>
        <v>300516</v>
      </c>
      <c r="B1970" t="s">
        <v>2300</v>
      </c>
      <c r="C1970">
        <v>151.78</v>
      </c>
      <c r="D1970">
        <v>19.1</v>
      </c>
      <c r="E1970">
        <v>12.99</v>
      </c>
      <c r="F1970">
        <v>1.8</v>
      </c>
      <c r="G1970">
        <v>1.8</v>
      </c>
      <c r="H1970">
        <v>39383</v>
      </c>
      <c r="I1970">
        <v>11.69</v>
      </c>
      <c r="J1970">
        <v>523.46</v>
      </c>
      <c r="K1970" t="s">
        <v>223</v>
      </c>
    </row>
    <row r="1971" spans="1:11">
      <c r="A1971" t="str">
        <f>"300517"</f>
        <v>300517</v>
      </c>
      <c r="B1971" t="s">
        <v>2301</v>
      </c>
      <c r="C1971">
        <v>14.76</v>
      </c>
      <c r="D1971">
        <v>14.01</v>
      </c>
      <c r="E1971">
        <v>10.33</v>
      </c>
      <c r="F1971">
        <v>2</v>
      </c>
      <c r="G1971">
        <v>1.24</v>
      </c>
      <c r="H1971">
        <v>9789</v>
      </c>
      <c r="I1971">
        <v>2.36</v>
      </c>
      <c r="J1971" t="s">
        <v>14</v>
      </c>
      <c r="K1971" t="s">
        <v>904</v>
      </c>
    </row>
    <row r="1972" spans="1:11">
      <c r="A1972" t="str">
        <f>"300518"</f>
        <v>300518</v>
      </c>
      <c r="B1972" t="s">
        <v>2302</v>
      </c>
      <c r="C1972">
        <v>39.74</v>
      </c>
      <c r="D1972">
        <v>10.03</v>
      </c>
      <c r="E1972">
        <v>7.52</v>
      </c>
      <c r="F1972">
        <v>1.99</v>
      </c>
      <c r="G1972">
        <v>1.99</v>
      </c>
      <c r="H1972">
        <v>14095</v>
      </c>
      <c r="I1972">
        <v>5.29</v>
      </c>
      <c r="J1972" t="s">
        <v>14</v>
      </c>
      <c r="K1972" t="s">
        <v>1050</v>
      </c>
    </row>
    <row r="1973" spans="1:11">
      <c r="A1973" t="str">
        <f>"300519"</f>
        <v>300519</v>
      </c>
      <c r="B1973" t="s">
        <v>2303</v>
      </c>
      <c r="C1973">
        <v>18.11</v>
      </c>
      <c r="D1973">
        <v>8.93</v>
      </c>
      <c r="E1973">
        <v>8.28</v>
      </c>
      <c r="F1973">
        <v>1.6</v>
      </c>
      <c r="G1973">
        <v>1.14</v>
      </c>
      <c r="H1973">
        <v>15602</v>
      </c>
      <c r="I1973">
        <v>3.07</v>
      </c>
      <c r="J1973">
        <v>42.01</v>
      </c>
      <c r="K1973" t="s">
        <v>155</v>
      </c>
    </row>
    <row r="1974" spans="1:11">
      <c r="A1974" t="str">
        <f>"300520"</f>
        <v>300520</v>
      </c>
      <c r="B1974" t="s">
        <v>2304</v>
      </c>
      <c r="C1974">
        <v>146.57</v>
      </c>
      <c r="D1974">
        <v>45.53</v>
      </c>
      <c r="E1974">
        <v>17.69</v>
      </c>
      <c r="F1974">
        <v>2.92</v>
      </c>
      <c r="G1974">
        <v>2.78</v>
      </c>
      <c r="H1974">
        <v>67000</v>
      </c>
      <c r="I1974">
        <v>8.7</v>
      </c>
      <c r="J1974" t="s">
        <v>14</v>
      </c>
      <c r="K1974" t="s">
        <v>117</v>
      </c>
    </row>
    <row r="1975" spans="1:11">
      <c r="A1975" t="str">
        <f>"300521"</f>
        <v>300521</v>
      </c>
      <c r="B1975" t="s">
        <v>2305</v>
      </c>
      <c r="C1975">
        <v>45.14</v>
      </c>
      <c r="D1975">
        <v>6.41</v>
      </c>
      <c r="E1975">
        <v>5.27</v>
      </c>
      <c r="F1975">
        <v>1.5</v>
      </c>
      <c r="G1975">
        <v>1.5</v>
      </c>
      <c r="H1975">
        <v>10264</v>
      </c>
      <c r="I1975">
        <v>8.54</v>
      </c>
      <c r="J1975" t="s">
        <v>14</v>
      </c>
      <c r="K1975" t="s">
        <v>657</v>
      </c>
    </row>
    <row r="1976" spans="1:11">
      <c r="A1976" t="str">
        <f>"300522"</f>
        <v>300522</v>
      </c>
      <c r="B1976" t="s">
        <v>2306</v>
      </c>
      <c r="C1976">
        <v>34.12</v>
      </c>
      <c r="D1976">
        <v>11.89</v>
      </c>
      <c r="E1976">
        <v>8.04</v>
      </c>
      <c r="F1976">
        <v>3.22</v>
      </c>
      <c r="G1976">
        <v>2.63</v>
      </c>
      <c r="H1976">
        <v>17141</v>
      </c>
      <c r="I1976">
        <v>5.2</v>
      </c>
      <c r="J1976">
        <v>169.73</v>
      </c>
      <c r="K1976" t="s">
        <v>246</v>
      </c>
    </row>
    <row r="1977" spans="1:11">
      <c r="A1977" t="str">
        <f>"300523"</f>
        <v>300523</v>
      </c>
      <c r="B1977" t="s">
        <v>2307</v>
      </c>
      <c r="C1977">
        <v>58.74</v>
      </c>
      <c r="D1977">
        <v>39.89</v>
      </c>
      <c r="E1977">
        <v>10.57</v>
      </c>
      <c r="F1977">
        <v>2.33</v>
      </c>
      <c r="G1977">
        <v>2.32</v>
      </c>
      <c r="H1977">
        <v>15914</v>
      </c>
      <c r="I1977">
        <v>5.57</v>
      </c>
      <c r="J1977" t="s">
        <v>14</v>
      </c>
      <c r="K1977" t="s">
        <v>117</v>
      </c>
    </row>
    <row r="1978" spans="1:11">
      <c r="A1978" t="str">
        <f>"300525"</f>
        <v>300525</v>
      </c>
      <c r="B1978" t="s">
        <v>2308</v>
      </c>
      <c r="C1978">
        <v>98.91</v>
      </c>
      <c r="D1978">
        <v>42.67</v>
      </c>
      <c r="E1978">
        <v>25.19</v>
      </c>
      <c r="F1978">
        <v>7.58</v>
      </c>
      <c r="G1978">
        <v>6.22</v>
      </c>
      <c r="H1978">
        <v>32123</v>
      </c>
      <c r="I1978">
        <v>4.79</v>
      </c>
      <c r="J1978">
        <v>1223.36</v>
      </c>
      <c r="K1978" t="s">
        <v>117</v>
      </c>
    </row>
    <row r="1979" spans="1:11">
      <c r="A1979" t="str">
        <f>"300527"</f>
        <v>300527</v>
      </c>
      <c r="B1979" t="s">
        <v>2309</v>
      </c>
      <c r="C1979">
        <v>83.38</v>
      </c>
      <c r="D1979">
        <v>37.2</v>
      </c>
      <c r="E1979">
        <v>29.11</v>
      </c>
      <c r="F1979">
        <v>10.17</v>
      </c>
      <c r="G1979">
        <v>10.17</v>
      </c>
      <c r="H1979">
        <v>49536</v>
      </c>
      <c r="I1979">
        <v>2.86</v>
      </c>
      <c r="J1979">
        <v>779.79</v>
      </c>
      <c r="K1979" t="s">
        <v>186</v>
      </c>
    </row>
    <row r="1980" spans="1:11">
      <c r="A1980" t="str">
        <f>"300528"</f>
        <v>300528</v>
      </c>
      <c r="B1980" t="s">
        <v>2310</v>
      </c>
      <c r="C1980">
        <v>83.46</v>
      </c>
      <c r="D1980">
        <v>20.06</v>
      </c>
      <c r="E1980">
        <v>5.28</v>
      </c>
      <c r="F1980">
        <v>3.73</v>
      </c>
      <c r="G1980">
        <v>3.73</v>
      </c>
      <c r="H1980">
        <v>45677</v>
      </c>
      <c r="I1980">
        <v>15.8</v>
      </c>
      <c r="J1980" t="s">
        <v>14</v>
      </c>
      <c r="K1980" t="s">
        <v>710</v>
      </c>
    </row>
    <row r="1981" spans="1:11">
      <c r="A1981" t="str">
        <f>"300529"</f>
        <v>300529</v>
      </c>
      <c r="B1981" t="s">
        <v>2311</v>
      </c>
      <c r="C1981">
        <v>106.85</v>
      </c>
      <c r="D1981">
        <v>55.36</v>
      </c>
      <c r="E1981">
        <v>34.29</v>
      </c>
      <c r="F1981">
        <v>7.99</v>
      </c>
      <c r="G1981">
        <v>5.12</v>
      </c>
      <c r="H1981">
        <v>51243</v>
      </c>
      <c r="I1981">
        <v>5.03</v>
      </c>
      <c r="J1981">
        <v>27.55</v>
      </c>
      <c r="K1981" t="s">
        <v>1173</v>
      </c>
    </row>
    <row r="1982" spans="1:11">
      <c r="A1982" t="str">
        <f>"300530"</f>
        <v>300530</v>
      </c>
      <c r="B1982" t="s">
        <v>2312</v>
      </c>
      <c r="C1982">
        <v>44.69</v>
      </c>
      <c r="D1982">
        <v>12.99</v>
      </c>
      <c r="E1982">
        <v>0.54</v>
      </c>
      <c r="F1982">
        <v>1.72</v>
      </c>
      <c r="G1982">
        <v>1.58</v>
      </c>
      <c r="H1982">
        <v>17655</v>
      </c>
      <c r="I1982">
        <v>90.51</v>
      </c>
      <c r="J1982" t="s">
        <v>14</v>
      </c>
      <c r="K1982" t="s">
        <v>70</v>
      </c>
    </row>
    <row r="1983" spans="1:11">
      <c r="A1983" t="str">
        <f>"300531"</f>
        <v>300531</v>
      </c>
      <c r="B1983" t="s">
        <v>2313</v>
      </c>
      <c r="C1983">
        <v>59.31</v>
      </c>
      <c r="D1983">
        <v>21.26</v>
      </c>
      <c r="E1983">
        <v>14.05</v>
      </c>
      <c r="F1983">
        <v>3.21</v>
      </c>
      <c r="G1983">
        <v>3.09</v>
      </c>
      <c r="H1983">
        <v>38858</v>
      </c>
      <c r="I1983">
        <v>4.39</v>
      </c>
      <c r="J1983">
        <v>54.76</v>
      </c>
      <c r="K1983" t="s">
        <v>88</v>
      </c>
    </row>
    <row r="1984" spans="1:11">
      <c r="A1984" t="str">
        <f>"300532"</f>
        <v>300532</v>
      </c>
      <c r="B1984" t="s">
        <v>2314</v>
      </c>
      <c r="C1984">
        <v>54.88</v>
      </c>
      <c r="D1984">
        <v>46.68</v>
      </c>
      <c r="E1984">
        <v>18.66</v>
      </c>
      <c r="F1984">
        <v>4.54</v>
      </c>
      <c r="G1984">
        <v>4.32</v>
      </c>
      <c r="H1984">
        <v>25555</v>
      </c>
      <c r="I1984">
        <v>3.09</v>
      </c>
      <c r="J1984">
        <v>19.65</v>
      </c>
      <c r="K1984" t="s">
        <v>117</v>
      </c>
    </row>
    <row r="1985" spans="1:11">
      <c r="A1985" t="str">
        <f>"300533"</f>
        <v>300533</v>
      </c>
      <c r="B1985" t="s">
        <v>2315</v>
      </c>
      <c r="C1985">
        <v>66.83</v>
      </c>
      <c r="D1985">
        <v>29.01</v>
      </c>
      <c r="E1985">
        <v>17.72</v>
      </c>
      <c r="F1985">
        <v>2.34</v>
      </c>
      <c r="G1985">
        <v>1.65</v>
      </c>
      <c r="H1985">
        <v>36211</v>
      </c>
      <c r="I1985">
        <v>5.36</v>
      </c>
      <c r="J1985">
        <v>14.19</v>
      </c>
      <c r="K1985" t="s">
        <v>950</v>
      </c>
    </row>
    <row r="1986" spans="1:11">
      <c r="A1986" t="str">
        <f>"300534"</f>
        <v>300534</v>
      </c>
      <c r="B1986" t="s">
        <v>2316</v>
      </c>
      <c r="C1986">
        <v>29.84</v>
      </c>
      <c r="D1986">
        <v>13.24</v>
      </c>
      <c r="E1986">
        <v>6.9</v>
      </c>
      <c r="F1986">
        <v>3.03</v>
      </c>
      <c r="G1986">
        <v>3.02</v>
      </c>
      <c r="H1986">
        <v>25507</v>
      </c>
      <c r="I1986">
        <v>4.34</v>
      </c>
      <c r="J1986">
        <v>83.16</v>
      </c>
      <c r="K1986" t="s">
        <v>155</v>
      </c>
    </row>
    <row r="1987" spans="1:11">
      <c r="A1987" t="str">
        <f>"300535"</f>
        <v>300535</v>
      </c>
      <c r="B1987" t="s">
        <v>2317</v>
      </c>
      <c r="C1987">
        <v>14.12</v>
      </c>
      <c r="D1987">
        <v>14.2</v>
      </c>
      <c r="E1987">
        <v>9.46</v>
      </c>
      <c r="F1987">
        <v>1.07</v>
      </c>
      <c r="G1987">
        <v>0.76</v>
      </c>
      <c r="H1987">
        <v>8242</v>
      </c>
      <c r="I1987">
        <v>2.07</v>
      </c>
      <c r="J1987">
        <v>56.16</v>
      </c>
      <c r="K1987" t="s">
        <v>511</v>
      </c>
    </row>
    <row r="1988" spans="1:11">
      <c r="A1988" t="str">
        <f>"300536"</f>
        <v>300536</v>
      </c>
      <c r="B1988" t="s">
        <v>2318</v>
      </c>
      <c r="C1988">
        <v>27.92</v>
      </c>
      <c r="D1988">
        <v>8.02</v>
      </c>
      <c r="E1988">
        <v>4.48</v>
      </c>
      <c r="F1988">
        <v>2.93</v>
      </c>
      <c r="G1988">
        <v>2.93</v>
      </c>
      <c r="H1988">
        <v>11961</v>
      </c>
      <c r="I1988">
        <v>6.23</v>
      </c>
      <c r="J1988" t="s">
        <v>14</v>
      </c>
      <c r="K1988" t="s">
        <v>26</v>
      </c>
    </row>
    <row r="1989" spans="1:11">
      <c r="A1989" t="str">
        <f>"300537"</f>
        <v>300537</v>
      </c>
      <c r="B1989" t="s">
        <v>2319</v>
      </c>
      <c r="C1989">
        <v>35.26</v>
      </c>
      <c r="D1989">
        <v>13.34</v>
      </c>
      <c r="E1989">
        <v>9.03</v>
      </c>
      <c r="F1989">
        <v>2.08</v>
      </c>
      <c r="G1989">
        <v>1.52</v>
      </c>
      <c r="H1989">
        <v>28395</v>
      </c>
      <c r="I1989">
        <v>5.34</v>
      </c>
      <c r="J1989">
        <v>412.81</v>
      </c>
      <c r="K1989" t="s">
        <v>884</v>
      </c>
    </row>
    <row r="1990" spans="1:11">
      <c r="A1990" t="str">
        <f>"300538"</f>
        <v>300538</v>
      </c>
      <c r="B1990" t="s">
        <v>2320</v>
      </c>
      <c r="C1990">
        <v>20.29</v>
      </c>
      <c r="D1990">
        <v>23.36</v>
      </c>
      <c r="E1990">
        <v>9.62</v>
      </c>
      <c r="F1990">
        <v>1.82</v>
      </c>
      <c r="G1990">
        <v>1.21</v>
      </c>
      <c r="H1990">
        <v>19576</v>
      </c>
      <c r="I1990">
        <v>3.17</v>
      </c>
      <c r="J1990">
        <v>312.2</v>
      </c>
      <c r="K1990" t="s">
        <v>1113</v>
      </c>
    </row>
    <row r="1991" spans="1:11">
      <c r="A1991" t="str">
        <f>"300539"</f>
        <v>300539</v>
      </c>
      <c r="B1991" t="s">
        <v>2321</v>
      </c>
      <c r="C1991">
        <v>65.39</v>
      </c>
      <c r="D1991">
        <v>17.77</v>
      </c>
      <c r="E1991">
        <v>11.62</v>
      </c>
      <c r="F1991">
        <v>2.68</v>
      </c>
      <c r="G1991">
        <v>1.73</v>
      </c>
      <c r="H1991">
        <v>24455</v>
      </c>
      <c r="I1991">
        <v>8.74</v>
      </c>
      <c r="J1991">
        <v>203.22</v>
      </c>
      <c r="K1991" t="s">
        <v>549</v>
      </c>
    </row>
    <row r="1992" spans="1:11">
      <c r="A1992" t="str">
        <f>"300540"</f>
        <v>300540</v>
      </c>
      <c r="B1992" t="s">
        <v>2322</v>
      </c>
      <c r="C1992">
        <v>45.71</v>
      </c>
      <c r="D1992">
        <v>21.54</v>
      </c>
      <c r="E1992">
        <v>11.04</v>
      </c>
      <c r="F1992">
        <v>2.3</v>
      </c>
      <c r="G1992">
        <v>2.07</v>
      </c>
      <c r="H1992">
        <v>15848</v>
      </c>
      <c r="I1992">
        <v>4.6</v>
      </c>
      <c r="J1992">
        <v>195.91</v>
      </c>
      <c r="K1992" t="s">
        <v>493</v>
      </c>
    </row>
    <row r="1993" spans="1:11">
      <c r="A1993" t="str">
        <f>"300541"</f>
        <v>300541</v>
      </c>
      <c r="B1993" t="s">
        <v>2323</v>
      </c>
      <c r="C1993">
        <v>62.66</v>
      </c>
      <c r="D1993">
        <v>33.45</v>
      </c>
      <c r="E1993">
        <v>17.23</v>
      </c>
      <c r="F1993">
        <v>4.3</v>
      </c>
      <c r="G1993">
        <v>3.87</v>
      </c>
      <c r="H1993">
        <v>51512</v>
      </c>
      <c r="I1993">
        <v>4.05</v>
      </c>
      <c r="J1993">
        <v>60.69</v>
      </c>
      <c r="K1993" t="s">
        <v>117</v>
      </c>
    </row>
    <row r="1994" spans="1:11">
      <c r="A1994" t="str">
        <f>"300542"</f>
        <v>300542</v>
      </c>
      <c r="B1994" t="s">
        <v>2324</v>
      </c>
      <c r="C1994">
        <v>51.71</v>
      </c>
      <c r="D1994">
        <v>12.52</v>
      </c>
      <c r="E1994">
        <v>5.41</v>
      </c>
      <c r="F1994">
        <v>2.99</v>
      </c>
      <c r="G1994">
        <v>2.48</v>
      </c>
      <c r="H1994">
        <v>37820</v>
      </c>
      <c r="I1994">
        <v>11.52</v>
      </c>
      <c r="J1994" t="s">
        <v>14</v>
      </c>
      <c r="K1994" t="s">
        <v>117</v>
      </c>
    </row>
    <row r="1995" spans="1:11">
      <c r="A1995" t="str">
        <f>"300543"</f>
        <v>300543</v>
      </c>
      <c r="B1995" t="s">
        <v>2325</v>
      </c>
      <c r="C1995">
        <v>29.47</v>
      </c>
      <c r="D1995">
        <v>20.78</v>
      </c>
      <c r="E1995">
        <v>14.66</v>
      </c>
      <c r="F1995">
        <v>3.06</v>
      </c>
      <c r="G1995">
        <v>2.5</v>
      </c>
      <c r="H1995">
        <v>30100</v>
      </c>
      <c r="I1995">
        <v>2.46</v>
      </c>
      <c r="J1995">
        <v>90.04</v>
      </c>
      <c r="K1995" t="s">
        <v>82</v>
      </c>
    </row>
    <row r="1996" spans="1:11">
      <c r="A1996" t="str">
        <f>"300545"</f>
        <v>300545</v>
      </c>
      <c r="B1996" t="s">
        <v>2326</v>
      </c>
      <c r="C1996">
        <v>39.8</v>
      </c>
      <c r="D1996">
        <v>29.42</v>
      </c>
      <c r="E1996">
        <v>21.35</v>
      </c>
      <c r="F1996">
        <v>1.85</v>
      </c>
      <c r="G1996">
        <v>1.2</v>
      </c>
      <c r="H1996">
        <v>20513</v>
      </c>
      <c r="I1996">
        <v>2.89</v>
      </c>
      <c r="J1996">
        <v>47.93</v>
      </c>
      <c r="K1996" t="s">
        <v>493</v>
      </c>
    </row>
    <row r="1997" spans="1:11">
      <c r="A1997" t="str">
        <f>"300546"</f>
        <v>300546</v>
      </c>
      <c r="B1997" t="s">
        <v>2327</v>
      </c>
      <c r="C1997">
        <v>35.96</v>
      </c>
      <c r="D1997">
        <v>14.17</v>
      </c>
      <c r="E1997">
        <v>11.24</v>
      </c>
      <c r="F1997">
        <v>1.87</v>
      </c>
      <c r="G1997">
        <v>1.34</v>
      </c>
      <c r="H1997">
        <v>36148</v>
      </c>
      <c r="I1997">
        <v>4.46</v>
      </c>
      <c r="J1997">
        <v>204.43</v>
      </c>
      <c r="K1997" t="s">
        <v>88</v>
      </c>
    </row>
    <row r="1998" spans="1:11">
      <c r="A1998" t="str">
        <f>"300547"</f>
        <v>300547</v>
      </c>
      <c r="B1998" t="s">
        <v>2328</v>
      </c>
      <c r="C1998">
        <v>68.99</v>
      </c>
      <c r="D1998">
        <v>15.94</v>
      </c>
      <c r="E1998">
        <v>12.78</v>
      </c>
      <c r="F1998">
        <v>2.17</v>
      </c>
      <c r="G1998">
        <v>1.78</v>
      </c>
      <c r="H1998">
        <v>43211</v>
      </c>
      <c r="I1998">
        <v>6.57</v>
      </c>
      <c r="J1998">
        <v>45.97</v>
      </c>
      <c r="K1998" t="s">
        <v>51</v>
      </c>
    </row>
    <row r="1999" spans="1:11">
      <c r="A1999" t="str">
        <f>"300548"</f>
        <v>300548</v>
      </c>
      <c r="B1999" t="s">
        <v>2329</v>
      </c>
      <c r="C1999">
        <v>347.28</v>
      </c>
      <c r="D1999">
        <v>36.32</v>
      </c>
      <c r="E1999">
        <v>18.72</v>
      </c>
      <c r="F1999">
        <v>2.92</v>
      </c>
      <c r="G1999">
        <v>2.69</v>
      </c>
      <c r="H1999">
        <v>79934</v>
      </c>
      <c r="I1999">
        <v>20.06</v>
      </c>
      <c r="J1999">
        <v>112.82</v>
      </c>
      <c r="K1999" t="s">
        <v>972</v>
      </c>
    </row>
    <row r="2000" spans="1:11">
      <c r="A2000" t="str">
        <f>"300549"</f>
        <v>300549</v>
      </c>
      <c r="B2000" t="s">
        <v>2330</v>
      </c>
      <c r="C2000">
        <v>19.4</v>
      </c>
      <c r="D2000">
        <v>7.27</v>
      </c>
      <c r="E2000">
        <v>5.52</v>
      </c>
      <c r="F2000">
        <v>1.33</v>
      </c>
      <c r="G2000">
        <v>1.01</v>
      </c>
      <c r="H2000">
        <v>14137</v>
      </c>
      <c r="I2000">
        <v>4.64</v>
      </c>
      <c r="J2000">
        <v>225.03</v>
      </c>
      <c r="K2000" t="s">
        <v>493</v>
      </c>
    </row>
    <row r="2001" spans="1:11">
      <c r="A2001" t="str">
        <f>"300550"</f>
        <v>300550</v>
      </c>
      <c r="B2001" t="s">
        <v>2331</v>
      </c>
      <c r="C2001">
        <v>42.29</v>
      </c>
      <c r="D2001">
        <v>14.77</v>
      </c>
      <c r="E2001">
        <v>11.17</v>
      </c>
      <c r="F2001">
        <v>2.63</v>
      </c>
      <c r="G2001">
        <v>2.62</v>
      </c>
      <c r="H2001">
        <v>11078</v>
      </c>
      <c r="I2001">
        <v>3.79</v>
      </c>
      <c r="J2001">
        <v>245.26</v>
      </c>
      <c r="K2001" t="s">
        <v>117</v>
      </c>
    </row>
    <row r="2002" spans="1:11">
      <c r="A2002" t="str">
        <f>"300551"</f>
        <v>300551</v>
      </c>
      <c r="B2002" t="s">
        <v>2332</v>
      </c>
      <c r="C2002">
        <v>58.66</v>
      </c>
      <c r="D2002">
        <v>5.6</v>
      </c>
      <c r="E2002">
        <v>4.38</v>
      </c>
      <c r="F2002">
        <v>3.4</v>
      </c>
      <c r="G2002">
        <v>3.39</v>
      </c>
      <c r="H2002">
        <v>28531</v>
      </c>
      <c r="I2002">
        <v>13.44</v>
      </c>
      <c r="J2002" t="s">
        <v>14</v>
      </c>
      <c r="K2002" t="s">
        <v>117</v>
      </c>
    </row>
    <row r="2003" spans="1:11">
      <c r="A2003" t="str">
        <f>"300552"</f>
        <v>300552</v>
      </c>
      <c r="B2003" t="s">
        <v>2333</v>
      </c>
      <c r="C2003">
        <v>50.78</v>
      </c>
      <c r="D2003">
        <v>27.74</v>
      </c>
      <c r="E2003">
        <v>17.96</v>
      </c>
      <c r="F2003">
        <v>2.13</v>
      </c>
      <c r="G2003">
        <v>1.38</v>
      </c>
      <c r="H2003">
        <v>27343</v>
      </c>
      <c r="I2003">
        <v>4.37</v>
      </c>
      <c r="J2003" t="s">
        <v>14</v>
      </c>
      <c r="K2003" t="s">
        <v>88</v>
      </c>
    </row>
    <row r="2004" spans="1:11">
      <c r="A2004" t="str">
        <f>"300553"</f>
        <v>300553</v>
      </c>
      <c r="B2004" t="s">
        <v>2334</v>
      </c>
      <c r="C2004">
        <v>43.67</v>
      </c>
      <c r="D2004">
        <v>13.97</v>
      </c>
      <c r="E2004">
        <v>8.53</v>
      </c>
      <c r="F2004">
        <v>1.11</v>
      </c>
      <c r="G2004">
        <v>0.84</v>
      </c>
      <c r="H2004">
        <v>11054</v>
      </c>
      <c r="I2004">
        <v>6.76</v>
      </c>
      <c r="J2004">
        <v>135.82</v>
      </c>
      <c r="K2004" t="s">
        <v>952</v>
      </c>
    </row>
    <row r="2005" spans="1:11">
      <c r="A2005" t="str">
        <f>"300554"</f>
        <v>300554</v>
      </c>
      <c r="B2005" t="s">
        <v>2335</v>
      </c>
      <c r="C2005">
        <v>19.13</v>
      </c>
      <c r="D2005">
        <v>9.16</v>
      </c>
      <c r="E2005">
        <v>6.39</v>
      </c>
      <c r="F2005">
        <v>1.14</v>
      </c>
      <c r="G2005">
        <v>0.79</v>
      </c>
      <c r="H2005">
        <v>16132</v>
      </c>
      <c r="I2005">
        <v>4.32</v>
      </c>
      <c r="J2005" t="s">
        <v>14</v>
      </c>
      <c r="K2005" t="s">
        <v>1069</v>
      </c>
    </row>
    <row r="2006" spans="1:11">
      <c r="A2006" t="str">
        <f>"300555"</f>
        <v>300555</v>
      </c>
      <c r="B2006" t="s">
        <v>2336</v>
      </c>
      <c r="C2006">
        <v>29.78</v>
      </c>
      <c r="D2006">
        <v>5.52</v>
      </c>
      <c r="E2006">
        <v>4.75</v>
      </c>
      <c r="F2006">
        <v>2</v>
      </c>
      <c r="G2006">
        <v>1.98</v>
      </c>
      <c r="H2006">
        <v>6496</v>
      </c>
      <c r="I2006">
        <v>6.33</v>
      </c>
      <c r="J2006" t="s">
        <v>14</v>
      </c>
      <c r="K2006" t="s">
        <v>933</v>
      </c>
    </row>
    <row r="2007" spans="1:11">
      <c r="A2007" t="str">
        <f>"300556"</f>
        <v>300556</v>
      </c>
      <c r="B2007" t="s">
        <v>2337</v>
      </c>
      <c r="C2007">
        <v>22.93</v>
      </c>
      <c r="D2007">
        <v>15.22</v>
      </c>
      <c r="E2007">
        <v>4.66</v>
      </c>
      <c r="F2007">
        <v>1.22</v>
      </c>
      <c r="G2007">
        <v>1.07</v>
      </c>
      <c r="H2007">
        <v>20182</v>
      </c>
      <c r="I2007">
        <v>5.87</v>
      </c>
      <c r="J2007" t="s">
        <v>14</v>
      </c>
      <c r="K2007" t="s">
        <v>117</v>
      </c>
    </row>
    <row r="2008" spans="1:11">
      <c r="A2008" t="str">
        <f>"300557"</f>
        <v>300557</v>
      </c>
      <c r="B2008" t="s">
        <v>2338</v>
      </c>
      <c r="C2008">
        <v>45.72</v>
      </c>
      <c r="D2008">
        <v>18.16</v>
      </c>
      <c r="E2008">
        <v>9.98</v>
      </c>
      <c r="F2008">
        <v>1.21</v>
      </c>
      <c r="G2008">
        <v>1.19</v>
      </c>
      <c r="H2008">
        <v>17024</v>
      </c>
      <c r="I2008">
        <v>4.65</v>
      </c>
      <c r="J2008">
        <v>87.72</v>
      </c>
      <c r="K2008" t="s">
        <v>952</v>
      </c>
    </row>
    <row r="2009" spans="1:11">
      <c r="A2009" t="str">
        <f>"300558"</f>
        <v>300558</v>
      </c>
      <c r="B2009" t="s">
        <v>2339</v>
      </c>
      <c r="C2009">
        <v>215.65</v>
      </c>
      <c r="D2009">
        <v>96.99</v>
      </c>
      <c r="E2009">
        <v>58.43</v>
      </c>
      <c r="F2009">
        <v>4.21</v>
      </c>
      <c r="G2009">
        <v>4.19</v>
      </c>
      <c r="H2009">
        <v>34761</v>
      </c>
      <c r="I2009">
        <v>3.7</v>
      </c>
      <c r="J2009">
        <v>51.2</v>
      </c>
      <c r="K2009" t="s">
        <v>109</v>
      </c>
    </row>
    <row r="2010" spans="1:11">
      <c r="A2010" t="str">
        <f>"300559"</f>
        <v>300559</v>
      </c>
      <c r="B2010" t="s">
        <v>2340</v>
      </c>
      <c r="C2010">
        <v>45.36</v>
      </c>
      <c r="D2010">
        <v>15.99</v>
      </c>
      <c r="E2010">
        <v>12.1</v>
      </c>
      <c r="F2010">
        <v>4</v>
      </c>
      <c r="G2010">
        <v>3.11</v>
      </c>
      <c r="H2010">
        <v>17252</v>
      </c>
      <c r="I2010">
        <v>4.82</v>
      </c>
      <c r="J2010">
        <v>89.86</v>
      </c>
      <c r="K2010" t="s">
        <v>117</v>
      </c>
    </row>
    <row r="2011" spans="1:11">
      <c r="A2011" t="str">
        <f>"300560"</f>
        <v>300560</v>
      </c>
      <c r="B2011" t="s">
        <v>2341</v>
      </c>
      <c r="C2011">
        <v>35.47</v>
      </c>
      <c r="D2011">
        <v>26.4</v>
      </c>
      <c r="E2011">
        <v>9.7</v>
      </c>
      <c r="F2011">
        <v>2.3</v>
      </c>
      <c r="G2011">
        <v>1.87</v>
      </c>
      <c r="H2011">
        <v>20792</v>
      </c>
      <c r="I2011">
        <v>4.49</v>
      </c>
      <c r="J2011">
        <v>203.01</v>
      </c>
      <c r="K2011" t="s">
        <v>520</v>
      </c>
    </row>
    <row r="2012" spans="1:11">
      <c r="A2012" t="str">
        <f>"300561"</f>
        <v>300561</v>
      </c>
      <c r="B2012" t="s">
        <v>2342</v>
      </c>
      <c r="C2012">
        <v>57.06</v>
      </c>
      <c r="D2012">
        <v>6.96</v>
      </c>
      <c r="E2012">
        <v>6</v>
      </c>
      <c r="F2012">
        <v>3.28</v>
      </c>
      <c r="G2012">
        <v>2.41</v>
      </c>
      <c r="H2012">
        <v>22690</v>
      </c>
      <c r="I2012">
        <v>12.95</v>
      </c>
      <c r="J2012">
        <v>3834.59</v>
      </c>
      <c r="K2012" t="s">
        <v>117</v>
      </c>
    </row>
    <row r="2013" spans="1:11">
      <c r="A2013" t="str">
        <f>"300562"</f>
        <v>300562</v>
      </c>
      <c r="B2013" t="s">
        <v>2343</v>
      </c>
      <c r="C2013">
        <v>26.87</v>
      </c>
      <c r="D2013">
        <v>14.2</v>
      </c>
      <c r="E2013">
        <v>10.13</v>
      </c>
      <c r="F2013">
        <v>2.19</v>
      </c>
      <c r="G2013">
        <v>1.62</v>
      </c>
      <c r="H2013">
        <v>23345</v>
      </c>
      <c r="I2013">
        <v>3.58</v>
      </c>
      <c r="J2013">
        <v>41.36</v>
      </c>
      <c r="K2013" t="s">
        <v>1005</v>
      </c>
    </row>
    <row r="2014" spans="1:11">
      <c r="A2014" t="str">
        <f>"300563"</f>
        <v>300563</v>
      </c>
      <c r="B2014" t="s">
        <v>2344</v>
      </c>
      <c r="C2014">
        <v>47.92</v>
      </c>
      <c r="D2014">
        <v>14.44</v>
      </c>
      <c r="E2014">
        <v>10.88</v>
      </c>
      <c r="F2014">
        <v>1.79</v>
      </c>
      <c r="G2014">
        <v>1.24</v>
      </c>
      <c r="H2014">
        <v>41770</v>
      </c>
      <c r="I2014">
        <v>6.37</v>
      </c>
      <c r="J2014">
        <v>97.46</v>
      </c>
      <c r="K2014" t="s">
        <v>93</v>
      </c>
    </row>
    <row r="2015" spans="1:11">
      <c r="A2015" t="str">
        <f>"300564"</f>
        <v>300564</v>
      </c>
      <c r="B2015" t="s">
        <v>2345</v>
      </c>
      <c r="C2015">
        <v>18.56</v>
      </c>
      <c r="D2015">
        <v>15.37</v>
      </c>
      <c r="E2015">
        <v>12.07</v>
      </c>
      <c r="F2015">
        <v>1.61</v>
      </c>
      <c r="G2015">
        <v>1.13</v>
      </c>
      <c r="H2015">
        <v>10800</v>
      </c>
      <c r="I2015">
        <v>2.19</v>
      </c>
      <c r="J2015" t="s">
        <v>14</v>
      </c>
      <c r="K2015" t="s">
        <v>428</v>
      </c>
    </row>
    <row r="2016" spans="1:11">
      <c r="A2016" t="str">
        <f>"300565"</f>
        <v>300565</v>
      </c>
      <c r="B2016" t="s">
        <v>2346</v>
      </c>
      <c r="C2016">
        <v>30.03</v>
      </c>
      <c r="D2016">
        <v>13.77</v>
      </c>
      <c r="E2016">
        <v>5.63</v>
      </c>
      <c r="F2016">
        <v>2.5</v>
      </c>
      <c r="G2016">
        <v>2.28</v>
      </c>
      <c r="H2016">
        <v>29566</v>
      </c>
      <c r="I2016">
        <v>5.84</v>
      </c>
      <c r="J2016" t="s">
        <v>14</v>
      </c>
      <c r="K2016" t="s">
        <v>972</v>
      </c>
    </row>
    <row r="2017" spans="1:11">
      <c r="A2017" t="str">
        <f>"300566"</f>
        <v>300566</v>
      </c>
      <c r="B2017" t="s">
        <v>2347</v>
      </c>
      <c r="C2017">
        <v>43.86</v>
      </c>
      <c r="D2017">
        <v>37.18</v>
      </c>
      <c r="E2017">
        <v>21.1</v>
      </c>
      <c r="F2017">
        <v>2.64</v>
      </c>
      <c r="G2017">
        <v>2.28</v>
      </c>
      <c r="H2017">
        <v>26583</v>
      </c>
      <c r="I2017">
        <v>2.4</v>
      </c>
      <c r="J2017">
        <v>22.75</v>
      </c>
      <c r="K2017" t="s">
        <v>66</v>
      </c>
    </row>
    <row r="2018" spans="1:11">
      <c r="A2018" t="str">
        <f>"300567"</f>
        <v>300567</v>
      </c>
      <c r="B2018" t="s">
        <v>2348</v>
      </c>
      <c r="C2018">
        <v>249.93</v>
      </c>
      <c r="D2018">
        <v>102.87</v>
      </c>
      <c r="E2018">
        <v>37.83</v>
      </c>
      <c r="F2018">
        <v>2.8</v>
      </c>
      <c r="G2018">
        <v>2.27</v>
      </c>
      <c r="H2018">
        <v>22586</v>
      </c>
      <c r="I2018">
        <v>8.71</v>
      </c>
      <c r="J2018">
        <v>230.75</v>
      </c>
      <c r="K2018" t="s">
        <v>952</v>
      </c>
    </row>
    <row r="2019" spans="1:11">
      <c r="A2019" t="str">
        <f>"300568"</f>
        <v>300568</v>
      </c>
      <c r="B2019" t="s">
        <v>2349</v>
      </c>
      <c r="C2019">
        <v>185.59</v>
      </c>
      <c r="D2019">
        <v>256.75</v>
      </c>
      <c r="E2019">
        <v>98.63</v>
      </c>
      <c r="F2019">
        <v>13.48</v>
      </c>
      <c r="G2019">
        <v>12.19</v>
      </c>
      <c r="H2019">
        <v>113785</v>
      </c>
      <c r="I2019">
        <v>2.07</v>
      </c>
      <c r="J2019">
        <v>134.5</v>
      </c>
      <c r="K2019" t="s">
        <v>24</v>
      </c>
    </row>
    <row r="2020" spans="1:11">
      <c r="A2020" t="str">
        <f>"300569"</f>
        <v>300569</v>
      </c>
      <c r="B2020" t="s">
        <v>2350</v>
      </c>
      <c r="C2020">
        <v>61.28</v>
      </c>
      <c r="D2020">
        <v>124.79</v>
      </c>
      <c r="E2020">
        <v>53.11</v>
      </c>
      <c r="F2020">
        <v>10.23</v>
      </c>
      <c r="G2020">
        <v>10.2</v>
      </c>
      <c r="H2020">
        <v>46879</v>
      </c>
      <c r="I2020">
        <v>1.19</v>
      </c>
      <c r="J2020">
        <v>54.84</v>
      </c>
      <c r="K2020" t="s">
        <v>456</v>
      </c>
    </row>
    <row r="2021" spans="1:11">
      <c r="A2021" t="str">
        <f>"300570"</f>
        <v>300570</v>
      </c>
      <c r="B2021" t="s">
        <v>2351</v>
      </c>
      <c r="C2021">
        <v>205.26</v>
      </c>
      <c r="D2021">
        <v>21.18</v>
      </c>
      <c r="E2021">
        <v>16.6</v>
      </c>
      <c r="F2021">
        <v>2.27</v>
      </c>
      <c r="G2021">
        <v>1.92</v>
      </c>
      <c r="H2021">
        <v>63754</v>
      </c>
      <c r="I2021">
        <v>14.61</v>
      </c>
      <c r="J2021">
        <v>69.88</v>
      </c>
      <c r="K2021" t="s">
        <v>972</v>
      </c>
    </row>
    <row r="2022" spans="1:11">
      <c r="A2022" t="str">
        <f>"300571"</f>
        <v>300571</v>
      </c>
      <c r="B2022" t="s">
        <v>2352</v>
      </c>
      <c r="C2022">
        <v>36.46</v>
      </c>
      <c r="D2022">
        <v>45.69</v>
      </c>
      <c r="E2022">
        <v>14.53</v>
      </c>
      <c r="F2022">
        <v>1.4</v>
      </c>
      <c r="G2022">
        <v>1.16</v>
      </c>
      <c r="H2022">
        <v>20266</v>
      </c>
      <c r="I2022">
        <v>3.03</v>
      </c>
      <c r="J2022">
        <v>444.1</v>
      </c>
      <c r="K2022" t="s">
        <v>339</v>
      </c>
    </row>
    <row r="2023" spans="1:11">
      <c r="A2023" t="str">
        <f>"300572"</f>
        <v>300572</v>
      </c>
      <c r="B2023" t="s">
        <v>2353</v>
      </c>
      <c r="C2023">
        <v>55.74</v>
      </c>
      <c r="D2023">
        <v>24.77</v>
      </c>
      <c r="E2023">
        <v>17.71</v>
      </c>
      <c r="F2023">
        <v>2.29</v>
      </c>
      <c r="G2023">
        <v>1.84</v>
      </c>
      <c r="H2023">
        <v>16419</v>
      </c>
      <c r="I2023">
        <v>3.93</v>
      </c>
      <c r="J2023" t="s">
        <v>14</v>
      </c>
      <c r="K2023" t="s">
        <v>1733</v>
      </c>
    </row>
    <row r="2024" spans="1:11">
      <c r="A2024" t="str">
        <f>"300573"</f>
        <v>300573</v>
      </c>
      <c r="B2024" t="s">
        <v>2354</v>
      </c>
      <c r="C2024">
        <v>143.38</v>
      </c>
      <c r="D2024">
        <v>24.19</v>
      </c>
      <c r="E2024">
        <v>18.57</v>
      </c>
      <c r="F2024">
        <v>2.46</v>
      </c>
      <c r="G2024">
        <v>1.9</v>
      </c>
      <c r="H2024">
        <v>54149</v>
      </c>
      <c r="I2024">
        <v>9.99</v>
      </c>
      <c r="J2024">
        <v>23.35</v>
      </c>
      <c r="K2024" t="s">
        <v>109</v>
      </c>
    </row>
    <row r="2025" spans="1:11">
      <c r="A2025" t="str">
        <f>"300575"</f>
        <v>300575</v>
      </c>
      <c r="B2025" t="s">
        <v>2355</v>
      </c>
      <c r="C2025">
        <v>20.56</v>
      </c>
      <c r="D2025">
        <v>47.23</v>
      </c>
      <c r="E2025">
        <v>19.74</v>
      </c>
      <c r="F2025">
        <v>4.77</v>
      </c>
      <c r="G2025">
        <v>3.43</v>
      </c>
      <c r="H2025">
        <v>18278</v>
      </c>
      <c r="I2025">
        <v>1.45</v>
      </c>
      <c r="J2025" t="s">
        <v>14</v>
      </c>
      <c r="K2025" t="s">
        <v>196</v>
      </c>
    </row>
    <row r="2026" spans="1:11">
      <c r="A2026" t="str">
        <f>"300576"</f>
        <v>300576</v>
      </c>
      <c r="B2026" t="s">
        <v>2356</v>
      </c>
      <c r="C2026">
        <v>100.81</v>
      </c>
      <c r="D2026">
        <v>20.72</v>
      </c>
      <c r="E2026">
        <v>16.92</v>
      </c>
      <c r="F2026">
        <v>3.66</v>
      </c>
      <c r="G2026">
        <v>2.33</v>
      </c>
      <c r="H2026">
        <v>57076</v>
      </c>
      <c r="I2026">
        <v>9.38</v>
      </c>
      <c r="J2026">
        <v>120.37</v>
      </c>
      <c r="K2026" t="s">
        <v>884</v>
      </c>
    </row>
    <row r="2027" spans="1:11">
      <c r="A2027" t="str">
        <f>"300577"</f>
        <v>300577</v>
      </c>
      <c r="B2027" t="s">
        <v>2357</v>
      </c>
      <c r="C2027">
        <v>29.63</v>
      </c>
      <c r="D2027">
        <v>60.97</v>
      </c>
      <c r="E2027">
        <v>22.46</v>
      </c>
      <c r="F2027">
        <v>2.4</v>
      </c>
      <c r="G2027">
        <v>1.42</v>
      </c>
      <c r="H2027">
        <v>8002</v>
      </c>
      <c r="I2027">
        <v>2.29</v>
      </c>
      <c r="J2027">
        <v>13.5</v>
      </c>
      <c r="K2027" t="s">
        <v>577</v>
      </c>
    </row>
    <row r="2028" spans="1:11">
      <c r="A2028" t="str">
        <f>"300578"</f>
        <v>300578</v>
      </c>
      <c r="B2028" t="s">
        <v>2358</v>
      </c>
      <c r="C2028">
        <v>64.46</v>
      </c>
      <c r="D2028">
        <v>13.18</v>
      </c>
      <c r="E2028">
        <v>11.89</v>
      </c>
      <c r="F2028">
        <v>1.98</v>
      </c>
      <c r="G2028">
        <v>1.98</v>
      </c>
      <c r="H2028">
        <v>25000</v>
      </c>
      <c r="I2028">
        <v>5.42</v>
      </c>
      <c r="J2028">
        <v>476.17</v>
      </c>
      <c r="K2028" t="s">
        <v>486</v>
      </c>
    </row>
    <row r="2029" spans="1:11">
      <c r="A2029" t="str">
        <f>"300579"</f>
        <v>300579</v>
      </c>
      <c r="B2029" t="s">
        <v>2359</v>
      </c>
      <c r="C2029">
        <v>90.75</v>
      </c>
      <c r="D2029">
        <v>14.41</v>
      </c>
      <c r="E2029">
        <v>7.82</v>
      </c>
      <c r="F2029">
        <v>2.7</v>
      </c>
      <c r="G2029">
        <v>2.62</v>
      </c>
      <c r="H2029">
        <v>24586</v>
      </c>
      <c r="I2029">
        <v>11.95</v>
      </c>
      <c r="J2029" t="s">
        <v>14</v>
      </c>
      <c r="K2029" t="s">
        <v>17</v>
      </c>
    </row>
    <row r="2030" spans="1:11">
      <c r="A2030" t="str">
        <f>"300580"</f>
        <v>300580</v>
      </c>
      <c r="B2030" t="s">
        <v>2360</v>
      </c>
      <c r="C2030">
        <v>121.99</v>
      </c>
      <c r="D2030">
        <v>38.24</v>
      </c>
      <c r="E2030">
        <v>32.51</v>
      </c>
      <c r="F2030">
        <v>5.01</v>
      </c>
      <c r="G2030">
        <v>4.71</v>
      </c>
      <c r="H2030">
        <v>47716</v>
      </c>
      <c r="I2030">
        <v>3.99</v>
      </c>
      <c r="J2030">
        <v>41.18</v>
      </c>
      <c r="K2030" t="s">
        <v>51</v>
      </c>
    </row>
    <row r="2031" spans="1:11">
      <c r="A2031" t="str">
        <f>"300581"</f>
        <v>300581</v>
      </c>
      <c r="B2031" t="s">
        <v>2361</v>
      </c>
      <c r="C2031">
        <v>93.68</v>
      </c>
      <c r="D2031">
        <v>11.93</v>
      </c>
      <c r="E2031">
        <v>9.55</v>
      </c>
      <c r="F2031">
        <v>5.5</v>
      </c>
      <c r="G2031">
        <v>5.5</v>
      </c>
      <c r="H2031">
        <v>64000</v>
      </c>
      <c r="I2031">
        <v>9.8</v>
      </c>
      <c r="J2031" t="s">
        <v>14</v>
      </c>
      <c r="K2031" t="s">
        <v>353</v>
      </c>
    </row>
    <row r="2032" spans="1:11">
      <c r="A2032" t="str">
        <f>"300582"</f>
        <v>300582</v>
      </c>
      <c r="B2032" t="s">
        <v>2362</v>
      </c>
      <c r="C2032">
        <v>40.32</v>
      </c>
      <c r="D2032">
        <v>34.37</v>
      </c>
      <c r="E2032">
        <v>13.25</v>
      </c>
      <c r="F2032">
        <v>2.99</v>
      </c>
      <c r="G2032">
        <v>2.22</v>
      </c>
      <c r="H2032">
        <v>22668</v>
      </c>
      <c r="I2032">
        <v>4.1</v>
      </c>
      <c r="J2032" t="s">
        <v>14</v>
      </c>
      <c r="K2032" t="s">
        <v>216</v>
      </c>
    </row>
    <row r="2033" spans="1:11">
      <c r="A2033" t="str">
        <f>"300583"</f>
        <v>300583</v>
      </c>
      <c r="B2033" t="s">
        <v>2363</v>
      </c>
      <c r="C2033">
        <v>27.31</v>
      </c>
      <c r="D2033">
        <v>28.66</v>
      </c>
      <c r="E2033">
        <v>17.66</v>
      </c>
      <c r="F2033">
        <v>1.9</v>
      </c>
      <c r="G2033">
        <v>1.86</v>
      </c>
      <c r="H2033">
        <v>13737</v>
      </c>
      <c r="I2033">
        <v>1.58</v>
      </c>
      <c r="J2033" t="s">
        <v>14</v>
      </c>
      <c r="K2033" t="s">
        <v>404</v>
      </c>
    </row>
    <row r="2034" spans="1:11">
      <c r="A2034" t="str">
        <f>"300584"</f>
        <v>300584</v>
      </c>
      <c r="B2034" t="s">
        <v>2364</v>
      </c>
      <c r="C2034">
        <v>45.15</v>
      </c>
      <c r="D2034">
        <v>14.83</v>
      </c>
      <c r="E2034">
        <v>10.43</v>
      </c>
      <c r="F2034">
        <v>1.2</v>
      </c>
      <c r="G2034">
        <v>0.82</v>
      </c>
      <c r="H2034">
        <v>25768</v>
      </c>
      <c r="I2034">
        <v>6.33</v>
      </c>
      <c r="J2034">
        <v>151.45</v>
      </c>
      <c r="K2034" t="s">
        <v>109</v>
      </c>
    </row>
    <row r="2035" spans="1:11">
      <c r="A2035" t="str">
        <f>"300585"</f>
        <v>300585</v>
      </c>
      <c r="B2035" t="s">
        <v>2365</v>
      </c>
      <c r="C2035">
        <v>31.48</v>
      </c>
      <c r="D2035">
        <v>8.99</v>
      </c>
      <c r="E2035">
        <v>7.12</v>
      </c>
      <c r="F2035">
        <v>1.71</v>
      </c>
      <c r="G2035">
        <v>1.71</v>
      </c>
      <c r="H2035">
        <v>16716</v>
      </c>
      <c r="I2035">
        <v>4.42</v>
      </c>
      <c r="J2035">
        <v>709.43</v>
      </c>
      <c r="K2035" t="s">
        <v>51</v>
      </c>
    </row>
    <row r="2036" spans="1:11">
      <c r="A2036" t="str">
        <f>"300586"</f>
        <v>300586</v>
      </c>
      <c r="B2036" t="s">
        <v>2366</v>
      </c>
      <c r="C2036">
        <v>60.73</v>
      </c>
      <c r="D2036">
        <v>36.79</v>
      </c>
      <c r="E2036">
        <v>18.76</v>
      </c>
      <c r="F2036">
        <v>7.11</v>
      </c>
      <c r="G2036">
        <v>5.35</v>
      </c>
      <c r="H2036">
        <v>23798</v>
      </c>
      <c r="I2036">
        <v>4.31</v>
      </c>
      <c r="J2036" t="s">
        <v>14</v>
      </c>
      <c r="K2036" t="s">
        <v>1529</v>
      </c>
    </row>
    <row r="2037" spans="1:11">
      <c r="A2037" t="str">
        <f>"300587"</f>
        <v>300587</v>
      </c>
      <c r="B2037" t="s">
        <v>2367</v>
      </c>
      <c r="C2037">
        <v>63.64</v>
      </c>
      <c r="D2037">
        <v>61.49</v>
      </c>
      <c r="E2037">
        <v>23.96</v>
      </c>
      <c r="F2037">
        <v>12.98</v>
      </c>
      <c r="G2037">
        <v>10.52</v>
      </c>
      <c r="H2037">
        <v>22383</v>
      </c>
      <c r="I2037">
        <v>3.28</v>
      </c>
      <c r="J2037" t="s">
        <v>14</v>
      </c>
      <c r="K2037" t="s">
        <v>705</v>
      </c>
    </row>
    <row r="2038" spans="1:11">
      <c r="A2038" t="str">
        <f>"300588"</f>
        <v>300588</v>
      </c>
      <c r="B2038" t="s">
        <v>2368</v>
      </c>
      <c r="C2038">
        <v>52.36</v>
      </c>
      <c r="D2038">
        <v>6.84</v>
      </c>
      <c r="E2038">
        <v>2.74</v>
      </c>
      <c r="F2038">
        <v>1.91</v>
      </c>
      <c r="G2038">
        <v>1.77</v>
      </c>
      <c r="H2038">
        <v>12126</v>
      </c>
      <c r="I2038">
        <v>20.69</v>
      </c>
      <c r="J2038" t="s">
        <v>14</v>
      </c>
      <c r="K2038" t="s">
        <v>1022</v>
      </c>
    </row>
    <row r="2039" spans="1:11">
      <c r="A2039" t="str">
        <f>"300589"</f>
        <v>300589</v>
      </c>
      <c r="B2039" t="s">
        <v>2369</v>
      </c>
      <c r="C2039">
        <v>49.29</v>
      </c>
      <c r="D2039">
        <v>21.08</v>
      </c>
      <c r="E2039">
        <v>7.86</v>
      </c>
      <c r="F2039">
        <v>3.78</v>
      </c>
      <c r="G2039">
        <v>2.32</v>
      </c>
      <c r="H2039">
        <v>30276</v>
      </c>
      <c r="I2039">
        <v>10.22</v>
      </c>
      <c r="J2039" t="s">
        <v>14</v>
      </c>
      <c r="K2039" t="s">
        <v>1816</v>
      </c>
    </row>
    <row r="2040" spans="1:11">
      <c r="A2040" t="str">
        <f>"300590"</f>
        <v>300590</v>
      </c>
      <c r="B2040" t="s">
        <v>2370</v>
      </c>
      <c r="C2040">
        <v>49.54</v>
      </c>
      <c r="D2040">
        <v>20.42</v>
      </c>
      <c r="E2040">
        <v>18.24</v>
      </c>
      <c r="F2040">
        <v>4.6</v>
      </c>
      <c r="G2040">
        <v>3.54</v>
      </c>
      <c r="H2040">
        <v>35978</v>
      </c>
      <c r="I2040">
        <v>3.53</v>
      </c>
      <c r="J2040">
        <v>78.25</v>
      </c>
      <c r="K2040" t="s">
        <v>770</v>
      </c>
    </row>
    <row r="2041" spans="1:11">
      <c r="A2041" t="str">
        <f>"300591"</f>
        <v>300591</v>
      </c>
      <c r="B2041" t="s">
        <v>2371</v>
      </c>
      <c r="C2041">
        <v>32.84</v>
      </c>
      <c r="D2041">
        <v>6.85</v>
      </c>
      <c r="E2041">
        <v>2.54</v>
      </c>
      <c r="F2041">
        <v>4.06</v>
      </c>
      <c r="G2041">
        <v>3.5</v>
      </c>
      <c r="H2041">
        <v>56438</v>
      </c>
      <c r="I2041">
        <v>14.97</v>
      </c>
      <c r="J2041" t="s">
        <v>14</v>
      </c>
      <c r="K2041" t="s">
        <v>1418</v>
      </c>
    </row>
    <row r="2042" spans="1:11">
      <c r="A2042" t="str">
        <f>"300592"</f>
        <v>300592</v>
      </c>
      <c r="B2042" t="s">
        <v>2372</v>
      </c>
      <c r="C2042">
        <v>46.58</v>
      </c>
      <c r="D2042">
        <v>40.13</v>
      </c>
      <c r="E2042">
        <v>23.1</v>
      </c>
      <c r="F2042">
        <v>4.04</v>
      </c>
      <c r="G2042">
        <v>3.49</v>
      </c>
      <c r="H2042">
        <v>19757</v>
      </c>
      <c r="I2042">
        <v>2.34</v>
      </c>
      <c r="J2042">
        <v>81.95</v>
      </c>
      <c r="K2042" t="s">
        <v>1102</v>
      </c>
    </row>
    <row r="2043" spans="1:11">
      <c r="A2043" t="str">
        <f>"300593"</f>
        <v>300593</v>
      </c>
      <c r="B2043" t="s">
        <v>2373</v>
      </c>
      <c r="C2043">
        <v>145.12</v>
      </c>
      <c r="D2043">
        <v>43.76</v>
      </c>
      <c r="E2043">
        <v>23.87</v>
      </c>
      <c r="F2043">
        <v>5.42</v>
      </c>
      <c r="G2043">
        <v>4.5</v>
      </c>
      <c r="H2043">
        <v>36924</v>
      </c>
      <c r="I2043">
        <v>7.32</v>
      </c>
      <c r="J2043" t="s">
        <v>14</v>
      </c>
      <c r="K2043" t="s">
        <v>1010</v>
      </c>
    </row>
    <row r="2044" spans="1:11">
      <c r="A2044" t="str">
        <f>"300594"</f>
        <v>300594</v>
      </c>
      <c r="B2044" t="s">
        <v>2374</v>
      </c>
      <c r="C2044">
        <v>21.11</v>
      </c>
      <c r="D2044">
        <v>19.16</v>
      </c>
      <c r="E2044">
        <v>8.26</v>
      </c>
      <c r="F2044">
        <v>0.92</v>
      </c>
      <c r="G2044">
        <v>0.91</v>
      </c>
      <c r="H2044">
        <v>10395</v>
      </c>
      <c r="I2044">
        <v>2.58</v>
      </c>
      <c r="J2044" t="s">
        <v>14</v>
      </c>
      <c r="K2044" t="s">
        <v>22</v>
      </c>
    </row>
    <row r="2045" spans="1:11">
      <c r="A2045" t="str">
        <f>"300595"</f>
        <v>300595</v>
      </c>
      <c r="B2045" t="s">
        <v>2375</v>
      </c>
      <c r="C2045">
        <v>111.3</v>
      </c>
      <c r="D2045">
        <v>64.25</v>
      </c>
      <c r="E2045">
        <v>49.42</v>
      </c>
      <c r="F2045">
        <v>8.95</v>
      </c>
      <c r="G2045">
        <v>6.68</v>
      </c>
      <c r="H2045">
        <v>61940</v>
      </c>
      <c r="I2045">
        <v>3.02</v>
      </c>
      <c r="J2045">
        <v>25.29</v>
      </c>
      <c r="K2045" t="s">
        <v>1173</v>
      </c>
    </row>
    <row r="2046" spans="1:11">
      <c r="A2046" t="str">
        <f>"300596"</f>
        <v>300596</v>
      </c>
      <c r="B2046" t="s">
        <v>2376</v>
      </c>
      <c r="C2046">
        <v>100.28</v>
      </c>
      <c r="D2046">
        <v>100.99</v>
      </c>
      <c r="E2046">
        <v>47.67</v>
      </c>
      <c r="F2046">
        <v>2.3</v>
      </c>
      <c r="G2046">
        <v>2.23</v>
      </c>
      <c r="H2046">
        <v>14159</v>
      </c>
      <c r="I2046">
        <v>2.17</v>
      </c>
      <c r="J2046">
        <v>19.74</v>
      </c>
      <c r="K2046" t="s">
        <v>1529</v>
      </c>
    </row>
    <row r="2047" spans="1:11">
      <c r="A2047" t="str">
        <f>"300597"</f>
        <v>300597</v>
      </c>
      <c r="B2047" t="s">
        <v>2377</v>
      </c>
      <c r="C2047">
        <v>30.29</v>
      </c>
      <c r="D2047">
        <v>15.55</v>
      </c>
      <c r="E2047">
        <v>9.44</v>
      </c>
      <c r="F2047">
        <v>2.73</v>
      </c>
      <c r="G2047">
        <v>2.71</v>
      </c>
      <c r="H2047">
        <v>20407</v>
      </c>
      <c r="I2047">
        <v>3.22</v>
      </c>
      <c r="J2047" t="s">
        <v>14</v>
      </c>
      <c r="K2047" t="s">
        <v>1324</v>
      </c>
    </row>
    <row r="2048" spans="1:11">
      <c r="A2048" t="str">
        <f>"300598"</f>
        <v>300598</v>
      </c>
      <c r="B2048" t="s">
        <v>2378</v>
      </c>
      <c r="C2048">
        <v>109.5</v>
      </c>
      <c r="D2048">
        <v>27.72</v>
      </c>
      <c r="E2048">
        <v>14.83</v>
      </c>
      <c r="F2048">
        <v>2.17</v>
      </c>
      <c r="G2048">
        <v>2.17</v>
      </c>
      <c r="H2048">
        <v>56767</v>
      </c>
      <c r="I2048">
        <v>7.38</v>
      </c>
      <c r="J2048" t="s">
        <v>14</v>
      </c>
      <c r="K2048" t="s">
        <v>117</v>
      </c>
    </row>
    <row r="2049" spans="1:11">
      <c r="A2049" t="str">
        <f>"300599"</f>
        <v>300599</v>
      </c>
      <c r="B2049" t="s">
        <v>2379</v>
      </c>
      <c r="C2049">
        <v>21.64</v>
      </c>
      <c r="D2049">
        <v>22.6</v>
      </c>
      <c r="E2049">
        <v>19.83</v>
      </c>
      <c r="F2049">
        <v>3.58</v>
      </c>
      <c r="G2049">
        <v>2.12</v>
      </c>
      <c r="H2049">
        <v>14612</v>
      </c>
      <c r="I2049">
        <v>1.84</v>
      </c>
      <c r="J2049" t="s">
        <v>14</v>
      </c>
      <c r="K2049" t="s">
        <v>874</v>
      </c>
    </row>
    <row r="2050" spans="1:11">
      <c r="A2050" t="str">
        <f>"300600"</f>
        <v>300600</v>
      </c>
      <c r="B2050" t="s">
        <v>2380</v>
      </c>
      <c r="C2050">
        <v>45.46</v>
      </c>
      <c r="D2050">
        <v>14.05</v>
      </c>
      <c r="E2050">
        <v>12.21</v>
      </c>
      <c r="F2050">
        <v>2.94</v>
      </c>
      <c r="G2050">
        <v>2.94</v>
      </c>
      <c r="H2050">
        <v>30157</v>
      </c>
      <c r="I2050">
        <v>3.72</v>
      </c>
      <c r="J2050" t="s">
        <v>14</v>
      </c>
      <c r="K2050" t="s">
        <v>1816</v>
      </c>
    </row>
    <row r="2051" spans="1:11">
      <c r="A2051" t="str">
        <f>"300601"</f>
        <v>300601</v>
      </c>
      <c r="B2051" t="s">
        <v>2381</v>
      </c>
      <c r="C2051">
        <v>146.58</v>
      </c>
      <c r="D2051">
        <v>141.34</v>
      </c>
      <c r="E2051">
        <v>96.11</v>
      </c>
      <c r="F2051">
        <v>11.17</v>
      </c>
      <c r="G2051">
        <v>9</v>
      </c>
      <c r="H2051">
        <v>63422</v>
      </c>
      <c r="I2051">
        <v>2</v>
      </c>
      <c r="J2051">
        <v>277.43</v>
      </c>
      <c r="K2051" t="s">
        <v>1921</v>
      </c>
    </row>
    <row r="2052" spans="1:11">
      <c r="A2052" t="str">
        <f>"300602"</f>
        <v>300602</v>
      </c>
      <c r="B2052" t="s">
        <v>2382</v>
      </c>
      <c r="C2052">
        <v>126.96</v>
      </c>
      <c r="D2052">
        <v>88.05</v>
      </c>
      <c r="E2052">
        <v>39.7</v>
      </c>
      <c r="F2052">
        <v>5.82</v>
      </c>
      <c r="G2052">
        <v>3.95</v>
      </c>
      <c r="H2052">
        <v>46626</v>
      </c>
      <c r="I2052">
        <v>4.71</v>
      </c>
      <c r="J2052">
        <v>48.97</v>
      </c>
      <c r="K2052" t="s">
        <v>41</v>
      </c>
    </row>
    <row r="2053" spans="1:11">
      <c r="A2053" t="str">
        <f>"300603"</f>
        <v>300603</v>
      </c>
      <c r="B2053" t="s">
        <v>2383</v>
      </c>
      <c r="C2053">
        <v>39.81</v>
      </c>
      <c r="D2053">
        <v>21.72</v>
      </c>
      <c r="E2053">
        <v>14.04</v>
      </c>
      <c r="F2053">
        <v>4.65</v>
      </c>
      <c r="G2053">
        <v>3.7</v>
      </c>
      <c r="H2053">
        <v>41602</v>
      </c>
      <c r="I2053">
        <v>3.57</v>
      </c>
      <c r="J2053" t="s">
        <v>14</v>
      </c>
      <c r="K2053" t="s">
        <v>463</v>
      </c>
    </row>
    <row r="2054" spans="1:11">
      <c r="A2054" t="str">
        <f>"300604"</f>
        <v>300604</v>
      </c>
      <c r="B2054" t="s">
        <v>2384</v>
      </c>
      <c r="C2054">
        <v>631.7</v>
      </c>
      <c r="D2054">
        <v>96.03</v>
      </c>
      <c r="E2054">
        <v>42.99</v>
      </c>
      <c r="F2054">
        <v>6.34</v>
      </c>
      <c r="G2054">
        <v>4.89</v>
      </c>
      <c r="H2054">
        <v>119137</v>
      </c>
      <c r="I2054">
        <v>18.93</v>
      </c>
      <c r="J2054">
        <v>70.95</v>
      </c>
      <c r="K2054" t="s">
        <v>1160</v>
      </c>
    </row>
    <row r="2055" spans="1:11">
      <c r="A2055" t="str">
        <f>"300605"</f>
        <v>300605</v>
      </c>
      <c r="B2055" t="s">
        <v>2385</v>
      </c>
      <c r="C2055">
        <v>21.28</v>
      </c>
      <c r="D2055">
        <v>13.05</v>
      </c>
      <c r="E2055">
        <v>5.01</v>
      </c>
      <c r="F2055">
        <v>1.65</v>
      </c>
      <c r="G2055">
        <v>1.19</v>
      </c>
      <c r="H2055">
        <v>23145</v>
      </c>
      <c r="I2055">
        <v>6.14</v>
      </c>
      <c r="J2055">
        <v>211.44</v>
      </c>
      <c r="K2055" t="s">
        <v>117</v>
      </c>
    </row>
    <row r="2056" spans="1:11">
      <c r="A2056" t="str">
        <f>"300606"</f>
        <v>300606</v>
      </c>
      <c r="B2056" t="s">
        <v>2386</v>
      </c>
      <c r="C2056">
        <v>29.6</v>
      </c>
      <c r="D2056">
        <v>12.27</v>
      </c>
      <c r="E2056">
        <v>6.75</v>
      </c>
      <c r="F2056">
        <v>1.38</v>
      </c>
      <c r="G2056">
        <v>1.18</v>
      </c>
      <c r="H2056">
        <v>15718</v>
      </c>
      <c r="I2056">
        <v>5.15</v>
      </c>
      <c r="J2056">
        <v>124.42</v>
      </c>
      <c r="K2056" t="s">
        <v>1069</v>
      </c>
    </row>
    <row r="2057" spans="1:11">
      <c r="A2057" t="str">
        <f>"300607"</f>
        <v>300607</v>
      </c>
      <c r="B2057" t="s">
        <v>2387</v>
      </c>
      <c r="C2057">
        <v>108.68</v>
      </c>
      <c r="D2057">
        <v>60.51</v>
      </c>
      <c r="E2057">
        <v>28.49</v>
      </c>
      <c r="F2057">
        <v>4.77</v>
      </c>
      <c r="G2057">
        <v>3.32</v>
      </c>
      <c r="H2057">
        <v>71586</v>
      </c>
      <c r="I2057">
        <v>5.48</v>
      </c>
      <c r="J2057">
        <v>237.32</v>
      </c>
      <c r="K2057" t="s">
        <v>1527</v>
      </c>
    </row>
    <row r="2058" spans="1:11">
      <c r="A2058" t="str">
        <f>"300608"</f>
        <v>300608</v>
      </c>
      <c r="B2058" t="s">
        <v>2388</v>
      </c>
      <c r="C2058">
        <v>36.69</v>
      </c>
      <c r="D2058">
        <v>22.71</v>
      </c>
      <c r="E2058">
        <v>13.63</v>
      </c>
      <c r="F2058">
        <v>3.31</v>
      </c>
      <c r="G2058">
        <v>2.88</v>
      </c>
      <c r="H2058">
        <v>29059</v>
      </c>
      <c r="I2058">
        <v>3.16</v>
      </c>
      <c r="J2058" t="s">
        <v>14</v>
      </c>
      <c r="K2058" t="s">
        <v>117</v>
      </c>
    </row>
    <row r="2059" spans="1:11">
      <c r="A2059" t="str">
        <f>"300609"</f>
        <v>300609</v>
      </c>
      <c r="B2059" t="s">
        <v>2389</v>
      </c>
      <c r="C2059">
        <v>53.67</v>
      </c>
      <c r="D2059">
        <v>12.69</v>
      </c>
      <c r="E2059">
        <v>9.97</v>
      </c>
      <c r="F2059">
        <v>1.2</v>
      </c>
      <c r="G2059">
        <v>1.2</v>
      </c>
      <c r="H2059">
        <v>19773</v>
      </c>
      <c r="I2059">
        <v>5.39</v>
      </c>
      <c r="J2059" t="s">
        <v>14</v>
      </c>
      <c r="K2059" t="s">
        <v>117</v>
      </c>
    </row>
    <row r="2060" spans="1:11">
      <c r="A2060" t="str">
        <f>"300610"</f>
        <v>300610</v>
      </c>
      <c r="B2060" t="s">
        <v>2390</v>
      </c>
      <c r="C2060">
        <v>19.35</v>
      </c>
      <c r="D2060">
        <v>16.22</v>
      </c>
      <c r="E2060">
        <v>11.54</v>
      </c>
      <c r="F2060">
        <v>2.15</v>
      </c>
      <c r="G2060">
        <v>1.61</v>
      </c>
      <c r="H2060">
        <v>13800</v>
      </c>
      <c r="I2060">
        <v>2.24</v>
      </c>
      <c r="J2060">
        <v>36.64</v>
      </c>
      <c r="K2060" t="s">
        <v>511</v>
      </c>
    </row>
    <row r="2061" spans="1:11">
      <c r="A2061" t="str">
        <f>"300611"</f>
        <v>300611</v>
      </c>
      <c r="B2061" t="s">
        <v>2391</v>
      </c>
      <c r="C2061">
        <v>41.38</v>
      </c>
      <c r="D2061">
        <v>24.05</v>
      </c>
      <c r="E2061">
        <v>12.29</v>
      </c>
      <c r="F2061">
        <v>2.11</v>
      </c>
      <c r="G2061">
        <v>1.48</v>
      </c>
      <c r="H2061">
        <v>31569</v>
      </c>
      <c r="I2061">
        <v>4.79</v>
      </c>
      <c r="J2061">
        <v>37.82</v>
      </c>
      <c r="K2061" t="s">
        <v>517</v>
      </c>
    </row>
    <row r="2062" spans="1:11">
      <c r="A2062" t="str">
        <f>"300612"</f>
        <v>300612</v>
      </c>
      <c r="B2062" t="s">
        <v>2392</v>
      </c>
      <c r="C2062">
        <v>40.24</v>
      </c>
      <c r="D2062">
        <v>6.95</v>
      </c>
      <c r="E2062">
        <v>4.9</v>
      </c>
      <c r="F2062">
        <v>1.8</v>
      </c>
      <c r="G2062">
        <v>1.8</v>
      </c>
      <c r="H2062">
        <v>20822</v>
      </c>
      <c r="I2062">
        <v>8.23</v>
      </c>
      <c r="J2062" t="s">
        <v>14</v>
      </c>
      <c r="K2062" t="s">
        <v>333</v>
      </c>
    </row>
    <row r="2063" spans="1:11">
      <c r="A2063" t="str">
        <f>"300613"</f>
        <v>300613</v>
      </c>
      <c r="B2063" t="s">
        <v>2393</v>
      </c>
      <c r="C2063">
        <v>106.35</v>
      </c>
      <c r="D2063">
        <v>40.19</v>
      </c>
      <c r="E2063">
        <v>28.45</v>
      </c>
      <c r="F2063">
        <v>2.33</v>
      </c>
      <c r="G2063">
        <v>2.19</v>
      </c>
      <c r="H2063">
        <v>37791</v>
      </c>
      <c r="I2063">
        <v>4.1</v>
      </c>
      <c r="J2063">
        <v>103.09</v>
      </c>
      <c r="K2063" t="s">
        <v>691</v>
      </c>
    </row>
    <row r="2064" spans="1:11">
      <c r="A2064" t="str">
        <f>"300614"</f>
        <v>300614</v>
      </c>
      <c r="B2064" t="s">
        <v>2394</v>
      </c>
      <c r="C2064">
        <v>20.62</v>
      </c>
      <c r="D2064">
        <v>21.16</v>
      </c>
      <c r="E2064">
        <v>12.21</v>
      </c>
      <c r="F2064">
        <v>1.6</v>
      </c>
      <c r="G2064">
        <v>1.6</v>
      </c>
      <c r="H2064">
        <v>9489</v>
      </c>
      <c r="I2064">
        <v>1.95</v>
      </c>
      <c r="J2064" t="s">
        <v>14</v>
      </c>
      <c r="K2064" t="s">
        <v>59</v>
      </c>
    </row>
    <row r="2065" spans="1:11">
      <c r="A2065" t="str">
        <f>"300615"</f>
        <v>300615</v>
      </c>
      <c r="B2065" t="s">
        <v>2395</v>
      </c>
      <c r="C2065">
        <v>17.97</v>
      </c>
      <c r="D2065">
        <v>7.59</v>
      </c>
      <c r="E2065">
        <v>5.33</v>
      </c>
      <c r="F2065">
        <v>1.93</v>
      </c>
      <c r="G2065">
        <v>1.25</v>
      </c>
      <c r="H2065">
        <v>13994</v>
      </c>
      <c r="I2065">
        <v>5.2</v>
      </c>
      <c r="J2065">
        <v>143.7</v>
      </c>
      <c r="K2065" t="s">
        <v>972</v>
      </c>
    </row>
    <row r="2066" spans="1:11">
      <c r="A2066" t="str">
        <f>"300616"</f>
        <v>300616</v>
      </c>
      <c r="B2066" t="s">
        <v>2396</v>
      </c>
      <c r="C2066">
        <v>24.12</v>
      </c>
      <c r="D2066">
        <v>72.06</v>
      </c>
      <c r="E2066">
        <v>31.46</v>
      </c>
      <c r="F2066">
        <v>2.25</v>
      </c>
      <c r="G2066">
        <v>1.55</v>
      </c>
      <c r="H2066">
        <v>13401</v>
      </c>
      <c r="I2066">
        <v>1.11</v>
      </c>
      <c r="J2066" t="s">
        <v>14</v>
      </c>
      <c r="K2066" t="s">
        <v>540</v>
      </c>
    </row>
    <row r="2067" spans="1:11">
      <c r="A2067" t="str">
        <f>"300617"</f>
        <v>300617</v>
      </c>
      <c r="B2067" t="s">
        <v>2397</v>
      </c>
      <c r="C2067">
        <v>58.98</v>
      </c>
      <c r="D2067">
        <v>38.2</v>
      </c>
      <c r="E2067">
        <v>29.44</v>
      </c>
      <c r="F2067">
        <v>1.67</v>
      </c>
      <c r="G2067">
        <v>1.41</v>
      </c>
      <c r="H2067">
        <v>20067</v>
      </c>
      <c r="I2067">
        <v>2.39</v>
      </c>
      <c r="J2067">
        <v>71.35</v>
      </c>
      <c r="K2067" t="s">
        <v>383</v>
      </c>
    </row>
    <row r="2068" spans="1:11">
      <c r="A2068" t="str">
        <f>"300618"</f>
        <v>300618</v>
      </c>
      <c r="B2068" t="s">
        <v>2398</v>
      </c>
      <c r="C2068">
        <v>130.8</v>
      </c>
      <c r="D2068">
        <v>93.78</v>
      </c>
      <c r="E2068">
        <v>55.75</v>
      </c>
      <c r="F2068">
        <v>3.1</v>
      </c>
      <c r="G2068">
        <v>2.72</v>
      </c>
      <c r="H2068">
        <v>62939</v>
      </c>
      <c r="I2068">
        <v>2.65</v>
      </c>
      <c r="J2068">
        <v>46.78</v>
      </c>
      <c r="K2068" t="s">
        <v>2399</v>
      </c>
    </row>
    <row r="2069" spans="1:11">
      <c r="A2069" t="str">
        <f>"300619"</f>
        <v>300619</v>
      </c>
      <c r="B2069" t="s">
        <v>2400</v>
      </c>
      <c r="C2069">
        <v>64.57</v>
      </c>
      <c r="D2069">
        <v>44.64</v>
      </c>
      <c r="E2069">
        <v>15.78</v>
      </c>
      <c r="F2069">
        <v>1.74</v>
      </c>
      <c r="G2069">
        <v>1.45</v>
      </c>
      <c r="H2069">
        <v>26884</v>
      </c>
      <c r="I2069">
        <v>4.9</v>
      </c>
      <c r="J2069">
        <v>490.2</v>
      </c>
      <c r="K2069" t="s">
        <v>1975</v>
      </c>
    </row>
    <row r="2070" spans="1:11">
      <c r="A2070" t="str">
        <f>"300620"</f>
        <v>300620</v>
      </c>
      <c r="B2070" t="s">
        <v>2401</v>
      </c>
      <c r="C2070">
        <v>362.98</v>
      </c>
      <c r="D2070">
        <v>35.76</v>
      </c>
      <c r="E2070">
        <v>20.76</v>
      </c>
      <c r="F2070">
        <v>2.49</v>
      </c>
      <c r="G2070">
        <v>2.47</v>
      </c>
      <c r="H2070">
        <v>56043</v>
      </c>
      <c r="I2070">
        <v>17.63</v>
      </c>
      <c r="J2070">
        <v>238.07</v>
      </c>
      <c r="K2070" t="s">
        <v>972</v>
      </c>
    </row>
    <row r="2071" spans="1:11">
      <c r="A2071" t="str">
        <f>"300621"</f>
        <v>300621</v>
      </c>
      <c r="B2071" t="s">
        <v>2402</v>
      </c>
      <c r="C2071">
        <v>17.62</v>
      </c>
      <c r="D2071">
        <v>150.01</v>
      </c>
      <c r="E2071">
        <v>8.6</v>
      </c>
      <c r="F2071">
        <v>2.08</v>
      </c>
      <c r="G2071">
        <v>2.03</v>
      </c>
      <c r="H2071">
        <v>12318</v>
      </c>
      <c r="I2071">
        <v>2.1</v>
      </c>
      <c r="J2071" t="s">
        <v>14</v>
      </c>
      <c r="K2071" t="s">
        <v>804</v>
      </c>
    </row>
    <row r="2072" spans="1:11">
      <c r="A2072" t="str">
        <f>"300622"</f>
        <v>300622</v>
      </c>
      <c r="B2072" t="s">
        <v>2403</v>
      </c>
      <c r="C2072">
        <v>58.03</v>
      </c>
      <c r="D2072">
        <v>13.31</v>
      </c>
      <c r="E2072">
        <v>8.48</v>
      </c>
      <c r="F2072">
        <v>2.28</v>
      </c>
      <c r="G2072">
        <v>1.56</v>
      </c>
      <c r="H2072">
        <v>43238</v>
      </c>
      <c r="I2072">
        <v>10.01</v>
      </c>
      <c r="J2072">
        <v>72.48</v>
      </c>
      <c r="K2072" t="s">
        <v>477</v>
      </c>
    </row>
    <row r="2073" spans="1:11">
      <c r="A2073" t="str">
        <f>"300623"</f>
        <v>300623</v>
      </c>
      <c r="B2073" t="s">
        <v>2404</v>
      </c>
      <c r="C2073">
        <v>218.86</v>
      </c>
      <c r="D2073">
        <v>85.61</v>
      </c>
      <c r="E2073">
        <v>59</v>
      </c>
      <c r="F2073">
        <v>8.32</v>
      </c>
      <c r="G2073">
        <v>7.67</v>
      </c>
      <c r="H2073">
        <v>91034</v>
      </c>
      <c r="I2073">
        <v>4.02</v>
      </c>
      <c r="J2073">
        <v>51.3</v>
      </c>
      <c r="K2073" t="s">
        <v>1852</v>
      </c>
    </row>
    <row r="2074" spans="1:11">
      <c r="A2074" t="str">
        <f>"300624"</f>
        <v>300624</v>
      </c>
      <c r="B2074" t="s">
        <v>2405</v>
      </c>
      <c r="C2074">
        <v>188.05</v>
      </c>
      <c r="D2074">
        <v>16.52</v>
      </c>
      <c r="E2074">
        <v>10.8</v>
      </c>
      <c r="F2074">
        <v>1.93</v>
      </c>
      <c r="G2074">
        <v>1.71</v>
      </c>
      <c r="H2074">
        <v>52396</v>
      </c>
      <c r="I2074">
        <v>19.66</v>
      </c>
      <c r="J2074" t="s">
        <v>14</v>
      </c>
      <c r="K2074" t="s">
        <v>17</v>
      </c>
    </row>
    <row r="2075" spans="1:11">
      <c r="A2075" t="str">
        <f>"300625"</f>
        <v>300625</v>
      </c>
      <c r="B2075" t="s">
        <v>2406</v>
      </c>
      <c r="C2075">
        <v>20.33</v>
      </c>
      <c r="D2075">
        <v>28.84</v>
      </c>
      <c r="E2075">
        <v>19.88</v>
      </c>
      <c r="F2075">
        <v>2.79</v>
      </c>
      <c r="G2075">
        <v>1.62</v>
      </c>
      <c r="H2075">
        <v>16435</v>
      </c>
      <c r="I2075">
        <v>1.76</v>
      </c>
      <c r="J2075" t="s">
        <v>14</v>
      </c>
      <c r="K2075" t="s">
        <v>216</v>
      </c>
    </row>
    <row r="2076" spans="1:11">
      <c r="A2076" t="str">
        <f>"300626"</f>
        <v>300626</v>
      </c>
      <c r="B2076" t="s">
        <v>2407</v>
      </c>
      <c r="C2076">
        <v>31.07</v>
      </c>
      <c r="D2076">
        <v>8.8</v>
      </c>
      <c r="E2076">
        <v>5.29</v>
      </c>
      <c r="F2076">
        <v>1.8</v>
      </c>
      <c r="G2076">
        <v>1.8</v>
      </c>
      <c r="H2076">
        <v>11700</v>
      </c>
      <c r="I2076">
        <v>5.88</v>
      </c>
      <c r="J2076">
        <v>170.72</v>
      </c>
      <c r="K2076" t="s">
        <v>552</v>
      </c>
    </row>
    <row r="2077" spans="1:11">
      <c r="A2077" t="str">
        <f>"300627"</f>
        <v>300627</v>
      </c>
      <c r="B2077" t="s">
        <v>2408</v>
      </c>
      <c r="C2077">
        <v>265.08</v>
      </c>
      <c r="D2077">
        <v>53.47</v>
      </c>
      <c r="E2077">
        <v>39.8</v>
      </c>
      <c r="F2077">
        <v>7.87</v>
      </c>
      <c r="G2077">
        <v>6.48</v>
      </c>
      <c r="H2077">
        <v>45597</v>
      </c>
      <c r="I2077">
        <v>8.07</v>
      </c>
      <c r="J2077">
        <v>49</v>
      </c>
      <c r="K2077" t="s">
        <v>933</v>
      </c>
    </row>
    <row r="2078" spans="1:11">
      <c r="A2078" t="str">
        <f>"300628"</f>
        <v>300628</v>
      </c>
      <c r="B2078" t="s">
        <v>2409</v>
      </c>
      <c r="C2078">
        <v>271.41</v>
      </c>
      <c r="D2078">
        <v>97.83</v>
      </c>
      <c r="E2078">
        <v>86.74</v>
      </c>
      <c r="F2078">
        <v>12.67</v>
      </c>
      <c r="G2078">
        <v>7.26</v>
      </c>
      <c r="H2078">
        <v>34793</v>
      </c>
      <c r="I2078">
        <v>5.46</v>
      </c>
      <c r="J2078">
        <v>18.15</v>
      </c>
      <c r="K2078" t="s">
        <v>770</v>
      </c>
    </row>
    <row r="2079" spans="1:11">
      <c r="A2079" t="str">
        <f>"300629"</f>
        <v>300629</v>
      </c>
      <c r="B2079" t="s">
        <v>2410</v>
      </c>
      <c r="C2079">
        <v>67.44</v>
      </c>
      <c r="D2079">
        <v>20.93</v>
      </c>
      <c r="E2079">
        <v>17.01</v>
      </c>
      <c r="F2079">
        <v>2.51</v>
      </c>
      <c r="G2079">
        <v>2.17</v>
      </c>
      <c r="H2079">
        <v>23410</v>
      </c>
      <c r="I2079">
        <v>4.6</v>
      </c>
      <c r="J2079">
        <v>522.39</v>
      </c>
      <c r="K2079" t="s">
        <v>223</v>
      </c>
    </row>
    <row r="2080" spans="1:11">
      <c r="A2080" t="str">
        <f>"300631"</f>
        <v>300631</v>
      </c>
      <c r="B2080" t="s">
        <v>2411</v>
      </c>
      <c r="C2080">
        <v>36.89</v>
      </c>
      <c r="D2080">
        <v>19.89</v>
      </c>
      <c r="E2080">
        <v>13.11</v>
      </c>
      <c r="F2080">
        <v>1.25</v>
      </c>
      <c r="G2080">
        <v>1.21</v>
      </c>
      <c r="H2080">
        <v>25095</v>
      </c>
      <c r="I2080">
        <v>2.92</v>
      </c>
      <c r="J2080">
        <v>59.11</v>
      </c>
      <c r="K2080" t="s">
        <v>228</v>
      </c>
    </row>
    <row r="2081" spans="1:11">
      <c r="A2081" t="str">
        <f>"300632"</f>
        <v>300632</v>
      </c>
      <c r="B2081" t="s">
        <v>2412</v>
      </c>
      <c r="C2081">
        <v>34.13</v>
      </c>
      <c r="D2081">
        <v>26.46</v>
      </c>
      <c r="E2081">
        <v>17.88</v>
      </c>
      <c r="F2081">
        <v>3.05</v>
      </c>
      <c r="G2081">
        <v>2.21</v>
      </c>
      <c r="H2081">
        <v>25009</v>
      </c>
      <c r="I2081">
        <v>2.63</v>
      </c>
      <c r="J2081">
        <v>79.89</v>
      </c>
      <c r="K2081" t="s">
        <v>216</v>
      </c>
    </row>
    <row r="2082" spans="1:11">
      <c r="A2082" t="str">
        <f>"300633"</f>
        <v>300633</v>
      </c>
      <c r="B2082" t="s">
        <v>2413</v>
      </c>
      <c r="C2082">
        <v>126.14</v>
      </c>
      <c r="D2082">
        <v>41.16</v>
      </c>
      <c r="E2082">
        <v>31.19</v>
      </c>
      <c r="F2082">
        <v>4.33</v>
      </c>
      <c r="G2082">
        <v>4.33</v>
      </c>
      <c r="H2082">
        <v>16131</v>
      </c>
      <c r="I2082">
        <v>4.04</v>
      </c>
      <c r="J2082">
        <v>282.3</v>
      </c>
      <c r="K2082" t="s">
        <v>1836</v>
      </c>
    </row>
    <row r="2083" spans="1:11">
      <c r="A2083" t="str">
        <f>"300634"</f>
        <v>300634</v>
      </c>
      <c r="B2083" t="s">
        <v>2414</v>
      </c>
      <c r="C2083">
        <v>156.23</v>
      </c>
      <c r="D2083">
        <v>34.18</v>
      </c>
      <c r="E2083">
        <v>29.14</v>
      </c>
      <c r="F2083">
        <v>4.51</v>
      </c>
      <c r="G2083">
        <v>4.35</v>
      </c>
      <c r="H2083">
        <v>43620</v>
      </c>
      <c r="I2083">
        <v>5.57</v>
      </c>
      <c r="J2083">
        <v>61.96</v>
      </c>
      <c r="K2083" t="s">
        <v>117</v>
      </c>
    </row>
    <row r="2084" spans="1:11">
      <c r="A2084" t="str">
        <f>"300635"</f>
        <v>300635</v>
      </c>
      <c r="B2084" t="s">
        <v>2415</v>
      </c>
      <c r="C2084">
        <v>20.16</v>
      </c>
      <c r="D2084">
        <v>13.81</v>
      </c>
      <c r="E2084">
        <v>3.77</v>
      </c>
      <c r="F2084">
        <v>1.4</v>
      </c>
      <c r="G2084">
        <v>1.2</v>
      </c>
      <c r="H2084">
        <v>8906</v>
      </c>
      <c r="I2084">
        <v>6.22</v>
      </c>
      <c r="J2084">
        <v>1795.1</v>
      </c>
      <c r="K2084" t="s">
        <v>428</v>
      </c>
    </row>
    <row r="2085" spans="1:11">
      <c r="A2085" t="str">
        <f>"300636"</f>
        <v>300636</v>
      </c>
      <c r="B2085" t="s">
        <v>2416</v>
      </c>
      <c r="C2085">
        <v>28.65</v>
      </c>
      <c r="D2085">
        <v>32.58</v>
      </c>
      <c r="E2085">
        <v>23.76</v>
      </c>
      <c r="F2085">
        <v>4.2</v>
      </c>
      <c r="G2085">
        <v>3.67</v>
      </c>
      <c r="H2085">
        <v>15461</v>
      </c>
      <c r="I2085">
        <v>1.38</v>
      </c>
      <c r="J2085">
        <v>29.36</v>
      </c>
      <c r="K2085" t="s">
        <v>404</v>
      </c>
    </row>
    <row r="2086" spans="1:11">
      <c r="A2086" t="str">
        <f>"300637"</f>
        <v>300637</v>
      </c>
      <c r="B2086" t="s">
        <v>2417</v>
      </c>
      <c r="C2086">
        <v>29.74</v>
      </c>
      <c r="D2086">
        <v>13.11</v>
      </c>
      <c r="E2086">
        <v>7.33</v>
      </c>
      <c r="F2086">
        <v>2.35</v>
      </c>
      <c r="G2086">
        <v>2.35</v>
      </c>
      <c r="H2086">
        <v>23765</v>
      </c>
      <c r="I2086">
        <v>4.06</v>
      </c>
      <c r="J2086">
        <v>72.84</v>
      </c>
      <c r="K2086" t="s">
        <v>511</v>
      </c>
    </row>
    <row r="2087" spans="1:11">
      <c r="A2087" t="str">
        <f>"300638"</f>
        <v>300638</v>
      </c>
      <c r="B2087" t="s">
        <v>2418</v>
      </c>
      <c r="C2087">
        <v>177.54</v>
      </c>
      <c r="D2087">
        <v>74.36</v>
      </c>
      <c r="E2087">
        <v>36.71</v>
      </c>
      <c r="F2087">
        <v>8.99</v>
      </c>
      <c r="G2087">
        <v>5.3</v>
      </c>
      <c r="H2087">
        <v>79494</v>
      </c>
      <c r="I2087">
        <v>6.98</v>
      </c>
      <c r="J2087">
        <v>71.39</v>
      </c>
      <c r="K2087" t="s">
        <v>770</v>
      </c>
    </row>
    <row r="2088" spans="1:11">
      <c r="A2088" t="str">
        <f>"300639"</f>
        <v>300639</v>
      </c>
      <c r="B2088" t="s">
        <v>2419</v>
      </c>
      <c r="C2088">
        <v>39.13</v>
      </c>
      <c r="D2088">
        <v>42.82</v>
      </c>
      <c r="E2088">
        <v>38.41</v>
      </c>
      <c r="F2088">
        <v>6.47</v>
      </c>
      <c r="G2088">
        <v>6.35</v>
      </c>
      <c r="H2088">
        <v>26944</v>
      </c>
      <c r="I2088">
        <v>1.04</v>
      </c>
      <c r="J2088" t="s">
        <v>14</v>
      </c>
      <c r="K2088" t="s">
        <v>775</v>
      </c>
    </row>
    <row r="2089" spans="1:11">
      <c r="A2089" t="str">
        <f>"300640"</f>
        <v>300640</v>
      </c>
      <c r="B2089" t="s">
        <v>2420</v>
      </c>
      <c r="C2089">
        <v>18.63</v>
      </c>
      <c r="D2089">
        <v>11.22</v>
      </c>
      <c r="E2089">
        <v>8.13</v>
      </c>
      <c r="F2089">
        <v>3.11</v>
      </c>
      <c r="G2089">
        <v>2.21</v>
      </c>
      <c r="H2089">
        <v>35068</v>
      </c>
      <c r="I2089">
        <v>3.23</v>
      </c>
      <c r="J2089">
        <v>138.11</v>
      </c>
      <c r="K2089" t="s">
        <v>625</v>
      </c>
    </row>
    <row r="2090" spans="1:11">
      <c r="A2090" t="str">
        <f>"300641"</f>
        <v>300641</v>
      </c>
      <c r="B2090" t="s">
        <v>2421</v>
      </c>
      <c r="C2090">
        <v>101.54</v>
      </c>
      <c r="D2090">
        <v>32.34</v>
      </c>
      <c r="E2090">
        <v>31.61</v>
      </c>
      <c r="F2090">
        <v>5.26</v>
      </c>
      <c r="G2090">
        <v>5.26</v>
      </c>
      <c r="H2090">
        <v>47973</v>
      </c>
      <c r="I2090">
        <v>3.26</v>
      </c>
      <c r="J2090">
        <v>11.28</v>
      </c>
      <c r="K2090" t="s">
        <v>1201</v>
      </c>
    </row>
    <row r="2091" spans="1:11">
      <c r="A2091" t="str">
        <f>"300642"</f>
        <v>300642</v>
      </c>
      <c r="B2091" t="s">
        <v>2422</v>
      </c>
      <c r="C2091">
        <v>29.5</v>
      </c>
      <c r="D2091">
        <v>20.01</v>
      </c>
      <c r="E2091">
        <v>14.71</v>
      </c>
      <c r="F2091">
        <v>1.63</v>
      </c>
      <c r="G2091">
        <v>1.38</v>
      </c>
      <c r="H2091">
        <v>18785</v>
      </c>
      <c r="I2091">
        <v>2.37</v>
      </c>
      <c r="J2091">
        <v>452.18</v>
      </c>
      <c r="K2091" t="s">
        <v>775</v>
      </c>
    </row>
    <row r="2092" spans="1:11">
      <c r="A2092" t="str">
        <f>"300643"</f>
        <v>300643</v>
      </c>
      <c r="B2092" t="s">
        <v>2423</v>
      </c>
      <c r="C2092">
        <v>46.16</v>
      </c>
      <c r="D2092">
        <v>15.37</v>
      </c>
      <c r="E2092">
        <v>12.65</v>
      </c>
      <c r="F2092">
        <v>2.31</v>
      </c>
      <c r="G2092">
        <v>2.31</v>
      </c>
      <c r="H2092">
        <v>15359</v>
      </c>
      <c r="I2092">
        <v>3.66</v>
      </c>
      <c r="J2092">
        <v>27.3</v>
      </c>
      <c r="K2092" t="s">
        <v>517</v>
      </c>
    </row>
    <row r="2093" spans="1:11">
      <c r="A2093" t="str">
        <f>"300644"</f>
        <v>300644</v>
      </c>
      <c r="B2093" t="s">
        <v>2424</v>
      </c>
      <c r="C2093">
        <v>31.3</v>
      </c>
      <c r="D2093">
        <v>25.69</v>
      </c>
      <c r="E2093">
        <v>10.43</v>
      </c>
      <c r="F2093">
        <v>1.11</v>
      </c>
      <c r="G2093">
        <v>0.87</v>
      </c>
      <c r="H2093">
        <v>20331</v>
      </c>
      <c r="I2093">
        <v>3.95</v>
      </c>
      <c r="J2093">
        <v>29.55</v>
      </c>
      <c r="K2093" t="s">
        <v>1113</v>
      </c>
    </row>
    <row r="2094" spans="1:11">
      <c r="A2094" t="str">
        <f>"300645"</f>
        <v>300645</v>
      </c>
      <c r="B2094" t="s">
        <v>2425</v>
      </c>
      <c r="C2094">
        <v>28.84</v>
      </c>
      <c r="D2094">
        <v>30.38</v>
      </c>
      <c r="E2094">
        <v>10.91</v>
      </c>
      <c r="F2094">
        <v>1.42</v>
      </c>
      <c r="G2094">
        <v>1.39</v>
      </c>
      <c r="H2094">
        <v>22133</v>
      </c>
      <c r="I2094">
        <v>2.85</v>
      </c>
      <c r="J2094">
        <v>323.18</v>
      </c>
      <c r="K2094" t="s">
        <v>117</v>
      </c>
    </row>
    <row r="2095" spans="1:11">
      <c r="A2095" t="str">
        <f>"300647"</f>
        <v>300647</v>
      </c>
      <c r="B2095" t="s">
        <v>2426</v>
      </c>
      <c r="C2095">
        <v>33.61</v>
      </c>
      <c r="D2095">
        <v>22.76</v>
      </c>
      <c r="E2095">
        <v>5.73</v>
      </c>
      <c r="F2095">
        <v>4.57</v>
      </c>
      <c r="G2095">
        <v>4.57</v>
      </c>
      <c r="H2095">
        <v>34377</v>
      </c>
      <c r="I2095">
        <v>5.88</v>
      </c>
      <c r="J2095">
        <v>1154.65</v>
      </c>
      <c r="K2095" t="s">
        <v>24</v>
      </c>
    </row>
    <row r="2096" spans="1:11">
      <c r="A2096" t="str">
        <f>"300648"</f>
        <v>300648</v>
      </c>
      <c r="B2096" t="s">
        <v>2427</v>
      </c>
      <c r="C2096">
        <v>79.81</v>
      </c>
      <c r="D2096">
        <v>27.05</v>
      </c>
      <c r="E2096">
        <v>13.62</v>
      </c>
      <c r="F2096">
        <v>1.74</v>
      </c>
      <c r="G2096">
        <v>1.33</v>
      </c>
      <c r="H2096">
        <v>16367</v>
      </c>
      <c r="I2096">
        <v>7.7</v>
      </c>
      <c r="J2096" t="s">
        <v>14</v>
      </c>
      <c r="K2096" t="s">
        <v>1975</v>
      </c>
    </row>
    <row r="2097" spans="1:11">
      <c r="A2097" t="str">
        <f>"300649"</f>
        <v>300649</v>
      </c>
      <c r="B2097" t="s">
        <v>2428</v>
      </c>
      <c r="C2097">
        <v>15.94</v>
      </c>
      <c r="D2097">
        <v>9.03</v>
      </c>
      <c r="E2097">
        <v>5</v>
      </c>
      <c r="F2097">
        <v>1.32</v>
      </c>
      <c r="G2097">
        <v>1.06</v>
      </c>
      <c r="H2097">
        <v>12773</v>
      </c>
      <c r="I2097">
        <v>3.98</v>
      </c>
      <c r="J2097">
        <v>211.91</v>
      </c>
      <c r="K2097" t="s">
        <v>26</v>
      </c>
    </row>
    <row r="2098" spans="1:11">
      <c r="A2098" t="str">
        <f>"300650"</f>
        <v>300650</v>
      </c>
      <c r="B2098" t="s">
        <v>2429</v>
      </c>
      <c r="C2098">
        <v>29.23</v>
      </c>
      <c r="D2098">
        <v>21.11</v>
      </c>
      <c r="E2098">
        <v>12.72</v>
      </c>
      <c r="F2098">
        <v>2.18</v>
      </c>
      <c r="G2098">
        <v>1.7</v>
      </c>
      <c r="H2098">
        <v>16924</v>
      </c>
      <c r="I2098">
        <v>2.94</v>
      </c>
      <c r="J2098">
        <v>73.24</v>
      </c>
      <c r="K2098" t="s">
        <v>82</v>
      </c>
    </row>
    <row r="2099" spans="1:11">
      <c r="A2099" t="str">
        <f>"300651"</f>
        <v>300651</v>
      </c>
      <c r="B2099" t="s">
        <v>2430</v>
      </c>
      <c r="C2099">
        <v>20.15</v>
      </c>
      <c r="D2099">
        <v>13.45</v>
      </c>
      <c r="E2099">
        <v>10.82</v>
      </c>
      <c r="F2099">
        <v>1.41</v>
      </c>
      <c r="G2099">
        <v>0.87</v>
      </c>
      <c r="H2099">
        <v>22004</v>
      </c>
      <c r="I2099">
        <v>3.01</v>
      </c>
      <c r="J2099">
        <v>69.15</v>
      </c>
      <c r="K2099" t="s">
        <v>1630</v>
      </c>
    </row>
    <row r="2100" spans="1:11">
      <c r="A2100" t="str">
        <f>"300652"</f>
        <v>300652</v>
      </c>
      <c r="B2100" t="s">
        <v>2431</v>
      </c>
      <c r="C2100">
        <v>69.98</v>
      </c>
      <c r="D2100">
        <v>21.61</v>
      </c>
      <c r="E2100">
        <v>15.13</v>
      </c>
      <c r="F2100">
        <v>1.33</v>
      </c>
      <c r="G2100">
        <v>1.2</v>
      </c>
      <c r="H2100">
        <v>12626</v>
      </c>
      <c r="I2100">
        <v>5.15</v>
      </c>
      <c r="J2100">
        <v>42.48</v>
      </c>
      <c r="K2100" t="s">
        <v>263</v>
      </c>
    </row>
    <row r="2101" spans="1:11">
      <c r="A2101" t="str">
        <f>"300653"</f>
        <v>300653</v>
      </c>
      <c r="B2101" t="s">
        <v>2432</v>
      </c>
      <c r="C2101">
        <v>39.82</v>
      </c>
      <c r="D2101">
        <v>9.65</v>
      </c>
      <c r="E2101">
        <v>8.74</v>
      </c>
      <c r="F2101">
        <v>1.8</v>
      </c>
      <c r="G2101">
        <v>1.8</v>
      </c>
      <c r="H2101">
        <v>15878</v>
      </c>
      <c r="I2101">
        <v>4.55</v>
      </c>
      <c r="J2101">
        <v>44.3</v>
      </c>
      <c r="K2101" t="s">
        <v>1173</v>
      </c>
    </row>
    <row r="2102" spans="1:11">
      <c r="A2102" t="str">
        <f>"300654"</f>
        <v>300654</v>
      </c>
      <c r="B2102" t="s">
        <v>2433</v>
      </c>
      <c r="C2102">
        <v>41.53</v>
      </c>
      <c r="D2102">
        <v>11.81</v>
      </c>
      <c r="E2102">
        <v>8.54</v>
      </c>
      <c r="F2102">
        <v>3.66</v>
      </c>
      <c r="G2102">
        <v>3.52</v>
      </c>
      <c r="H2102">
        <v>29470</v>
      </c>
      <c r="I2102">
        <v>5.06</v>
      </c>
      <c r="J2102">
        <v>125.42</v>
      </c>
      <c r="K2102" t="s">
        <v>1948</v>
      </c>
    </row>
    <row r="2103" spans="1:11">
      <c r="A2103" t="str">
        <f>"300655"</f>
        <v>300655</v>
      </c>
      <c r="B2103" t="s">
        <v>2434</v>
      </c>
      <c r="C2103">
        <v>196.76</v>
      </c>
      <c r="D2103">
        <v>51.92</v>
      </c>
      <c r="E2103">
        <v>26.48</v>
      </c>
      <c r="F2103">
        <v>10.73</v>
      </c>
      <c r="G2103">
        <v>10.66</v>
      </c>
      <c r="H2103">
        <v>111386</v>
      </c>
      <c r="I2103">
        <v>7.76</v>
      </c>
      <c r="J2103">
        <v>115.66</v>
      </c>
      <c r="K2103" t="s">
        <v>884</v>
      </c>
    </row>
    <row r="2104" spans="1:11">
      <c r="A2104" t="str">
        <f>"300656"</f>
        <v>300656</v>
      </c>
      <c r="B2104" t="s">
        <v>2435</v>
      </c>
      <c r="C2104">
        <v>32.29</v>
      </c>
      <c r="D2104">
        <v>23.68</v>
      </c>
      <c r="E2104">
        <v>9.8</v>
      </c>
      <c r="F2104">
        <v>1.71</v>
      </c>
      <c r="G2104">
        <v>1.33</v>
      </c>
      <c r="H2104">
        <v>14554</v>
      </c>
      <c r="I2104">
        <v>4.24</v>
      </c>
      <c r="J2104" t="s">
        <v>14</v>
      </c>
      <c r="K2104" t="s">
        <v>82</v>
      </c>
    </row>
    <row r="2105" spans="1:11">
      <c r="A2105" t="str">
        <f>"300657"</f>
        <v>300657</v>
      </c>
      <c r="B2105" t="s">
        <v>2436</v>
      </c>
      <c r="C2105">
        <v>146.8</v>
      </c>
      <c r="D2105">
        <v>75.97</v>
      </c>
      <c r="E2105">
        <v>12.58</v>
      </c>
      <c r="F2105">
        <v>4.83</v>
      </c>
      <c r="G2105">
        <v>4.71</v>
      </c>
      <c r="H2105">
        <v>79143</v>
      </c>
      <c r="I2105">
        <v>11.95</v>
      </c>
      <c r="J2105">
        <v>124.59</v>
      </c>
      <c r="K2105" t="s">
        <v>472</v>
      </c>
    </row>
    <row r="2106" spans="1:11">
      <c r="A2106" t="str">
        <f>"300658"</f>
        <v>300658</v>
      </c>
      <c r="B2106" t="s">
        <v>2437</v>
      </c>
      <c r="C2106">
        <v>33.42</v>
      </c>
      <c r="D2106">
        <v>27.86</v>
      </c>
      <c r="E2106">
        <v>13.43</v>
      </c>
      <c r="F2106">
        <v>3.33</v>
      </c>
      <c r="G2106">
        <v>2.26</v>
      </c>
      <c r="H2106">
        <v>13018</v>
      </c>
      <c r="I2106">
        <v>3.67</v>
      </c>
      <c r="J2106">
        <v>87.02</v>
      </c>
      <c r="K2106" t="s">
        <v>577</v>
      </c>
    </row>
    <row r="2107" spans="1:11">
      <c r="A2107" t="str">
        <f>"300659"</f>
        <v>300659</v>
      </c>
      <c r="B2107" t="s">
        <v>2438</v>
      </c>
      <c r="C2107">
        <v>31.73</v>
      </c>
      <c r="D2107">
        <v>17.59</v>
      </c>
      <c r="E2107">
        <v>12.01</v>
      </c>
      <c r="F2107">
        <v>2.6</v>
      </c>
      <c r="G2107">
        <v>1.9</v>
      </c>
      <c r="H2107">
        <v>23500</v>
      </c>
      <c r="I2107">
        <v>3.61</v>
      </c>
      <c r="J2107" t="s">
        <v>14</v>
      </c>
      <c r="K2107" t="s">
        <v>88</v>
      </c>
    </row>
    <row r="2108" spans="1:11">
      <c r="A2108" t="str">
        <f>"300660"</f>
        <v>300660</v>
      </c>
      <c r="B2108" t="s">
        <v>2439</v>
      </c>
      <c r="C2108">
        <v>238.94</v>
      </c>
      <c r="D2108">
        <v>67.5</v>
      </c>
      <c r="E2108">
        <v>34.68</v>
      </c>
      <c r="F2108">
        <v>4.47</v>
      </c>
      <c r="G2108">
        <v>4.47</v>
      </c>
      <c r="H2108">
        <v>51596</v>
      </c>
      <c r="I2108">
        <v>6.89</v>
      </c>
      <c r="J2108">
        <v>67.74</v>
      </c>
      <c r="K2108" t="s">
        <v>552</v>
      </c>
    </row>
    <row r="2109" spans="1:11">
      <c r="A2109" t="str">
        <f>"300661"</f>
        <v>300661</v>
      </c>
      <c r="B2109" t="s">
        <v>2440</v>
      </c>
      <c r="C2109">
        <v>421.74</v>
      </c>
      <c r="D2109">
        <v>63.63</v>
      </c>
      <c r="E2109">
        <v>49.05</v>
      </c>
      <c r="F2109">
        <v>6.18</v>
      </c>
      <c r="G2109">
        <v>5.93</v>
      </c>
      <c r="H2109">
        <v>110773</v>
      </c>
      <c r="I2109">
        <v>8.96</v>
      </c>
      <c r="J2109">
        <v>96.09</v>
      </c>
      <c r="K2109" t="s">
        <v>691</v>
      </c>
    </row>
    <row r="2110" spans="1:11">
      <c r="A2110" t="str">
        <f>"300662"</f>
        <v>300662</v>
      </c>
      <c r="B2110" t="s">
        <v>2441</v>
      </c>
      <c r="C2110">
        <v>61.3</v>
      </c>
      <c r="D2110">
        <v>42.6</v>
      </c>
      <c r="E2110">
        <v>21.72</v>
      </c>
      <c r="F2110">
        <v>1.97</v>
      </c>
      <c r="G2110">
        <v>1.96</v>
      </c>
      <c r="H2110">
        <v>14734</v>
      </c>
      <c r="I2110">
        <v>2.83</v>
      </c>
      <c r="J2110">
        <v>20.98</v>
      </c>
      <c r="K2110" t="s">
        <v>2442</v>
      </c>
    </row>
    <row r="2111" spans="1:11">
      <c r="A2111" t="str">
        <f>"300663"</f>
        <v>300663</v>
      </c>
      <c r="B2111" t="s">
        <v>2443</v>
      </c>
      <c r="C2111">
        <v>91.78</v>
      </c>
      <c r="D2111">
        <v>22.74</v>
      </c>
      <c r="E2111">
        <v>8.11</v>
      </c>
      <c r="F2111">
        <v>4.78</v>
      </c>
      <c r="G2111">
        <v>4.58</v>
      </c>
      <c r="H2111">
        <v>71012</v>
      </c>
      <c r="I2111">
        <v>12.7</v>
      </c>
      <c r="J2111" t="s">
        <v>14</v>
      </c>
      <c r="K2111" t="s">
        <v>117</v>
      </c>
    </row>
    <row r="2112" spans="1:11">
      <c r="A2112" t="str">
        <f>"300664"</f>
        <v>300664</v>
      </c>
      <c r="B2112" t="s">
        <v>2444</v>
      </c>
      <c r="C2112">
        <v>42.43</v>
      </c>
      <c r="D2112">
        <v>78.74</v>
      </c>
      <c r="E2112">
        <v>44.05</v>
      </c>
      <c r="F2112">
        <v>7.56</v>
      </c>
      <c r="G2112">
        <v>7.52</v>
      </c>
      <c r="H2112">
        <v>32622</v>
      </c>
      <c r="I2112">
        <v>0.97</v>
      </c>
      <c r="J2112">
        <v>11.84</v>
      </c>
      <c r="K2112" t="s">
        <v>90</v>
      </c>
    </row>
    <row r="2113" spans="1:11">
      <c r="A2113" t="str">
        <f>"300665"</f>
        <v>300665</v>
      </c>
      <c r="B2113" t="s">
        <v>2445</v>
      </c>
      <c r="C2113">
        <v>19.95</v>
      </c>
      <c r="D2113">
        <v>17.39</v>
      </c>
      <c r="E2113">
        <v>5.52</v>
      </c>
      <c r="F2113">
        <v>2.19</v>
      </c>
      <c r="G2113">
        <v>2.18</v>
      </c>
      <c r="H2113">
        <v>18373</v>
      </c>
      <c r="I2113">
        <v>3.63</v>
      </c>
      <c r="J2113" t="s">
        <v>14</v>
      </c>
      <c r="K2113" t="s">
        <v>246</v>
      </c>
    </row>
    <row r="2114" spans="1:11">
      <c r="A2114" t="str">
        <f>"300666"</f>
        <v>300666</v>
      </c>
      <c r="B2114" t="s">
        <v>2446</v>
      </c>
      <c r="C2114">
        <v>266.12</v>
      </c>
      <c r="D2114">
        <v>102.33</v>
      </c>
      <c r="E2114">
        <v>48.66</v>
      </c>
      <c r="F2114">
        <v>2.65</v>
      </c>
      <c r="G2114">
        <v>2.21</v>
      </c>
      <c r="H2114">
        <v>58153</v>
      </c>
      <c r="I2114">
        <v>6.56</v>
      </c>
      <c r="J2114">
        <v>59.75</v>
      </c>
      <c r="K2114" t="s">
        <v>884</v>
      </c>
    </row>
    <row r="2115" spans="1:11">
      <c r="A2115" t="str">
        <f>"300667"</f>
        <v>300667</v>
      </c>
      <c r="B2115" t="s">
        <v>2447</v>
      </c>
      <c r="C2115">
        <v>31.68</v>
      </c>
      <c r="D2115">
        <v>14.39</v>
      </c>
      <c r="E2115">
        <v>11.33</v>
      </c>
      <c r="F2115">
        <v>2.05</v>
      </c>
      <c r="G2115">
        <v>1.73</v>
      </c>
      <c r="H2115">
        <v>20330</v>
      </c>
      <c r="I2115">
        <v>3.31</v>
      </c>
      <c r="J2115" t="s">
        <v>14</v>
      </c>
      <c r="K2115" t="s">
        <v>952</v>
      </c>
    </row>
    <row r="2116" spans="1:11">
      <c r="A2116" t="str">
        <f>"300668"</f>
        <v>300668</v>
      </c>
      <c r="B2116" t="s">
        <v>2448</v>
      </c>
      <c r="C2116">
        <v>30.61</v>
      </c>
      <c r="D2116">
        <v>11.59</v>
      </c>
      <c r="E2116">
        <v>7.84</v>
      </c>
      <c r="F2116">
        <v>1.2</v>
      </c>
      <c r="G2116">
        <v>1</v>
      </c>
      <c r="H2116">
        <v>7853</v>
      </c>
      <c r="I2116">
        <v>4.71</v>
      </c>
      <c r="J2116">
        <v>156.82</v>
      </c>
      <c r="K2116" t="s">
        <v>428</v>
      </c>
    </row>
    <row r="2117" spans="1:11">
      <c r="A2117" t="str">
        <f>"300669"</f>
        <v>300669</v>
      </c>
      <c r="B2117" t="s">
        <v>2449</v>
      </c>
      <c r="C2117">
        <v>46.41</v>
      </c>
      <c r="D2117">
        <v>9.98</v>
      </c>
      <c r="E2117">
        <v>8.74</v>
      </c>
      <c r="F2117">
        <v>1.93</v>
      </c>
      <c r="G2117">
        <v>1.82</v>
      </c>
      <c r="H2117">
        <v>4354</v>
      </c>
      <c r="I2117">
        <v>5.61</v>
      </c>
      <c r="J2117">
        <v>250.26</v>
      </c>
      <c r="K2117" t="s">
        <v>1155</v>
      </c>
    </row>
    <row r="2118" spans="1:11">
      <c r="A2118" t="str">
        <f>"300670"</f>
        <v>300670</v>
      </c>
      <c r="B2118" t="s">
        <v>2450</v>
      </c>
      <c r="C2118">
        <v>15.55</v>
      </c>
      <c r="D2118">
        <v>18.34</v>
      </c>
      <c r="E2118">
        <v>5.7</v>
      </c>
      <c r="F2118">
        <v>3.17</v>
      </c>
      <c r="G2118">
        <v>2.25</v>
      </c>
      <c r="H2118">
        <v>18531</v>
      </c>
      <c r="I2118">
        <v>3.85</v>
      </c>
      <c r="J2118" t="s">
        <v>14</v>
      </c>
      <c r="K2118" t="s">
        <v>943</v>
      </c>
    </row>
    <row r="2119" spans="1:11">
      <c r="A2119" t="str">
        <f>"300671"</f>
        <v>300671</v>
      </c>
      <c r="B2119" t="s">
        <v>2451</v>
      </c>
      <c r="C2119">
        <v>77.93</v>
      </c>
      <c r="D2119">
        <v>24.68</v>
      </c>
      <c r="E2119">
        <v>15.76</v>
      </c>
      <c r="F2119">
        <v>2.21</v>
      </c>
      <c r="G2119">
        <v>2.21</v>
      </c>
      <c r="H2119">
        <v>47329</v>
      </c>
      <c r="I2119">
        <v>4.88</v>
      </c>
      <c r="J2119" t="s">
        <v>14</v>
      </c>
      <c r="K2119" t="s">
        <v>691</v>
      </c>
    </row>
    <row r="2120" spans="1:11">
      <c r="A2120" t="str">
        <f>"300672"</f>
        <v>300672</v>
      </c>
      <c r="B2120" t="s">
        <v>2452</v>
      </c>
      <c r="C2120">
        <v>271.34</v>
      </c>
      <c r="D2120">
        <v>76.43</v>
      </c>
      <c r="E2120">
        <v>40.71</v>
      </c>
      <c r="F2120">
        <v>2.17</v>
      </c>
      <c r="G2120">
        <v>2.1</v>
      </c>
      <c r="H2120">
        <v>33200</v>
      </c>
      <c r="I2120">
        <v>6.88</v>
      </c>
      <c r="J2120">
        <v>2836.44</v>
      </c>
      <c r="K2120" t="s">
        <v>691</v>
      </c>
    </row>
    <row r="2121" spans="1:11">
      <c r="A2121" t="str">
        <f>"300673"</f>
        <v>300673</v>
      </c>
      <c r="B2121" t="s">
        <v>2453</v>
      </c>
      <c r="C2121">
        <v>31.02</v>
      </c>
      <c r="D2121">
        <v>29.52</v>
      </c>
      <c r="E2121">
        <v>19.71</v>
      </c>
      <c r="F2121">
        <v>2.49</v>
      </c>
      <c r="G2121">
        <v>1.62</v>
      </c>
      <c r="H2121">
        <v>17762</v>
      </c>
      <c r="I2121">
        <v>2.58</v>
      </c>
      <c r="J2121">
        <v>31.46</v>
      </c>
      <c r="K2121" t="s">
        <v>1663</v>
      </c>
    </row>
    <row r="2122" spans="1:11">
      <c r="A2122" t="str">
        <f>"300674"</f>
        <v>300674</v>
      </c>
      <c r="B2122" t="s">
        <v>2454</v>
      </c>
      <c r="C2122">
        <v>186.37</v>
      </c>
      <c r="D2122">
        <v>60.05</v>
      </c>
      <c r="E2122">
        <v>44.27</v>
      </c>
      <c r="F2122">
        <v>7.04</v>
      </c>
      <c r="G2122">
        <v>7.03</v>
      </c>
      <c r="H2122">
        <v>72375</v>
      </c>
      <c r="I2122">
        <v>4.22</v>
      </c>
      <c r="J2122">
        <v>50.15</v>
      </c>
      <c r="K2122" t="s">
        <v>117</v>
      </c>
    </row>
    <row r="2123" spans="1:11">
      <c r="A2123" t="str">
        <f>"300675"</f>
        <v>300675</v>
      </c>
      <c r="B2123" t="s">
        <v>2455</v>
      </c>
      <c r="C2123">
        <v>23.91</v>
      </c>
      <c r="D2123">
        <v>13.51</v>
      </c>
      <c r="E2123">
        <v>5.34</v>
      </c>
      <c r="F2123">
        <v>1.47</v>
      </c>
      <c r="G2123">
        <v>1.47</v>
      </c>
      <c r="H2123">
        <v>14503</v>
      </c>
      <c r="I2123">
        <v>4.48</v>
      </c>
      <c r="J2123" t="s">
        <v>14</v>
      </c>
      <c r="K2123" t="s">
        <v>428</v>
      </c>
    </row>
    <row r="2124" spans="1:11">
      <c r="A2124" t="str">
        <f>"300676"</f>
        <v>300676</v>
      </c>
      <c r="B2124" t="s">
        <v>2456</v>
      </c>
      <c r="C2124">
        <v>246.51</v>
      </c>
      <c r="D2124">
        <v>123.01</v>
      </c>
      <c r="E2124">
        <v>92.41</v>
      </c>
      <c r="F2124">
        <v>4.18</v>
      </c>
      <c r="G2124">
        <v>4.16</v>
      </c>
      <c r="H2124">
        <v>67903</v>
      </c>
      <c r="I2124">
        <v>2.68</v>
      </c>
      <c r="J2124" t="s">
        <v>14</v>
      </c>
      <c r="K2124" t="s">
        <v>368</v>
      </c>
    </row>
    <row r="2125" spans="1:11">
      <c r="A2125" t="str">
        <f>"300677"</f>
        <v>300677</v>
      </c>
      <c r="B2125" t="s">
        <v>2457</v>
      </c>
      <c r="C2125">
        <v>192.8</v>
      </c>
      <c r="D2125">
        <v>399.66</v>
      </c>
      <c r="E2125">
        <v>181.6</v>
      </c>
      <c r="F2125">
        <v>6.55</v>
      </c>
      <c r="G2125">
        <v>4.66</v>
      </c>
      <c r="H2125">
        <v>47302</v>
      </c>
      <c r="I2125">
        <v>1.49</v>
      </c>
      <c r="J2125">
        <v>22.01</v>
      </c>
      <c r="K2125" t="s">
        <v>1173</v>
      </c>
    </row>
    <row r="2126" spans="1:11">
      <c r="A2126" t="str">
        <f>"300678"</f>
        <v>300678</v>
      </c>
      <c r="B2126" t="s">
        <v>2458</v>
      </c>
      <c r="C2126">
        <v>106.67</v>
      </c>
      <c r="D2126">
        <v>12.72</v>
      </c>
      <c r="E2126">
        <v>8.46</v>
      </c>
      <c r="F2126">
        <v>2.96</v>
      </c>
      <c r="G2126">
        <v>2.91</v>
      </c>
      <c r="H2126">
        <v>48947</v>
      </c>
      <c r="I2126">
        <v>12.83</v>
      </c>
      <c r="J2126">
        <v>1803.65</v>
      </c>
      <c r="K2126" t="s">
        <v>117</v>
      </c>
    </row>
    <row r="2127" spans="1:11">
      <c r="A2127" t="str">
        <f>"300679"</f>
        <v>300679</v>
      </c>
      <c r="B2127" t="s">
        <v>2459</v>
      </c>
      <c r="C2127">
        <v>176.66</v>
      </c>
      <c r="D2127">
        <v>79.68</v>
      </c>
      <c r="E2127">
        <v>50.31</v>
      </c>
      <c r="F2127">
        <v>4.25</v>
      </c>
      <c r="G2127">
        <v>3.59</v>
      </c>
      <c r="H2127">
        <v>23975</v>
      </c>
      <c r="I2127">
        <v>4.15</v>
      </c>
      <c r="J2127">
        <v>42.04</v>
      </c>
      <c r="K2127" t="s">
        <v>41</v>
      </c>
    </row>
    <row r="2128" spans="1:11">
      <c r="A2128" t="str">
        <f>"300680"</f>
        <v>300680</v>
      </c>
      <c r="B2128" t="s">
        <v>2460</v>
      </c>
      <c r="C2128">
        <v>93.7</v>
      </c>
      <c r="D2128">
        <v>42.1</v>
      </c>
      <c r="E2128">
        <v>19.81</v>
      </c>
      <c r="F2128">
        <v>2.28</v>
      </c>
      <c r="G2128">
        <v>1.76</v>
      </c>
      <c r="H2128">
        <v>27617</v>
      </c>
      <c r="I2128">
        <v>6.12</v>
      </c>
      <c r="J2128">
        <v>43.28</v>
      </c>
      <c r="K2128" t="s">
        <v>51</v>
      </c>
    </row>
    <row r="2129" spans="1:11">
      <c r="A2129" t="str">
        <f>"300681"</f>
        <v>300681</v>
      </c>
      <c r="B2129" t="s">
        <v>2461</v>
      </c>
      <c r="C2129">
        <v>60.64</v>
      </c>
      <c r="D2129">
        <v>62.92</v>
      </c>
      <c r="E2129">
        <v>23.56</v>
      </c>
      <c r="F2129">
        <v>3.06</v>
      </c>
      <c r="G2129">
        <v>2.27</v>
      </c>
      <c r="H2129">
        <v>25578</v>
      </c>
      <c r="I2129">
        <v>3.05</v>
      </c>
      <c r="J2129">
        <v>41.21</v>
      </c>
      <c r="K2129" t="s">
        <v>530</v>
      </c>
    </row>
    <row r="2130" spans="1:11">
      <c r="A2130" t="str">
        <f>"300682"</f>
        <v>300682</v>
      </c>
      <c r="B2130" t="s">
        <v>2462</v>
      </c>
      <c r="C2130">
        <v>200.32</v>
      </c>
      <c r="D2130">
        <v>87.32</v>
      </c>
      <c r="E2130">
        <v>67.96</v>
      </c>
      <c r="F2130">
        <v>10.78</v>
      </c>
      <c r="G2130">
        <v>10.32</v>
      </c>
      <c r="H2130">
        <v>39500</v>
      </c>
      <c r="I2130">
        <v>3.09</v>
      </c>
      <c r="J2130">
        <v>148.39</v>
      </c>
      <c r="K2130" t="s">
        <v>117</v>
      </c>
    </row>
    <row r="2131" spans="1:11">
      <c r="A2131" t="str">
        <f>"300683"</f>
        <v>300683</v>
      </c>
      <c r="B2131" t="s">
        <v>2463</v>
      </c>
      <c r="C2131">
        <v>39.63</v>
      </c>
      <c r="D2131">
        <v>26.37</v>
      </c>
      <c r="E2131">
        <v>22.34</v>
      </c>
      <c r="F2131">
        <v>1.31</v>
      </c>
      <c r="G2131">
        <v>1.22</v>
      </c>
      <c r="H2131">
        <v>18128</v>
      </c>
      <c r="I2131">
        <v>1.9</v>
      </c>
      <c r="J2131" t="s">
        <v>14</v>
      </c>
      <c r="K2131" t="s">
        <v>210</v>
      </c>
    </row>
    <row r="2132" spans="1:11">
      <c r="A2132" t="str">
        <f>"300684"</f>
        <v>300684</v>
      </c>
      <c r="B2132" t="s">
        <v>2464</v>
      </c>
      <c r="C2132">
        <v>97.96</v>
      </c>
      <c r="D2132">
        <v>26.24</v>
      </c>
      <c r="E2132">
        <v>20.95</v>
      </c>
      <c r="F2132">
        <v>3</v>
      </c>
      <c r="G2132">
        <v>2.04</v>
      </c>
      <c r="H2132">
        <v>41972</v>
      </c>
      <c r="I2132">
        <v>6.86</v>
      </c>
      <c r="J2132">
        <v>42.79</v>
      </c>
      <c r="K2132" t="s">
        <v>82</v>
      </c>
    </row>
    <row r="2133" spans="1:11">
      <c r="A2133" t="str">
        <f>"300685"</f>
        <v>300685</v>
      </c>
      <c r="B2133" t="s">
        <v>2465</v>
      </c>
      <c r="C2133">
        <v>88.56</v>
      </c>
      <c r="D2133">
        <v>22.46</v>
      </c>
      <c r="E2133">
        <v>19.59</v>
      </c>
      <c r="F2133">
        <v>3.92</v>
      </c>
      <c r="G2133">
        <v>3.9</v>
      </c>
      <c r="H2133">
        <v>26633</v>
      </c>
      <c r="I2133">
        <v>4.54</v>
      </c>
      <c r="J2133">
        <v>25.43</v>
      </c>
      <c r="K2133" t="s">
        <v>775</v>
      </c>
    </row>
    <row r="2134" spans="1:11">
      <c r="A2134" t="str">
        <f>"300686"</f>
        <v>300686</v>
      </c>
      <c r="B2134" t="s">
        <v>2466</v>
      </c>
      <c r="C2134">
        <v>26.58</v>
      </c>
      <c r="D2134">
        <v>19.55</v>
      </c>
      <c r="E2134">
        <v>9.41</v>
      </c>
      <c r="F2134">
        <v>2.61</v>
      </c>
      <c r="G2134">
        <v>1.7</v>
      </c>
      <c r="H2134">
        <v>16333</v>
      </c>
      <c r="I2134">
        <v>4.34</v>
      </c>
      <c r="J2134" t="s">
        <v>14</v>
      </c>
      <c r="K2134" t="s">
        <v>41</v>
      </c>
    </row>
    <row r="2135" spans="1:11">
      <c r="A2135" t="str">
        <f>"300687"</f>
        <v>300687</v>
      </c>
      <c r="B2135" t="s">
        <v>2467</v>
      </c>
      <c r="C2135">
        <v>94.45</v>
      </c>
      <c r="D2135">
        <v>41.1</v>
      </c>
      <c r="E2135">
        <v>27.64</v>
      </c>
      <c r="F2135">
        <v>4.08</v>
      </c>
      <c r="G2135">
        <v>3.29</v>
      </c>
      <c r="H2135">
        <v>38954</v>
      </c>
      <c r="I2135">
        <v>4.24</v>
      </c>
      <c r="J2135">
        <v>318.35</v>
      </c>
      <c r="K2135" t="s">
        <v>57</v>
      </c>
    </row>
    <row r="2136" spans="1:11">
      <c r="A2136" t="str">
        <f>"300688"</f>
        <v>300688</v>
      </c>
      <c r="B2136" t="s">
        <v>2468</v>
      </c>
      <c r="C2136">
        <v>50.23</v>
      </c>
      <c r="D2136">
        <v>5.45</v>
      </c>
      <c r="E2136">
        <v>4</v>
      </c>
      <c r="F2136">
        <v>1.67</v>
      </c>
      <c r="G2136">
        <v>1.48</v>
      </c>
      <c r="H2136">
        <v>30085</v>
      </c>
      <c r="I2136">
        <v>14.16</v>
      </c>
      <c r="J2136" t="s">
        <v>14</v>
      </c>
      <c r="K2136" t="s">
        <v>198</v>
      </c>
    </row>
    <row r="2137" spans="1:11">
      <c r="A2137" t="str">
        <f>"300689"</f>
        <v>300689</v>
      </c>
      <c r="B2137" t="s">
        <v>2469</v>
      </c>
      <c r="C2137">
        <v>49.31</v>
      </c>
      <c r="D2137">
        <v>7.92</v>
      </c>
      <c r="E2137">
        <v>6.91</v>
      </c>
      <c r="F2137">
        <v>1.16</v>
      </c>
      <c r="G2137">
        <v>1.01</v>
      </c>
      <c r="H2137">
        <v>10145</v>
      </c>
      <c r="I2137">
        <v>8.16</v>
      </c>
      <c r="J2137">
        <v>340.11</v>
      </c>
      <c r="K2137" t="s">
        <v>770</v>
      </c>
    </row>
    <row r="2138" spans="1:11">
      <c r="A2138" t="str">
        <f>"300690"</f>
        <v>300690</v>
      </c>
      <c r="B2138" t="s">
        <v>2470</v>
      </c>
      <c r="C2138">
        <v>36.81</v>
      </c>
      <c r="D2138">
        <v>19.45</v>
      </c>
      <c r="E2138">
        <v>15.82</v>
      </c>
      <c r="F2138">
        <v>1.65</v>
      </c>
      <c r="G2138">
        <v>1.11</v>
      </c>
      <c r="H2138">
        <v>30604</v>
      </c>
      <c r="I2138">
        <v>3.47</v>
      </c>
      <c r="J2138">
        <v>28.51</v>
      </c>
      <c r="K2138" t="s">
        <v>456</v>
      </c>
    </row>
    <row r="2139" spans="1:11">
      <c r="A2139" t="str">
        <f>"300691"</f>
        <v>300691</v>
      </c>
      <c r="B2139" t="s">
        <v>2471</v>
      </c>
      <c r="C2139">
        <v>39.42</v>
      </c>
      <c r="D2139">
        <v>30.74</v>
      </c>
      <c r="E2139">
        <v>16.11</v>
      </c>
      <c r="F2139">
        <v>2.69</v>
      </c>
      <c r="G2139">
        <v>2.21</v>
      </c>
      <c r="H2139">
        <v>22831</v>
      </c>
      <c r="I2139">
        <v>2.98</v>
      </c>
      <c r="J2139" t="s">
        <v>14</v>
      </c>
      <c r="K2139" t="s">
        <v>66</v>
      </c>
    </row>
    <row r="2140" spans="1:11">
      <c r="A2140" t="str">
        <f>"300692"</f>
        <v>300692</v>
      </c>
      <c r="B2140" t="s">
        <v>2472</v>
      </c>
      <c r="C2140">
        <v>37.58</v>
      </c>
      <c r="D2140">
        <v>68.14</v>
      </c>
      <c r="E2140">
        <v>23.49</v>
      </c>
      <c r="F2140">
        <v>4.6</v>
      </c>
      <c r="G2140">
        <v>4.11</v>
      </c>
      <c r="H2140">
        <v>17898</v>
      </c>
      <c r="I2140">
        <v>1.75</v>
      </c>
      <c r="J2140">
        <v>37.3</v>
      </c>
      <c r="K2140" t="s">
        <v>90</v>
      </c>
    </row>
    <row r="2141" spans="1:11">
      <c r="A2141" t="str">
        <f>"300693"</f>
        <v>300693</v>
      </c>
      <c r="B2141" t="s">
        <v>2473</v>
      </c>
      <c r="C2141">
        <v>109.85</v>
      </c>
      <c r="D2141">
        <v>40.38</v>
      </c>
      <c r="E2141">
        <v>19.66</v>
      </c>
      <c r="F2141">
        <v>3.13</v>
      </c>
      <c r="G2141">
        <v>2.69</v>
      </c>
      <c r="H2141">
        <v>34679</v>
      </c>
      <c r="I2141">
        <v>6.5</v>
      </c>
      <c r="J2141">
        <v>34.65</v>
      </c>
      <c r="K2141" t="s">
        <v>1010</v>
      </c>
    </row>
    <row r="2142" spans="1:11">
      <c r="A2142" t="str">
        <f>"300694"</f>
        <v>300694</v>
      </c>
      <c r="B2142" t="s">
        <v>2474</v>
      </c>
      <c r="C2142">
        <v>26.48</v>
      </c>
      <c r="D2142">
        <v>20.08</v>
      </c>
      <c r="E2142">
        <v>13.85</v>
      </c>
      <c r="F2142">
        <v>2.17</v>
      </c>
      <c r="G2142">
        <v>2.17</v>
      </c>
      <c r="H2142">
        <v>21549</v>
      </c>
      <c r="I2142">
        <v>1.9</v>
      </c>
      <c r="J2142">
        <v>109.54</v>
      </c>
      <c r="K2142" t="s">
        <v>51</v>
      </c>
    </row>
    <row r="2143" spans="1:11">
      <c r="A2143" t="str">
        <f>"300695"</f>
        <v>300695</v>
      </c>
      <c r="B2143" t="s">
        <v>2475</v>
      </c>
      <c r="C2143">
        <v>90.04</v>
      </c>
      <c r="D2143">
        <v>32.74</v>
      </c>
      <c r="E2143">
        <v>28.49</v>
      </c>
      <c r="F2143">
        <v>1.02</v>
      </c>
      <c r="G2143">
        <v>1.02</v>
      </c>
      <c r="H2143">
        <v>6687</v>
      </c>
      <c r="I2143">
        <v>3.16</v>
      </c>
      <c r="J2143">
        <v>22.31</v>
      </c>
      <c r="K2143" t="s">
        <v>263</v>
      </c>
    </row>
    <row r="2144" spans="1:11">
      <c r="A2144" t="str">
        <f>"300696"</f>
        <v>300696</v>
      </c>
      <c r="B2144" t="s">
        <v>2476</v>
      </c>
      <c r="C2144">
        <v>80.7</v>
      </c>
      <c r="D2144">
        <v>21.82</v>
      </c>
      <c r="E2144">
        <v>18.92</v>
      </c>
      <c r="F2144">
        <v>2.93</v>
      </c>
      <c r="G2144">
        <v>2.66</v>
      </c>
      <c r="H2144">
        <v>28661</v>
      </c>
      <c r="I2144">
        <v>4.7</v>
      </c>
      <c r="J2144">
        <v>142.73</v>
      </c>
      <c r="K2144" t="s">
        <v>353</v>
      </c>
    </row>
    <row r="2145" spans="1:11">
      <c r="A2145" t="str">
        <f>"300697"</f>
        <v>300697</v>
      </c>
      <c r="B2145" t="s">
        <v>2477</v>
      </c>
      <c r="C2145">
        <v>58.63</v>
      </c>
      <c r="D2145">
        <v>21.64</v>
      </c>
      <c r="E2145">
        <v>12.26</v>
      </c>
      <c r="F2145">
        <v>4.33</v>
      </c>
      <c r="G2145">
        <v>3.31</v>
      </c>
      <c r="H2145">
        <v>40484</v>
      </c>
      <c r="I2145">
        <v>6.24</v>
      </c>
      <c r="J2145">
        <v>45.07</v>
      </c>
      <c r="K2145" t="s">
        <v>303</v>
      </c>
    </row>
    <row r="2146" spans="1:11">
      <c r="A2146" t="str">
        <f>"300698"</f>
        <v>300698</v>
      </c>
      <c r="B2146" t="s">
        <v>2478</v>
      </c>
      <c r="C2146">
        <v>55.61</v>
      </c>
      <c r="D2146">
        <v>11.41</v>
      </c>
      <c r="E2146">
        <v>5.15</v>
      </c>
      <c r="F2146">
        <v>1.34</v>
      </c>
      <c r="G2146">
        <v>1.19</v>
      </c>
      <c r="H2146">
        <v>25954</v>
      </c>
      <c r="I2146">
        <v>12.21</v>
      </c>
      <c r="J2146">
        <v>144.25</v>
      </c>
      <c r="K2146" t="s">
        <v>972</v>
      </c>
    </row>
    <row r="2147" spans="1:11">
      <c r="A2147" t="str">
        <f>"300699"</f>
        <v>300699</v>
      </c>
      <c r="B2147" t="s">
        <v>2479</v>
      </c>
      <c r="C2147">
        <v>335.31</v>
      </c>
      <c r="D2147">
        <v>85.88</v>
      </c>
      <c r="E2147">
        <v>55.23</v>
      </c>
      <c r="F2147">
        <v>8.31</v>
      </c>
      <c r="G2147">
        <v>8.21</v>
      </c>
      <c r="H2147">
        <v>86511</v>
      </c>
      <c r="I2147">
        <v>6.14</v>
      </c>
      <c r="J2147">
        <v>61.35</v>
      </c>
      <c r="K2147" t="s">
        <v>2480</v>
      </c>
    </row>
    <row r="2148" spans="1:11">
      <c r="A2148" t="str">
        <f>"300700"</f>
        <v>300700</v>
      </c>
      <c r="B2148" t="s">
        <v>2481</v>
      </c>
      <c r="C2148">
        <v>34.88</v>
      </c>
      <c r="D2148">
        <v>17.23</v>
      </c>
      <c r="E2148">
        <v>8.66</v>
      </c>
      <c r="F2148">
        <v>3.97</v>
      </c>
      <c r="G2148">
        <v>2.71</v>
      </c>
      <c r="H2148">
        <v>14231</v>
      </c>
      <c r="I2148">
        <v>5.89</v>
      </c>
      <c r="J2148" t="s">
        <v>14</v>
      </c>
      <c r="K2148" t="s">
        <v>1069</v>
      </c>
    </row>
    <row r="2149" spans="1:11">
      <c r="A2149" t="str">
        <f>"300701"</f>
        <v>300701</v>
      </c>
      <c r="B2149" t="s">
        <v>2482</v>
      </c>
      <c r="C2149">
        <v>33.63</v>
      </c>
      <c r="D2149">
        <v>11.59</v>
      </c>
      <c r="E2149">
        <v>9.73</v>
      </c>
      <c r="F2149">
        <v>2.83</v>
      </c>
      <c r="G2149">
        <v>2.49</v>
      </c>
      <c r="H2149">
        <v>25766</v>
      </c>
      <c r="I2149">
        <v>3.92</v>
      </c>
      <c r="J2149">
        <v>46.69</v>
      </c>
      <c r="K2149" t="s">
        <v>66</v>
      </c>
    </row>
    <row r="2150" spans="1:11">
      <c r="A2150" t="str">
        <f>"300702"</f>
        <v>300702</v>
      </c>
      <c r="B2150" t="s">
        <v>2483</v>
      </c>
      <c r="C2150">
        <v>54.42</v>
      </c>
      <c r="D2150">
        <v>65.64</v>
      </c>
      <c r="E2150">
        <v>37.2</v>
      </c>
      <c r="F2150">
        <v>3.48</v>
      </c>
      <c r="G2150">
        <v>2.11</v>
      </c>
      <c r="H2150">
        <v>15238</v>
      </c>
      <c r="I2150">
        <v>2.41</v>
      </c>
      <c r="J2150">
        <v>30.44</v>
      </c>
      <c r="K2150" t="s">
        <v>404</v>
      </c>
    </row>
    <row r="2151" spans="1:11">
      <c r="A2151" t="str">
        <f>"300703"</f>
        <v>300703</v>
      </c>
      <c r="B2151" t="s">
        <v>2484</v>
      </c>
      <c r="C2151">
        <v>48.01</v>
      </c>
      <c r="D2151">
        <v>20.33</v>
      </c>
      <c r="E2151">
        <v>9.33</v>
      </c>
      <c r="F2151">
        <v>1.8</v>
      </c>
      <c r="G2151">
        <v>1.7</v>
      </c>
      <c r="H2151">
        <v>15697</v>
      </c>
      <c r="I2151">
        <v>5.47</v>
      </c>
      <c r="J2151">
        <v>48.07</v>
      </c>
      <c r="K2151" t="s">
        <v>867</v>
      </c>
    </row>
    <row r="2152" spans="1:11">
      <c r="A2152" t="str">
        <f>"300705"</f>
        <v>300705</v>
      </c>
      <c r="B2152" t="s">
        <v>2485</v>
      </c>
      <c r="C2152">
        <v>59.03</v>
      </c>
      <c r="D2152">
        <v>36.71</v>
      </c>
      <c r="E2152">
        <v>26.75</v>
      </c>
      <c r="F2152">
        <v>5</v>
      </c>
      <c r="G2152">
        <v>3.69</v>
      </c>
      <c r="H2152">
        <v>34736</v>
      </c>
      <c r="I2152">
        <v>3.04</v>
      </c>
      <c r="J2152">
        <v>14.77</v>
      </c>
      <c r="K2152" t="s">
        <v>109</v>
      </c>
    </row>
    <row r="2153" spans="1:11">
      <c r="A2153" t="str">
        <f>"300706"</f>
        <v>300706</v>
      </c>
      <c r="B2153" t="s">
        <v>2486</v>
      </c>
      <c r="C2153">
        <v>42.38</v>
      </c>
      <c r="D2153">
        <v>20.91</v>
      </c>
      <c r="E2153">
        <v>7.02</v>
      </c>
      <c r="F2153">
        <v>1.53</v>
      </c>
      <c r="G2153">
        <v>1.14</v>
      </c>
      <c r="H2153">
        <v>32689</v>
      </c>
      <c r="I2153">
        <v>8.14</v>
      </c>
      <c r="J2153" t="s">
        <v>14</v>
      </c>
      <c r="K2153" t="s">
        <v>884</v>
      </c>
    </row>
    <row r="2154" spans="1:11">
      <c r="A2154" t="str">
        <f>"300707"</f>
        <v>300707</v>
      </c>
      <c r="B2154" t="s">
        <v>2487</v>
      </c>
      <c r="C2154">
        <v>25.53</v>
      </c>
      <c r="D2154">
        <v>19.33</v>
      </c>
      <c r="E2154">
        <v>11.87</v>
      </c>
      <c r="F2154">
        <v>1.77</v>
      </c>
      <c r="G2154">
        <v>1.43</v>
      </c>
      <c r="H2154">
        <v>17498</v>
      </c>
      <c r="I2154">
        <v>2.74</v>
      </c>
      <c r="J2154">
        <v>72.67</v>
      </c>
      <c r="K2154" t="s">
        <v>517</v>
      </c>
    </row>
    <row r="2155" spans="1:11">
      <c r="A2155" t="str">
        <f>"300708"</f>
        <v>300708</v>
      </c>
      <c r="B2155" t="s">
        <v>2488</v>
      </c>
      <c r="C2155">
        <v>67.38</v>
      </c>
      <c r="D2155">
        <v>52.48</v>
      </c>
      <c r="E2155">
        <v>28.2</v>
      </c>
      <c r="F2155">
        <v>9.39</v>
      </c>
      <c r="G2155">
        <v>7.1</v>
      </c>
      <c r="H2155">
        <v>63600</v>
      </c>
      <c r="I2155">
        <v>3.16</v>
      </c>
      <c r="J2155">
        <v>38.62</v>
      </c>
      <c r="K2155" t="s">
        <v>216</v>
      </c>
    </row>
    <row r="2156" spans="1:11">
      <c r="A2156" t="str">
        <f>"300709"</f>
        <v>300709</v>
      </c>
      <c r="B2156" t="s">
        <v>2489</v>
      </c>
      <c r="C2156">
        <v>70.58</v>
      </c>
      <c r="D2156">
        <v>41.35</v>
      </c>
      <c r="E2156">
        <v>22.95</v>
      </c>
      <c r="F2156">
        <v>1.86</v>
      </c>
      <c r="G2156">
        <v>1.49</v>
      </c>
      <c r="H2156">
        <v>29181</v>
      </c>
      <c r="I2156">
        <v>3.83</v>
      </c>
      <c r="J2156">
        <v>43.78</v>
      </c>
      <c r="K2156" t="s">
        <v>41</v>
      </c>
    </row>
    <row r="2157" spans="1:11">
      <c r="A2157" t="str">
        <f>"300710"</f>
        <v>300710</v>
      </c>
      <c r="B2157" t="s">
        <v>2490</v>
      </c>
      <c r="C2157">
        <v>24.34</v>
      </c>
      <c r="D2157">
        <v>6.36</v>
      </c>
      <c r="E2157">
        <v>4.62</v>
      </c>
      <c r="F2157">
        <v>0.99</v>
      </c>
      <c r="G2157">
        <v>0.75</v>
      </c>
      <c r="H2157">
        <v>11218</v>
      </c>
      <c r="I2157">
        <v>7.02</v>
      </c>
      <c r="J2157" t="s">
        <v>14</v>
      </c>
      <c r="K2157" t="s">
        <v>972</v>
      </c>
    </row>
    <row r="2158" spans="1:11">
      <c r="A2158" t="str">
        <f>"300711"</f>
        <v>300711</v>
      </c>
      <c r="B2158" t="s">
        <v>2491</v>
      </c>
      <c r="C2158">
        <v>86.9</v>
      </c>
      <c r="D2158">
        <v>13.86</v>
      </c>
      <c r="E2158">
        <v>7.4</v>
      </c>
      <c r="F2158">
        <v>2.49</v>
      </c>
      <c r="G2158">
        <v>2.48</v>
      </c>
      <c r="H2158">
        <v>20962</v>
      </c>
      <c r="I2158">
        <v>11.78</v>
      </c>
      <c r="J2158">
        <v>184.47</v>
      </c>
      <c r="K2158" t="s">
        <v>933</v>
      </c>
    </row>
    <row r="2159" spans="1:11">
      <c r="A2159" t="str">
        <f>"300712"</f>
        <v>300712</v>
      </c>
      <c r="B2159" t="s">
        <v>2492</v>
      </c>
      <c r="C2159">
        <v>53.59</v>
      </c>
      <c r="D2159">
        <v>41.33</v>
      </c>
      <c r="E2159">
        <v>12.88</v>
      </c>
      <c r="F2159">
        <v>1.88</v>
      </c>
      <c r="G2159">
        <v>1.87</v>
      </c>
      <c r="H2159">
        <v>18977</v>
      </c>
      <c r="I2159">
        <v>4.18</v>
      </c>
      <c r="J2159">
        <v>108.83</v>
      </c>
      <c r="K2159" t="s">
        <v>55</v>
      </c>
    </row>
    <row r="2160" spans="1:11">
      <c r="A2160" t="str">
        <f>"300713"</f>
        <v>300713</v>
      </c>
      <c r="B2160" t="s">
        <v>2493</v>
      </c>
      <c r="C2160">
        <v>16.24</v>
      </c>
      <c r="D2160">
        <v>10.81</v>
      </c>
      <c r="E2160">
        <v>5.1</v>
      </c>
      <c r="F2160">
        <v>1.59</v>
      </c>
      <c r="G2160">
        <v>0.89</v>
      </c>
      <c r="H2160">
        <v>14700</v>
      </c>
      <c r="I2160">
        <v>5.67</v>
      </c>
      <c r="J2160" t="s">
        <v>14</v>
      </c>
      <c r="K2160" t="s">
        <v>1010</v>
      </c>
    </row>
    <row r="2161" spans="1:11">
      <c r="A2161" t="str">
        <f>"300715"</f>
        <v>300715</v>
      </c>
      <c r="B2161" t="s">
        <v>2494</v>
      </c>
      <c r="C2161">
        <v>37.76</v>
      </c>
      <c r="D2161">
        <v>57.87</v>
      </c>
      <c r="E2161">
        <v>18.59</v>
      </c>
      <c r="F2161">
        <v>3.78</v>
      </c>
      <c r="G2161">
        <v>3.34</v>
      </c>
      <c r="H2161">
        <v>10195</v>
      </c>
      <c r="I2161">
        <v>2.3</v>
      </c>
      <c r="J2161">
        <v>121.32</v>
      </c>
      <c r="K2161" t="s">
        <v>1058</v>
      </c>
    </row>
    <row r="2162" spans="1:11">
      <c r="A2162" t="str">
        <f>"300716"</f>
        <v>300716</v>
      </c>
      <c r="B2162" t="s">
        <v>2495</v>
      </c>
      <c r="C2162">
        <v>18.99</v>
      </c>
      <c r="D2162">
        <v>8.35</v>
      </c>
      <c r="E2162">
        <v>-0.01</v>
      </c>
      <c r="F2162">
        <v>1.6</v>
      </c>
      <c r="G2162">
        <v>1.6</v>
      </c>
      <c r="H2162">
        <v>5219</v>
      </c>
      <c r="I2162">
        <v>-1695.71</v>
      </c>
      <c r="J2162" t="s">
        <v>14</v>
      </c>
      <c r="K2162" t="s">
        <v>1113</v>
      </c>
    </row>
    <row r="2163" spans="1:11">
      <c r="A2163" t="str">
        <f>"300717"</f>
        <v>300717</v>
      </c>
      <c r="B2163" t="s">
        <v>2496</v>
      </c>
      <c r="C2163">
        <v>20.14</v>
      </c>
      <c r="D2163">
        <v>9.82</v>
      </c>
      <c r="E2163">
        <v>7.25</v>
      </c>
      <c r="F2163">
        <v>1.03</v>
      </c>
      <c r="G2163">
        <v>1.02</v>
      </c>
      <c r="H2163">
        <v>11566</v>
      </c>
      <c r="I2163">
        <v>2.8</v>
      </c>
      <c r="J2163">
        <v>37.34</v>
      </c>
      <c r="K2163" t="s">
        <v>549</v>
      </c>
    </row>
    <row r="2164" spans="1:11">
      <c r="A2164" t="str">
        <f>"300718"</f>
        <v>300718</v>
      </c>
      <c r="B2164" t="s">
        <v>2497</v>
      </c>
      <c r="C2164">
        <v>161.28</v>
      </c>
      <c r="D2164">
        <v>20.94</v>
      </c>
      <c r="E2164">
        <v>16.75</v>
      </c>
      <c r="F2164">
        <v>2.99</v>
      </c>
      <c r="G2164">
        <v>1.94</v>
      </c>
      <c r="H2164">
        <v>72988</v>
      </c>
      <c r="I2164">
        <v>14.84</v>
      </c>
      <c r="J2164">
        <v>99.28</v>
      </c>
      <c r="K2164" t="s">
        <v>424</v>
      </c>
    </row>
    <row r="2165" spans="1:11">
      <c r="A2165" t="str">
        <f>"300719"</f>
        <v>300719</v>
      </c>
      <c r="B2165" t="s">
        <v>2498</v>
      </c>
      <c r="C2165">
        <v>32.31</v>
      </c>
      <c r="D2165">
        <v>17.68</v>
      </c>
      <c r="E2165">
        <v>10.38</v>
      </c>
      <c r="F2165">
        <v>2.54</v>
      </c>
      <c r="G2165">
        <v>1.8</v>
      </c>
      <c r="H2165">
        <v>29333</v>
      </c>
      <c r="I2165">
        <v>4.41</v>
      </c>
      <c r="J2165">
        <v>6049.66</v>
      </c>
      <c r="K2165" t="s">
        <v>353</v>
      </c>
    </row>
    <row r="2166" spans="1:11">
      <c r="A2166" t="str">
        <f>"300720"</f>
        <v>300720</v>
      </c>
      <c r="B2166" t="s">
        <v>2499</v>
      </c>
      <c r="C2166">
        <v>56.52</v>
      </c>
      <c r="D2166">
        <v>6.42</v>
      </c>
      <c r="E2166">
        <v>5.86</v>
      </c>
      <c r="F2166">
        <v>1.95</v>
      </c>
      <c r="G2166">
        <v>1.75</v>
      </c>
      <c r="H2166">
        <v>10192</v>
      </c>
      <c r="I2166">
        <v>10.77</v>
      </c>
      <c r="J2166">
        <v>171.25</v>
      </c>
      <c r="K2166" t="s">
        <v>952</v>
      </c>
    </row>
    <row r="2167" spans="1:11">
      <c r="A2167" t="str">
        <f>"300721"</f>
        <v>300721</v>
      </c>
      <c r="B2167" t="s">
        <v>2500</v>
      </c>
      <c r="C2167">
        <v>18.75</v>
      </c>
      <c r="D2167">
        <v>25.6</v>
      </c>
      <c r="E2167">
        <v>11.29</v>
      </c>
      <c r="F2167">
        <v>1.65</v>
      </c>
      <c r="G2167">
        <v>1.38</v>
      </c>
      <c r="H2167">
        <v>15112</v>
      </c>
      <c r="I2167">
        <v>1.98</v>
      </c>
      <c r="J2167" t="s">
        <v>14</v>
      </c>
      <c r="K2167" t="s">
        <v>1201</v>
      </c>
    </row>
    <row r="2168" spans="1:11">
      <c r="A2168" t="str">
        <f>"300722"</f>
        <v>300722</v>
      </c>
      <c r="B2168" t="s">
        <v>2501</v>
      </c>
      <c r="C2168">
        <v>99.6</v>
      </c>
      <c r="D2168">
        <v>8.46</v>
      </c>
      <c r="E2168">
        <v>6.35</v>
      </c>
      <c r="F2168">
        <v>2.77</v>
      </c>
      <c r="G2168">
        <v>2.77</v>
      </c>
      <c r="H2168">
        <v>32226</v>
      </c>
      <c r="I2168">
        <v>15.69</v>
      </c>
      <c r="J2168">
        <v>155.03</v>
      </c>
      <c r="K2168" t="s">
        <v>241</v>
      </c>
    </row>
    <row r="2169" spans="1:11">
      <c r="A2169" t="str">
        <f>"300723"</f>
        <v>300723</v>
      </c>
      <c r="B2169" t="s">
        <v>2502</v>
      </c>
      <c r="C2169">
        <v>174.38</v>
      </c>
      <c r="D2169">
        <v>45.32</v>
      </c>
      <c r="E2169">
        <v>17.51</v>
      </c>
      <c r="F2169">
        <v>4.52</v>
      </c>
      <c r="G2169">
        <v>4.18</v>
      </c>
      <c r="H2169">
        <v>26517</v>
      </c>
      <c r="I2169">
        <v>10.77</v>
      </c>
      <c r="J2169" t="s">
        <v>14</v>
      </c>
      <c r="K2169" t="s">
        <v>109</v>
      </c>
    </row>
    <row r="2170" spans="1:11">
      <c r="A2170" t="str">
        <f>"300724"</f>
        <v>300724</v>
      </c>
      <c r="B2170" t="s">
        <v>2503</v>
      </c>
      <c r="C2170">
        <v>331.53</v>
      </c>
      <c r="D2170">
        <v>267.86</v>
      </c>
      <c r="E2170">
        <v>133.63</v>
      </c>
      <c r="F2170">
        <v>3.48</v>
      </c>
      <c r="G2170">
        <v>2.88</v>
      </c>
      <c r="H2170">
        <v>80963</v>
      </c>
      <c r="I2170">
        <v>3</v>
      </c>
      <c r="J2170">
        <v>11.2</v>
      </c>
      <c r="K2170" t="s">
        <v>469</v>
      </c>
    </row>
    <row r="2171" spans="1:11">
      <c r="A2171" t="str">
        <f>"300725"</f>
        <v>300725</v>
      </c>
      <c r="B2171" t="s">
        <v>2504</v>
      </c>
      <c r="C2171">
        <v>96.76</v>
      </c>
      <c r="D2171">
        <v>77.95</v>
      </c>
      <c r="E2171">
        <v>71.49</v>
      </c>
      <c r="F2171">
        <v>2.34</v>
      </c>
      <c r="G2171">
        <v>2.03</v>
      </c>
      <c r="H2171">
        <v>42492</v>
      </c>
      <c r="I2171">
        <v>1.56</v>
      </c>
      <c r="J2171">
        <v>73.81</v>
      </c>
      <c r="K2171" t="s">
        <v>1595</v>
      </c>
    </row>
    <row r="2172" spans="1:11">
      <c r="A2172" t="str">
        <f>"300726"</f>
        <v>300726</v>
      </c>
      <c r="B2172" t="s">
        <v>2505</v>
      </c>
      <c r="C2172">
        <v>107.78</v>
      </c>
      <c r="D2172">
        <v>61</v>
      </c>
      <c r="E2172">
        <v>50.26</v>
      </c>
      <c r="F2172">
        <v>4.12</v>
      </c>
      <c r="G2172">
        <v>2.14</v>
      </c>
      <c r="H2172">
        <v>24933</v>
      </c>
      <c r="I2172">
        <v>4.12</v>
      </c>
      <c r="J2172">
        <v>47.44</v>
      </c>
      <c r="K2172" t="s">
        <v>223</v>
      </c>
    </row>
    <row r="2173" spans="1:11">
      <c r="A2173" t="str">
        <f>"300727"</f>
        <v>300727</v>
      </c>
      <c r="B2173" t="s">
        <v>2506</v>
      </c>
      <c r="C2173">
        <v>58.81</v>
      </c>
      <c r="D2173">
        <v>17.52</v>
      </c>
      <c r="E2173">
        <v>12.98</v>
      </c>
      <c r="F2173">
        <v>1.8</v>
      </c>
      <c r="G2173">
        <v>1.62</v>
      </c>
      <c r="H2173">
        <v>18203</v>
      </c>
      <c r="I2173">
        <v>5.04</v>
      </c>
      <c r="J2173">
        <v>51.51</v>
      </c>
      <c r="K2173" t="s">
        <v>993</v>
      </c>
    </row>
    <row r="2174" spans="1:11">
      <c r="A2174" t="str">
        <f>"300729"</f>
        <v>300729</v>
      </c>
      <c r="B2174" t="s">
        <v>2507</v>
      </c>
      <c r="C2174">
        <v>45.98</v>
      </c>
      <c r="D2174">
        <v>101.58</v>
      </c>
      <c r="E2174">
        <v>36.67</v>
      </c>
      <c r="F2174">
        <v>3.42</v>
      </c>
      <c r="G2174">
        <v>3.18</v>
      </c>
      <c r="H2174">
        <v>20769</v>
      </c>
      <c r="I2174">
        <v>1.35</v>
      </c>
      <c r="J2174">
        <v>21.89</v>
      </c>
      <c r="K2174" t="s">
        <v>540</v>
      </c>
    </row>
    <row r="2175" spans="1:11">
      <c r="A2175" t="str">
        <f>"300730"</f>
        <v>300730</v>
      </c>
      <c r="B2175" t="s">
        <v>2508</v>
      </c>
      <c r="C2175">
        <v>29.33</v>
      </c>
      <c r="D2175">
        <v>7.75</v>
      </c>
      <c r="E2175">
        <v>2.51</v>
      </c>
      <c r="F2175">
        <v>2.41</v>
      </c>
      <c r="G2175">
        <v>1.93</v>
      </c>
      <c r="H2175">
        <v>32917</v>
      </c>
      <c r="I2175">
        <v>14.6</v>
      </c>
      <c r="J2175" t="s">
        <v>14</v>
      </c>
      <c r="K2175" t="s">
        <v>117</v>
      </c>
    </row>
    <row r="2176" spans="1:11">
      <c r="A2176" t="str">
        <f>"300731"</f>
        <v>300731</v>
      </c>
      <c r="B2176" t="s">
        <v>2509</v>
      </c>
      <c r="C2176">
        <v>62.07</v>
      </c>
      <c r="D2176">
        <v>12.27</v>
      </c>
      <c r="E2176">
        <v>6.19</v>
      </c>
      <c r="F2176">
        <v>1.26</v>
      </c>
      <c r="G2176">
        <v>1.2</v>
      </c>
      <c r="H2176">
        <v>23420</v>
      </c>
      <c r="I2176">
        <v>10.55</v>
      </c>
      <c r="J2176">
        <v>181.17</v>
      </c>
      <c r="K2176" t="s">
        <v>705</v>
      </c>
    </row>
    <row r="2177" spans="1:11">
      <c r="A2177" t="str">
        <f>"300732"</f>
        <v>300732</v>
      </c>
      <c r="B2177" t="s">
        <v>2510</v>
      </c>
      <c r="C2177">
        <v>28.95</v>
      </c>
      <c r="D2177">
        <v>65.57</v>
      </c>
      <c r="E2177">
        <v>29.14</v>
      </c>
      <c r="F2177">
        <v>3.71</v>
      </c>
      <c r="G2177">
        <v>3.7</v>
      </c>
      <c r="H2177">
        <v>28658</v>
      </c>
      <c r="I2177">
        <v>0.99</v>
      </c>
      <c r="J2177" t="s">
        <v>14</v>
      </c>
      <c r="K2177" t="s">
        <v>428</v>
      </c>
    </row>
    <row r="2178" spans="1:11">
      <c r="A2178" t="str">
        <f>"300733"</f>
        <v>300733</v>
      </c>
      <c r="B2178" t="s">
        <v>2511</v>
      </c>
      <c r="C2178">
        <v>43.07</v>
      </c>
      <c r="D2178">
        <v>33.07</v>
      </c>
      <c r="E2178">
        <v>17.1</v>
      </c>
      <c r="F2178">
        <v>3.06</v>
      </c>
      <c r="G2178">
        <v>2.25</v>
      </c>
      <c r="H2178">
        <v>23379</v>
      </c>
      <c r="I2178">
        <v>3.41</v>
      </c>
      <c r="J2178">
        <v>57.8</v>
      </c>
      <c r="K2178" t="s">
        <v>51</v>
      </c>
    </row>
    <row r="2179" spans="1:11">
      <c r="A2179" t="str">
        <f>"300735"</f>
        <v>300735</v>
      </c>
      <c r="B2179" t="s">
        <v>2512</v>
      </c>
      <c r="C2179">
        <v>198.06</v>
      </c>
      <c r="D2179">
        <v>101.62</v>
      </c>
      <c r="E2179">
        <v>49.4</v>
      </c>
      <c r="F2179">
        <v>7.67</v>
      </c>
      <c r="G2179">
        <v>7.57</v>
      </c>
      <c r="H2179">
        <v>70211</v>
      </c>
      <c r="I2179">
        <v>4.06</v>
      </c>
      <c r="J2179">
        <v>75.66</v>
      </c>
      <c r="K2179" t="s">
        <v>41</v>
      </c>
    </row>
    <row r="2180" spans="1:11">
      <c r="A2180" t="str">
        <f>"300736"</f>
        <v>300736</v>
      </c>
      <c r="B2180" t="s">
        <v>2513</v>
      </c>
      <c r="C2180">
        <v>21.25</v>
      </c>
      <c r="D2180">
        <v>1.27</v>
      </c>
      <c r="E2180">
        <v>0.82</v>
      </c>
      <c r="F2180">
        <v>1.28</v>
      </c>
      <c r="G2180">
        <v>1.25</v>
      </c>
      <c r="H2180">
        <v>10324</v>
      </c>
      <c r="I2180">
        <v>26.38</v>
      </c>
      <c r="J2180" t="s">
        <v>14</v>
      </c>
      <c r="K2180" t="s">
        <v>2514</v>
      </c>
    </row>
    <row r="2181" spans="1:11">
      <c r="A2181" t="str">
        <f>"300737"</f>
        <v>300737</v>
      </c>
      <c r="B2181" t="s">
        <v>2515</v>
      </c>
      <c r="C2181">
        <v>48.34</v>
      </c>
      <c r="D2181">
        <v>150.01</v>
      </c>
      <c r="E2181">
        <v>45.41</v>
      </c>
      <c r="F2181">
        <v>11.1</v>
      </c>
      <c r="G2181">
        <v>8.87</v>
      </c>
      <c r="H2181">
        <v>29126</v>
      </c>
      <c r="I2181">
        <v>1.34</v>
      </c>
      <c r="J2181">
        <v>225.86</v>
      </c>
      <c r="K2181" t="s">
        <v>1058</v>
      </c>
    </row>
    <row r="2182" spans="1:11">
      <c r="A2182" t="str">
        <f>"300738"</f>
        <v>300738</v>
      </c>
      <c r="B2182" t="s">
        <v>2516</v>
      </c>
      <c r="C2182">
        <v>239.72</v>
      </c>
      <c r="D2182">
        <v>155.14</v>
      </c>
      <c r="E2182">
        <v>35.68</v>
      </c>
      <c r="F2182">
        <v>9.85</v>
      </c>
      <c r="G2182">
        <v>9.85</v>
      </c>
      <c r="H2182">
        <v>113632</v>
      </c>
      <c r="I2182">
        <v>6.83</v>
      </c>
      <c r="J2182">
        <v>123.65</v>
      </c>
      <c r="K2182" t="s">
        <v>463</v>
      </c>
    </row>
    <row r="2183" spans="1:11">
      <c r="A2183" t="str">
        <f>"300739"</f>
        <v>300739</v>
      </c>
      <c r="B2183" t="s">
        <v>2517</v>
      </c>
      <c r="C2183">
        <v>64</v>
      </c>
      <c r="D2183">
        <v>35.99</v>
      </c>
      <c r="E2183">
        <v>26.05</v>
      </c>
      <c r="F2183">
        <v>3.73</v>
      </c>
      <c r="G2183">
        <v>3.43</v>
      </c>
      <c r="H2183">
        <v>27144</v>
      </c>
      <c r="I2183">
        <v>2.57</v>
      </c>
      <c r="J2183">
        <v>70.13</v>
      </c>
      <c r="K2183" t="s">
        <v>472</v>
      </c>
    </row>
    <row r="2184" spans="1:11">
      <c r="A2184" t="str">
        <f>"300740"</f>
        <v>300740</v>
      </c>
      <c r="B2184" t="s">
        <v>2518</v>
      </c>
      <c r="C2184">
        <v>95.88</v>
      </c>
      <c r="D2184">
        <v>43.63</v>
      </c>
      <c r="E2184">
        <v>21.57</v>
      </c>
      <c r="F2184">
        <v>3.9</v>
      </c>
      <c r="G2184">
        <v>3.59</v>
      </c>
      <c r="H2184">
        <v>28000</v>
      </c>
      <c r="I2184">
        <v>5.03</v>
      </c>
      <c r="J2184">
        <v>57.5</v>
      </c>
      <c r="K2184" t="s">
        <v>856</v>
      </c>
    </row>
    <row r="2185" spans="1:11">
      <c r="A2185" t="str">
        <f>"300741"</f>
        <v>300741</v>
      </c>
      <c r="B2185" t="s">
        <v>2519</v>
      </c>
      <c r="C2185">
        <v>114.74</v>
      </c>
      <c r="D2185">
        <v>74.71</v>
      </c>
      <c r="E2185">
        <v>68.42</v>
      </c>
      <c r="F2185">
        <v>6.16</v>
      </c>
      <c r="G2185">
        <v>6.16</v>
      </c>
      <c r="H2185">
        <v>15318</v>
      </c>
      <c r="I2185">
        <v>1.68</v>
      </c>
      <c r="J2185">
        <v>111.72</v>
      </c>
      <c r="K2185" t="s">
        <v>752</v>
      </c>
    </row>
    <row r="2186" spans="1:11">
      <c r="A2186" t="str">
        <f>"300743"</f>
        <v>300743</v>
      </c>
      <c r="B2186" t="s">
        <v>2520</v>
      </c>
      <c r="C2186">
        <v>27.66</v>
      </c>
      <c r="D2186">
        <v>10.87</v>
      </c>
      <c r="E2186">
        <v>6.21</v>
      </c>
      <c r="F2186">
        <v>1.51</v>
      </c>
      <c r="G2186">
        <v>1.27</v>
      </c>
      <c r="H2186">
        <v>13708</v>
      </c>
      <c r="I2186">
        <v>5.29</v>
      </c>
      <c r="J2186">
        <v>27.03</v>
      </c>
      <c r="K2186" t="s">
        <v>88</v>
      </c>
    </row>
    <row r="2187" spans="1:11">
      <c r="A2187" t="str">
        <f>"300745"</f>
        <v>300745</v>
      </c>
      <c r="B2187" t="s">
        <v>2521</v>
      </c>
      <c r="C2187">
        <v>40.65</v>
      </c>
      <c r="D2187">
        <v>43.59</v>
      </c>
      <c r="E2187">
        <v>22.51</v>
      </c>
      <c r="F2187">
        <v>1.68</v>
      </c>
      <c r="G2187">
        <v>1.41</v>
      </c>
      <c r="H2187">
        <v>15350</v>
      </c>
      <c r="I2187">
        <v>2.14</v>
      </c>
      <c r="J2187" t="s">
        <v>14</v>
      </c>
      <c r="K2187" t="s">
        <v>517</v>
      </c>
    </row>
    <row r="2188" spans="1:11">
      <c r="A2188" t="str">
        <f>"300746"</f>
        <v>300746</v>
      </c>
      <c r="B2188" t="s">
        <v>2522</v>
      </c>
      <c r="C2188">
        <v>31.19</v>
      </c>
      <c r="D2188">
        <v>34.9</v>
      </c>
      <c r="E2188">
        <v>7.69</v>
      </c>
      <c r="F2188">
        <v>2.26</v>
      </c>
      <c r="G2188">
        <v>2.21</v>
      </c>
      <c r="H2188">
        <v>15824</v>
      </c>
      <c r="I2188">
        <v>4.14</v>
      </c>
      <c r="J2188">
        <v>94.06</v>
      </c>
      <c r="K2188" t="s">
        <v>428</v>
      </c>
    </row>
    <row r="2189" spans="1:11">
      <c r="A2189" t="str">
        <f>"300747"</f>
        <v>300747</v>
      </c>
      <c r="B2189" t="s">
        <v>2523</v>
      </c>
      <c r="C2189">
        <v>169.44</v>
      </c>
      <c r="D2189">
        <v>54.01</v>
      </c>
      <c r="E2189">
        <v>33.74</v>
      </c>
      <c r="F2189">
        <v>5.62</v>
      </c>
      <c r="G2189">
        <v>5.09</v>
      </c>
      <c r="H2189">
        <v>46931</v>
      </c>
      <c r="I2189">
        <v>5.57</v>
      </c>
      <c r="J2189">
        <v>113.94</v>
      </c>
      <c r="K2189" t="s">
        <v>604</v>
      </c>
    </row>
    <row r="2190" spans="1:11">
      <c r="A2190" t="str">
        <f>"300748"</f>
        <v>300748</v>
      </c>
      <c r="B2190" t="s">
        <v>2524</v>
      </c>
      <c r="C2190">
        <v>414.51</v>
      </c>
      <c r="D2190">
        <v>147.2</v>
      </c>
      <c r="E2190">
        <v>72.23</v>
      </c>
      <c r="F2190">
        <v>13.76</v>
      </c>
      <c r="G2190">
        <v>11.31</v>
      </c>
      <c r="H2190">
        <v>134044</v>
      </c>
      <c r="I2190">
        <v>7.15</v>
      </c>
      <c r="J2190">
        <v>73.38</v>
      </c>
      <c r="K2190" t="s">
        <v>442</v>
      </c>
    </row>
    <row r="2191" spans="1:11">
      <c r="A2191" t="str">
        <f>"300749"</f>
        <v>300749</v>
      </c>
      <c r="B2191" t="s">
        <v>2525</v>
      </c>
      <c r="C2191">
        <v>19.66</v>
      </c>
      <c r="D2191">
        <v>12.78</v>
      </c>
      <c r="E2191">
        <v>5.67</v>
      </c>
      <c r="F2191">
        <v>2.05</v>
      </c>
      <c r="G2191">
        <v>1.57</v>
      </c>
      <c r="H2191">
        <v>10598</v>
      </c>
      <c r="I2191">
        <v>4.52</v>
      </c>
      <c r="J2191">
        <v>164</v>
      </c>
      <c r="K2191" t="s">
        <v>540</v>
      </c>
    </row>
    <row r="2192" spans="1:11">
      <c r="A2192" t="str">
        <f>"300750"</f>
        <v>300750</v>
      </c>
      <c r="B2192" t="s">
        <v>2526</v>
      </c>
      <c r="C2192">
        <v>15067.43</v>
      </c>
      <c r="D2192">
        <v>8960.82</v>
      </c>
      <c r="E2192">
        <v>3142.48</v>
      </c>
      <c r="F2192">
        <v>45.64</v>
      </c>
      <c r="G2192">
        <v>42.57</v>
      </c>
      <c r="H2192">
        <v>227474</v>
      </c>
      <c r="I2192">
        <v>5.14</v>
      </c>
      <c r="J2192">
        <v>24.71</v>
      </c>
      <c r="K2192" t="s">
        <v>70</v>
      </c>
    </row>
    <row r="2193" spans="1:11">
      <c r="A2193" t="str">
        <f>"300751"</f>
        <v>300751</v>
      </c>
      <c r="B2193" t="s">
        <v>2527</v>
      </c>
      <c r="C2193">
        <v>434.4</v>
      </c>
      <c r="D2193">
        <v>217.83</v>
      </c>
      <c r="E2193">
        <v>78.59</v>
      </c>
      <c r="F2193">
        <v>2.79</v>
      </c>
      <c r="G2193">
        <v>1.93</v>
      </c>
      <c r="H2193">
        <v>33104</v>
      </c>
      <c r="I2193">
        <v>7.99</v>
      </c>
      <c r="J2193">
        <v>70.99</v>
      </c>
      <c r="K2193" t="s">
        <v>469</v>
      </c>
    </row>
    <row r="2194" spans="1:11">
      <c r="A2194" t="str">
        <f>"300752"</f>
        <v>300752</v>
      </c>
      <c r="B2194" t="s">
        <v>2528</v>
      </c>
      <c r="C2194">
        <v>30.12</v>
      </c>
      <c r="D2194">
        <v>21.94</v>
      </c>
      <c r="E2194">
        <v>12.18</v>
      </c>
      <c r="F2194">
        <v>2.28</v>
      </c>
      <c r="G2194">
        <v>1.54</v>
      </c>
      <c r="H2194">
        <v>19243</v>
      </c>
      <c r="I2194">
        <v>3.67</v>
      </c>
      <c r="J2194">
        <v>72.33</v>
      </c>
      <c r="K2194" t="s">
        <v>216</v>
      </c>
    </row>
    <row r="2195" spans="1:11">
      <c r="A2195" t="str">
        <f>"300753"</f>
        <v>300753</v>
      </c>
      <c r="B2195" t="s">
        <v>2529</v>
      </c>
      <c r="C2195">
        <v>33.62</v>
      </c>
      <c r="D2195">
        <v>8.4</v>
      </c>
      <c r="E2195">
        <v>6.8</v>
      </c>
      <c r="F2195">
        <v>1.26</v>
      </c>
      <c r="G2195">
        <v>0.88</v>
      </c>
      <c r="H2195">
        <v>22128</v>
      </c>
      <c r="I2195">
        <v>7.09</v>
      </c>
      <c r="J2195" t="s">
        <v>14</v>
      </c>
      <c r="K2195" t="s">
        <v>1836</v>
      </c>
    </row>
    <row r="2196" spans="1:11">
      <c r="A2196" t="str">
        <f>"300755"</f>
        <v>300755</v>
      </c>
      <c r="B2196" t="s">
        <v>2530</v>
      </c>
      <c r="C2196">
        <v>73.42</v>
      </c>
      <c r="D2196">
        <v>50.67</v>
      </c>
      <c r="E2196">
        <v>29.21</v>
      </c>
      <c r="F2196">
        <v>4.17</v>
      </c>
      <c r="G2196">
        <v>4.16</v>
      </c>
      <c r="H2196">
        <v>16549</v>
      </c>
      <c r="I2196">
        <v>2.52</v>
      </c>
      <c r="J2196" t="s">
        <v>14</v>
      </c>
      <c r="K2196" t="s">
        <v>477</v>
      </c>
    </row>
    <row r="2197" spans="1:11">
      <c r="A2197" t="str">
        <f>"300756"</f>
        <v>300756</v>
      </c>
      <c r="B2197" t="s">
        <v>2531</v>
      </c>
      <c r="C2197">
        <v>70.48</v>
      </c>
      <c r="D2197">
        <v>23.59</v>
      </c>
      <c r="E2197">
        <v>14.64</v>
      </c>
      <c r="F2197">
        <v>1.58</v>
      </c>
      <c r="G2197">
        <v>1.31</v>
      </c>
      <c r="H2197">
        <v>7324</v>
      </c>
      <c r="I2197">
        <v>5.78</v>
      </c>
      <c r="J2197">
        <v>70.22</v>
      </c>
      <c r="K2197" t="s">
        <v>493</v>
      </c>
    </row>
    <row r="2198" spans="1:11">
      <c r="A2198" t="str">
        <f>"300757"</f>
        <v>300757</v>
      </c>
      <c r="B2198" t="s">
        <v>2532</v>
      </c>
      <c r="C2198">
        <v>409.62</v>
      </c>
      <c r="D2198">
        <v>35.74</v>
      </c>
      <c r="E2198">
        <v>16.65</v>
      </c>
      <c r="F2198">
        <v>1.68</v>
      </c>
      <c r="G2198">
        <v>1.51</v>
      </c>
      <c r="H2198">
        <v>38807</v>
      </c>
      <c r="I2198">
        <v>27.37</v>
      </c>
      <c r="J2198" t="s">
        <v>14</v>
      </c>
      <c r="K2198" t="s">
        <v>663</v>
      </c>
    </row>
    <row r="2199" spans="1:11">
      <c r="A2199" t="str">
        <f>"300758"</f>
        <v>300758</v>
      </c>
      <c r="B2199" t="s">
        <v>2533</v>
      </c>
      <c r="C2199">
        <v>61.72</v>
      </c>
      <c r="D2199">
        <v>38.95</v>
      </c>
      <c r="E2199">
        <v>17.91</v>
      </c>
      <c r="F2199">
        <v>4.06</v>
      </c>
      <c r="G2199">
        <v>3.66</v>
      </c>
      <c r="H2199">
        <v>26856</v>
      </c>
      <c r="I2199">
        <v>3.82</v>
      </c>
      <c r="J2199">
        <v>69.92</v>
      </c>
      <c r="K2199" t="s">
        <v>246</v>
      </c>
    </row>
    <row r="2200" spans="1:11">
      <c r="A2200" t="str">
        <f>"300759"</f>
        <v>300759</v>
      </c>
      <c r="B2200" t="s">
        <v>2534</v>
      </c>
      <c r="C2200">
        <v>467.12</v>
      </c>
      <c r="D2200">
        <v>258.01</v>
      </c>
      <c r="E2200">
        <v>146.13</v>
      </c>
      <c r="F2200">
        <v>17.78</v>
      </c>
      <c r="G2200">
        <v>14.19</v>
      </c>
      <c r="H2200">
        <v>86504</v>
      </c>
      <c r="I2200">
        <v>4</v>
      </c>
      <c r="J2200">
        <v>38.47</v>
      </c>
      <c r="K2200" t="s">
        <v>1595</v>
      </c>
    </row>
    <row r="2201" spans="1:11">
      <c r="A2201" t="str">
        <f>"300760"</f>
        <v>300760</v>
      </c>
      <c r="B2201" t="s">
        <v>2535</v>
      </c>
      <c r="C2201">
        <v>2518.89</v>
      </c>
      <c r="D2201">
        <v>592.65</v>
      </c>
      <c r="E2201">
        <v>392.98</v>
      </c>
      <c r="F2201">
        <v>12.12</v>
      </c>
      <c r="G2201">
        <v>12.12</v>
      </c>
      <c r="H2201">
        <v>108835</v>
      </c>
      <c r="I2201">
        <v>6.41</v>
      </c>
      <c r="J2201">
        <v>24.96</v>
      </c>
      <c r="K2201" t="s">
        <v>1836</v>
      </c>
    </row>
    <row r="2202" spans="1:11">
      <c r="A2202" t="str">
        <f>"300761"</f>
        <v>300761</v>
      </c>
      <c r="B2202" t="s">
        <v>2536</v>
      </c>
      <c r="C2202">
        <v>128.74</v>
      </c>
      <c r="D2202">
        <v>160.75</v>
      </c>
      <c r="E2202">
        <v>90.18</v>
      </c>
      <c r="F2202">
        <v>8.37</v>
      </c>
      <c r="G2202">
        <v>6.28</v>
      </c>
      <c r="H2202">
        <v>15959</v>
      </c>
      <c r="I2202">
        <v>1.9</v>
      </c>
      <c r="J2202">
        <v>44.84</v>
      </c>
      <c r="K2202" t="s">
        <v>1019</v>
      </c>
    </row>
    <row r="2203" spans="1:11">
      <c r="A2203" t="str">
        <f>"300762"</f>
        <v>300762</v>
      </c>
      <c r="B2203" t="s">
        <v>2537</v>
      </c>
      <c r="C2203">
        <v>349.97</v>
      </c>
      <c r="D2203">
        <v>38.63</v>
      </c>
      <c r="E2203">
        <v>23.35</v>
      </c>
      <c r="F2203">
        <v>6.28</v>
      </c>
      <c r="G2203">
        <v>6.28</v>
      </c>
      <c r="H2203">
        <v>63751</v>
      </c>
      <c r="I2203">
        <v>14.99</v>
      </c>
      <c r="J2203" t="s">
        <v>14</v>
      </c>
      <c r="K2203" t="s">
        <v>223</v>
      </c>
    </row>
    <row r="2204" spans="1:11">
      <c r="A2204" t="str">
        <f>"300763"</f>
        <v>300763</v>
      </c>
      <c r="B2204" t="s">
        <v>2538</v>
      </c>
      <c r="C2204">
        <v>244.99</v>
      </c>
      <c r="D2204">
        <v>200.02</v>
      </c>
      <c r="E2204">
        <v>91.05</v>
      </c>
      <c r="F2204">
        <v>3.98</v>
      </c>
      <c r="G2204">
        <v>3.22</v>
      </c>
      <c r="H2204">
        <v>70449</v>
      </c>
      <c r="I2204">
        <v>3.33</v>
      </c>
      <c r="J2204">
        <v>26.29</v>
      </c>
      <c r="K2204" t="s">
        <v>2070</v>
      </c>
    </row>
    <row r="2205" spans="1:11">
      <c r="A2205" t="str">
        <f>"300765"</f>
        <v>300765</v>
      </c>
      <c r="B2205" t="s">
        <v>2539</v>
      </c>
      <c r="C2205">
        <v>593.44</v>
      </c>
      <c r="D2205">
        <v>62.11</v>
      </c>
      <c r="E2205">
        <v>36.88</v>
      </c>
      <c r="F2205">
        <v>14.05</v>
      </c>
      <c r="G2205">
        <v>14.05</v>
      </c>
      <c r="H2205">
        <v>24341</v>
      </c>
      <c r="I2205">
        <v>16.1</v>
      </c>
      <c r="J2205" t="s">
        <v>14</v>
      </c>
      <c r="K2205" t="s">
        <v>1409</v>
      </c>
    </row>
    <row r="2206" spans="1:11">
      <c r="A2206" t="str">
        <f>"300766"</f>
        <v>300766</v>
      </c>
      <c r="B2206" t="s">
        <v>2540</v>
      </c>
      <c r="C2206">
        <v>166.66</v>
      </c>
      <c r="D2206">
        <v>17.7</v>
      </c>
      <c r="E2206">
        <v>15.7</v>
      </c>
      <c r="F2206">
        <v>3.95</v>
      </c>
      <c r="G2206">
        <v>3.58</v>
      </c>
      <c r="H2206">
        <v>117010</v>
      </c>
      <c r="I2206">
        <v>11.69</v>
      </c>
      <c r="J2206" t="s">
        <v>14</v>
      </c>
      <c r="K2206" t="s">
        <v>117</v>
      </c>
    </row>
    <row r="2207" spans="1:11">
      <c r="A2207" t="str">
        <f>"300767"</f>
        <v>300767</v>
      </c>
      <c r="B2207" t="s">
        <v>2541</v>
      </c>
      <c r="C2207">
        <v>50.23</v>
      </c>
      <c r="D2207">
        <v>23.18</v>
      </c>
      <c r="E2207">
        <v>16.16</v>
      </c>
      <c r="F2207">
        <v>2.76</v>
      </c>
      <c r="G2207">
        <v>2.4</v>
      </c>
      <c r="H2207">
        <v>22398</v>
      </c>
      <c r="I2207">
        <v>3.58</v>
      </c>
      <c r="J2207" t="s">
        <v>14</v>
      </c>
      <c r="K2207" t="s">
        <v>705</v>
      </c>
    </row>
    <row r="2208" spans="1:11">
      <c r="A2208" t="str">
        <f>"300768"</f>
        <v>300768</v>
      </c>
      <c r="B2208" t="s">
        <v>2542</v>
      </c>
      <c r="C2208">
        <v>86.11</v>
      </c>
      <c r="D2208">
        <v>38.69</v>
      </c>
      <c r="E2208">
        <v>33.96</v>
      </c>
      <c r="F2208">
        <v>6.44</v>
      </c>
      <c r="G2208">
        <v>4.21</v>
      </c>
      <c r="H2208">
        <v>26668</v>
      </c>
      <c r="I2208">
        <v>3.88</v>
      </c>
      <c r="J2208">
        <v>105.6</v>
      </c>
      <c r="K2208" t="s">
        <v>17</v>
      </c>
    </row>
    <row r="2209" spans="1:11">
      <c r="A2209" t="str">
        <f>"300769"</f>
        <v>300769</v>
      </c>
      <c r="B2209" t="s">
        <v>2543</v>
      </c>
      <c r="C2209">
        <v>116.64</v>
      </c>
      <c r="D2209">
        <v>169.06</v>
      </c>
      <c r="E2209">
        <v>52.01</v>
      </c>
      <c r="F2209">
        <v>2.8</v>
      </c>
      <c r="G2209">
        <v>2.52</v>
      </c>
      <c r="H2209">
        <v>52809</v>
      </c>
      <c r="I2209">
        <v>2.5</v>
      </c>
      <c r="J2209" t="s">
        <v>14</v>
      </c>
      <c r="K2209" t="s">
        <v>24</v>
      </c>
    </row>
    <row r="2210" spans="1:11">
      <c r="A2210" t="str">
        <f>"300770"</f>
        <v>300770</v>
      </c>
      <c r="B2210" t="s">
        <v>2544</v>
      </c>
      <c r="C2210">
        <v>109.68</v>
      </c>
      <c r="D2210">
        <v>50.74</v>
      </c>
      <c r="E2210">
        <v>39</v>
      </c>
      <c r="F2210">
        <v>2.28</v>
      </c>
      <c r="G2210">
        <v>2.28</v>
      </c>
      <c r="H2210">
        <v>25570</v>
      </c>
      <c r="I2210">
        <v>2.81</v>
      </c>
      <c r="J2210">
        <v>16.07</v>
      </c>
      <c r="K2210" t="s">
        <v>113</v>
      </c>
    </row>
    <row r="2211" spans="1:11">
      <c r="A2211" t="str">
        <f>"300771"</f>
        <v>300771</v>
      </c>
      <c r="B2211" t="s">
        <v>2545</v>
      </c>
      <c r="C2211">
        <v>28.61</v>
      </c>
      <c r="D2211">
        <v>23.52</v>
      </c>
      <c r="E2211">
        <v>19.72</v>
      </c>
      <c r="F2211">
        <v>2.4</v>
      </c>
      <c r="G2211">
        <v>1.81</v>
      </c>
      <c r="H2211">
        <v>21082</v>
      </c>
      <c r="I2211">
        <v>1.92</v>
      </c>
      <c r="J2211">
        <v>41.58</v>
      </c>
      <c r="K2211" t="s">
        <v>88</v>
      </c>
    </row>
    <row r="2212" spans="1:11">
      <c r="A2212" t="str">
        <f>"300772"</f>
        <v>300772</v>
      </c>
      <c r="B2212" t="s">
        <v>2546</v>
      </c>
      <c r="C2212">
        <v>132.1</v>
      </c>
      <c r="D2212">
        <v>488.97</v>
      </c>
      <c r="E2212">
        <v>66.05</v>
      </c>
      <c r="F2212">
        <v>7.87</v>
      </c>
      <c r="G2212">
        <v>6.98</v>
      </c>
      <c r="H2212">
        <v>33414</v>
      </c>
      <c r="I2212">
        <v>2.25</v>
      </c>
      <c r="J2212">
        <v>44.43</v>
      </c>
      <c r="K2212" t="s">
        <v>982</v>
      </c>
    </row>
    <row r="2213" spans="1:11">
      <c r="A2213" t="str">
        <f>"300773"</f>
        <v>300773</v>
      </c>
      <c r="B2213" t="s">
        <v>2547</v>
      </c>
      <c r="C2213">
        <v>235.65</v>
      </c>
      <c r="D2213">
        <v>105.82</v>
      </c>
      <c r="E2213">
        <v>35.9</v>
      </c>
      <c r="F2213">
        <v>7.77</v>
      </c>
      <c r="G2213">
        <v>7.35</v>
      </c>
      <c r="H2213">
        <v>104361</v>
      </c>
      <c r="I2213">
        <v>7.04</v>
      </c>
      <c r="J2213">
        <v>55.12</v>
      </c>
      <c r="K2213" t="s">
        <v>249</v>
      </c>
    </row>
    <row r="2214" spans="1:11">
      <c r="A2214" t="str">
        <f>"300774"</f>
        <v>300774</v>
      </c>
      <c r="B2214" t="s">
        <v>2548</v>
      </c>
      <c r="C2214">
        <v>52.33</v>
      </c>
      <c r="D2214">
        <v>25.35</v>
      </c>
      <c r="E2214">
        <v>15.08</v>
      </c>
      <c r="F2214">
        <v>4.09</v>
      </c>
      <c r="G2214">
        <v>1.95</v>
      </c>
      <c r="H2214">
        <v>15062</v>
      </c>
      <c r="I2214">
        <v>7.28</v>
      </c>
      <c r="J2214">
        <v>77.72</v>
      </c>
      <c r="K2214" t="s">
        <v>90</v>
      </c>
    </row>
    <row r="2215" spans="1:11">
      <c r="A2215" t="str">
        <f>"300775"</f>
        <v>300775</v>
      </c>
      <c r="B2215" t="s">
        <v>2549</v>
      </c>
      <c r="C2215">
        <v>169.42</v>
      </c>
      <c r="D2215">
        <v>85.85</v>
      </c>
      <c r="E2215">
        <v>60.08</v>
      </c>
      <c r="F2215">
        <v>5.48</v>
      </c>
      <c r="G2215">
        <v>5.32</v>
      </c>
      <c r="H2215">
        <v>47983</v>
      </c>
      <c r="I2215">
        <v>2.98</v>
      </c>
      <c r="J2215">
        <v>34.86</v>
      </c>
      <c r="K2215" t="s">
        <v>353</v>
      </c>
    </row>
    <row r="2216" spans="1:11">
      <c r="A2216" t="str">
        <f>"300776"</f>
        <v>300776</v>
      </c>
      <c r="B2216" t="s">
        <v>2550</v>
      </c>
      <c r="C2216">
        <v>121.55</v>
      </c>
      <c r="D2216">
        <v>66.44</v>
      </c>
      <c r="E2216">
        <v>38.82</v>
      </c>
      <c r="F2216">
        <v>2.74</v>
      </c>
      <c r="G2216">
        <v>1.68</v>
      </c>
      <c r="H2216">
        <v>19738</v>
      </c>
      <c r="I2216">
        <v>5.3</v>
      </c>
      <c r="J2216">
        <v>29.96</v>
      </c>
      <c r="K2216" t="s">
        <v>469</v>
      </c>
    </row>
    <row r="2217" spans="1:11">
      <c r="A2217" t="str">
        <f>"300777"</f>
        <v>300777</v>
      </c>
      <c r="B2217" t="s">
        <v>2551</v>
      </c>
      <c r="C2217">
        <v>175.89</v>
      </c>
      <c r="D2217">
        <v>49.39</v>
      </c>
      <c r="E2217">
        <v>44.73</v>
      </c>
      <c r="F2217">
        <v>4.4</v>
      </c>
      <c r="G2217">
        <v>4.24</v>
      </c>
      <c r="H2217">
        <v>47598</v>
      </c>
      <c r="I2217">
        <v>4.08</v>
      </c>
      <c r="J2217">
        <v>47.22</v>
      </c>
      <c r="K2217" t="s">
        <v>2480</v>
      </c>
    </row>
    <row r="2218" spans="1:11">
      <c r="A2218" t="str">
        <f>"300778"</f>
        <v>300778</v>
      </c>
      <c r="B2218" t="s">
        <v>2552</v>
      </c>
      <c r="C2218">
        <v>27.59</v>
      </c>
      <c r="D2218">
        <v>14.23</v>
      </c>
      <c r="E2218">
        <v>12.36</v>
      </c>
      <c r="F2218">
        <v>2.04</v>
      </c>
      <c r="G2218">
        <v>2.04</v>
      </c>
      <c r="H2218">
        <v>17858</v>
      </c>
      <c r="I2218">
        <v>2.23</v>
      </c>
      <c r="J2218" t="s">
        <v>14</v>
      </c>
      <c r="K2218" t="s">
        <v>428</v>
      </c>
    </row>
    <row r="2219" spans="1:11">
      <c r="A2219" t="str">
        <f>"300779"</f>
        <v>300779</v>
      </c>
      <c r="B2219" t="s">
        <v>2553</v>
      </c>
      <c r="C2219">
        <v>185.18</v>
      </c>
      <c r="D2219">
        <v>60.15</v>
      </c>
      <c r="E2219">
        <v>13.43</v>
      </c>
      <c r="F2219">
        <v>2.01</v>
      </c>
      <c r="G2219">
        <v>1.61</v>
      </c>
      <c r="H2219">
        <v>22985</v>
      </c>
      <c r="I2219">
        <v>17.17</v>
      </c>
      <c r="J2219">
        <v>629.14</v>
      </c>
      <c r="K2219" t="s">
        <v>59</v>
      </c>
    </row>
    <row r="2220" spans="1:11">
      <c r="A2220" t="str">
        <f>"300780"</f>
        <v>300780</v>
      </c>
      <c r="B2220" t="s">
        <v>2554</v>
      </c>
      <c r="C2220">
        <v>21.63</v>
      </c>
      <c r="D2220">
        <v>18.63</v>
      </c>
      <c r="E2220">
        <v>10.24</v>
      </c>
      <c r="F2220">
        <v>1.47</v>
      </c>
      <c r="G2220">
        <v>1.08</v>
      </c>
      <c r="H2220">
        <v>20240</v>
      </c>
      <c r="I2220">
        <v>2.88</v>
      </c>
      <c r="J2220" t="s">
        <v>14</v>
      </c>
      <c r="K2220" t="s">
        <v>424</v>
      </c>
    </row>
    <row r="2221" spans="1:11">
      <c r="A2221" t="str">
        <f>"300781"</f>
        <v>300781</v>
      </c>
      <c r="B2221" t="s">
        <v>2555</v>
      </c>
      <c r="C2221">
        <v>61.65</v>
      </c>
      <c r="D2221">
        <v>10.33</v>
      </c>
      <c r="E2221">
        <v>6.68</v>
      </c>
      <c r="F2221">
        <v>1.64</v>
      </c>
      <c r="G2221">
        <v>1.21</v>
      </c>
      <c r="H2221">
        <v>28682</v>
      </c>
      <c r="I2221">
        <v>12.51</v>
      </c>
      <c r="J2221">
        <v>228.81</v>
      </c>
      <c r="K2221" t="s">
        <v>283</v>
      </c>
    </row>
    <row r="2222" spans="1:11">
      <c r="A2222" t="str">
        <f>"300782"</f>
        <v>300782</v>
      </c>
      <c r="B2222" t="s">
        <v>2556</v>
      </c>
      <c r="C2222">
        <v>365.46</v>
      </c>
      <c r="D2222">
        <v>147.26</v>
      </c>
      <c r="E2222">
        <v>100.17</v>
      </c>
      <c r="F2222">
        <v>5.35</v>
      </c>
      <c r="G2222">
        <v>4.48</v>
      </c>
      <c r="H2222">
        <v>76174</v>
      </c>
      <c r="I2222">
        <v>4.35</v>
      </c>
      <c r="J2222" t="s">
        <v>14</v>
      </c>
      <c r="K2222" t="s">
        <v>691</v>
      </c>
    </row>
    <row r="2223" spans="1:11">
      <c r="A2223" t="str">
        <f>"300783"</f>
        <v>300783</v>
      </c>
      <c r="B2223" t="s">
        <v>2557</v>
      </c>
      <c r="C2223">
        <v>70.09</v>
      </c>
      <c r="D2223">
        <v>54.06</v>
      </c>
      <c r="E2223">
        <v>29.72</v>
      </c>
      <c r="F2223">
        <v>4.02</v>
      </c>
      <c r="G2223">
        <v>2.8</v>
      </c>
      <c r="H2223">
        <v>51219</v>
      </c>
      <c r="I2223">
        <v>3.38</v>
      </c>
      <c r="J2223">
        <v>46.89</v>
      </c>
      <c r="K2223" t="s">
        <v>1340</v>
      </c>
    </row>
    <row r="2224" spans="1:11">
      <c r="A2224" t="str">
        <f>"300784"</f>
        <v>300784</v>
      </c>
      <c r="B2224" t="s">
        <v>2558</v>
      </c>
      <c r="C2224">
        <v>8.89</v>
      </c>
      <c r="D2224">
        <v>10.17</v>
      </c>
      <c r="E2224">
        <v>8</v>
      </c>
      <c r="F2224">
        <v>0.56</v>
      </c>
      <c r="G2224">
        <v>0.17</v>
      </c>
      <c r="H2224">
        <v>8149</v>
      </c>
      <c r="I2224">
        <v>3.69</v>
      </c>
      <c r="J2224">
        <v>51.26</v>
      </c>
      <c r="K2224" t="s">
        <v>549</v>
      </c>
    </row>
    <row r="2225" spans="1:11">
      <c r="A2225" t="str">
        <f>"300785"</f>
        <v>300785</v>
      </c>
      <c r="B2225" t="s">
        <v>2559</v>
      </c>
      <c r="C2225">
        <v>102.63</v>
      </c>
      <c r="D2225">
        <v>23.97</v>
      </c>
      <c r="E2225">
        <v>18.88</v>
      </c>
      <c r="F2225">
        <v>1.99</v>
      </c>
      <c r="G2225">
        <v>1.22</v>
      </c>
      <c r="H2225">
        <v>40993</v>
      </c>
      <c r="I2225">
        <v>8.83</v>
      </c>
      <c r="J2225">
        <v>930.32</v>
      </c>
      <c r="K2225" t="s">
        <v>1050</v>
      </c>
    </row>
    <row r="2226" spans="1:11">
      <c r="A2226" t="str">
        <f>"300786"</f>
        <v>300786</v>
      </c>
      <c r="B2226" t="s">
        <v>2560</v>
      </c>
      <c r="C2226">
        <v>25.06</v>
      </c>
      <c r="D2226">
        <v>16.91</v>
      </c>
      <c r="E2226">
        <v>11.1</v>
      </c>
      <c r="F2226">
        <v>1.84</v>
      </c>
      <c r="G2226">
        <v>1.47</v>
      </c>
      <c r="H2226">
        <v>22825</v>
      </c>
      <c r="I2226">
        <v>2.83</v>
      </c>
      <c r="J2226" t="s">
        <v>14</v>
      </c>
      <c r="K2226" t="s">
        <v>228</v>
      </c>
    </row>
    <row r="2227" spans="1:11">
      <c r="A2227" t="str">
        <f>"300787"</f>
        <v>300787</v>
      </c>
      <c r="B2227" t="s">
        <v>2561</v>
      </c>
      <c r="C2227">
        <v>23.26</v>
      </c>
      <c r="D2227">
        <v>41.86</v>
      </c>
      <c r="E2227">
        <v>16.68</v>
      </c>
      <c r="F2227">
        <v>3.13</v>
      </c>
      <c r="G2227">
        <v>1.91</v>
      </c>
      <c r="H2227">
        <v>18856</v>
      </c>
      <c r="I2227">
        <v>2.53</v>
      </c>
      <c r="J2227">
        <v>32.56</v>
      </c>
      <c r="K2227" t="s">
        <v>41</v>
      </c>
    </row>
    <row r="2228" spans="1:11">
      <c r="A2228" t="str">
        <f>"300788"</f>
        <v>300788</v>
      </c>
      <c r="B2228" t="s">
        <v>2562</v>
      </c>
      <c r="C2228">
        <v>61.51</v>
      </c>
      <c r="D2228">
        <v>33.31</v>
      </c>
      <c r="E2228">
        <v>22.64</v>
      </c>
      <c r="F2228">
        <v>1.9</v>
      </c>
      <c r="G2228">
        <v>1.9</v>
      </c>
      <c r="H2228">
        <v>13586</v>
      </c>
      <c r="I2228">
        <v>2.72</v>
      </c>
      <c r="J2228">
        <v>28.68</v>
      </c>
      <c r="K2228" t="s">
        <v>381</v>
      </c>
    </row>
    <row r="2229" spans="1:11">
      <c r="A2229" t="str">
        <f>"300789"</f>
        <v>300789</v>
      </c>
      <c r="B2229" t="s">
        <v>2563</v>
      </c>
      <c r="C2229">
        <v>23.74</v>
      </c>
      <c r="D2229">
        <v>15.88</v>
      </c>
      <c r="E2229">
        <v>10.65</v>
      </c>
      <c r="F2229">
        <v>1.44</v>
      </c>
      <c r="G2229">
        <v>0.99</v>
      </c>
      <c r="H2229">
        <v>8719</v>
      </c>
      <c r="I2229">
        <v>3.24</v>
      </c>
      <c r="J2229">
        <v>66.23</v>
      </c>
      <c r="K2229" t="s">
        <v>22</v>
      </c>
    </row>
    <row r="2230" spans="1:11">
      <c r="A2230" t="str">
        <f>"300790"</f>
        <v>300790</v>
      </c>
      <c r="B2230" t="s">
        <v>2564</v>
      </c>
      <c r="C2230">
        <v>101.61</v>
      </c>
      <c r="D2230">
        <v>58.91</v>
      </c>
      <c r="E2230">
        <v>25.93</v>
      </c>
      <c r="F2230">
        <v>3.74</v>
      </c>
      <c r="G2230">
        <v>3.25</v>
      </c>
      <c r="H2230">
        <v>30683</v>
      </c>
      <c r="I2230">
        <v>4.52</v>
      </c>
      <c r="J2230">
        <v>46.73</v>
      </c>
      <c r="K2230" t="s">
        <v>66</v>
      </c>
    </row>
    <row r="2231" spans="1:11">
      <c r="A2231" t="str">
        <f>"300791"</f>
        <v>300791</v>
      </c>
      <c r="B2231" t="s">
        <v>2565</v>
      </c>
      <c r="C2231">
        <v>63.16</v>
      </c>
      <c r="D2231">
        <v>58.78</v>
      </c>
      <c r="E2231">
        <v>26.54</v>
      </c>
      <c r="F2231">
        <v>3.08</v>
      </c>
      <c r="G2231">
        <v>2.57</v>
      </c>
      <c r="H2231">
        <v>11761</v>
      </c>
      <c r="I2231">
        <v>3.09</v>
      </c>
      <c r="J2231">
        <v>21.83</v>
      </c>
      <c r="K2231" t="s">
        <v>1409</v>
      </c>
    </row>
    <row r="2232" spans="1:11">
      <c r="A2232" t="str">
        <f>"300792"</f>
        <v>300792</v>
      </c>
      <c r="B2232" t="s">
        <v>2566</v>
      </c>
      <c r="C2232">
        <v>104.78</v>
      </c>
      <c r="D2232">
        <v>31.2</v>
      </c>
      <c r="E2232">
        <v>29.28</v>
      </c>
      <c r="F2232">
        <v>2.37</v>
      </c>
      <c r="G2232">
        <v>2.13</v>
      </c>
      <c r="H2232">
        <v>32719</v>
      </c>
      <c r="I2232">
        <v>3.99</v>
      </c>
      <c r="J2232">
        <v>88.98</v>
      </c>
      <c r="K2232" t="s">
        <v>1050</v>
      </c>
    </row>
    <row r="2233" spans="1:11">
      <c r="A2233" t="str">
        <f>"300793"</f>
        <v>300793</v>
      </c>
      <c r="B2233" t="s">
        <v>2567</v>
      </c>
      <c r="C2233">
        <v>68.17</v>
      </c>
      <c r="D2233">
        <v>44.42</v>
      </c>
      <c r="E2233">
        <v>30.28</v>
      </c>
      <c r="F2233">
        <v>3.81</v>
      </c>
      <c r="G2233">
        <v>3.72</v>
      </c>
      <c r="H2233">
        <v>47530</v>
      </c>
      <c r="I2233">
        <v>2.33</v>
      </c>
      <c r="J2233">
        <v>181.39</v>
      </c>
      <c r="K2233" t="s">
        <v>41</v>
      </c>
    </row>
    <row r="2234" spans="1:11">
      <c r="A2234" t="str">
        <f>"300795"</f>
        <v>300795</v>
      </c>
      <c r="B2234" t="s">
        <v>2568</v>
      </c>
      <c r="C2234">
        <v>25.38</v>
      </c>
      <c r="D2234">
        <v>8.96</v>
      </c>
      <c r="E2234">
        <v>5.58</v>
      </c>
      <c r="F2234">
        <v>2.99</v>
      </c>
      <c r="G2234">
        <v>1.73</v>
      </c>
      <c r="H2234">
        <v>11986</v>
      </c>
      <c r="I2234">
        <v>7.84</v>
      </c>
      <c r="J2234">
        <v>94.82</v>
      </c>
      <c r="K2234" t="s">
        <v>2569</v>
      </c>
    </row>
    <row r="2235" spans="1:11">
      <c r="A2235" t="str">
        <f>"300796"</f>
        <v>300796</v>
      </c>
      <c r="B2235" t="s">
        <v>2570</v>
      </c>
      <c r="C2235">
        <v>31.85</v>
      </c>
      <c r="D2235">
        <v>32.51</v>
      </c>
      <c r="E2235">
        <v>17.2</v>
      </c>
      <c r="F2235">
        <v>3.61</v>
      </c>
      <c r="G2235">
        <v>3.61</v>
      </c>
      <c r="H2235">
        <v>18015</v>
      </c>
      <c r="I2235">
        <v>1.85</v>
      </c>
      <c r="J2235">
        <v>76.65</v>
      </c>
      <c r="K2235" t="s">
        <v>196</v>
      </c>
    </row>
    <row r="2236" spans="1:11">
      <c r="A2236" t="str">
        <f>"300797"</f>
        <v>300797</v>
      </c>
      <c r="B2236" t="s">
        <v>2571</v>
      </c>
      <c r="C2236">
        <v>67.79</v>
      </c>
      <c r="D2236">
        <v>21.39</v>
      </c>
      <c r="E2236">
        <v>12.65</v>
      </c>
      <c r="F2236">
        <v>3.83</v>
      </c>
      <c r="G2236">
        <v>3.78</v>
      </c>
      <c r="H2236">
        <v>25918</v>
      </c>
      <c r="I2236">
        <v>5.42</v>
      </c>
      <c r="J2236">
        <v>51.57</v>
      </c>
      <c r="K2236" t="s">
        <v>1733</v>
      </c>
    </row>
    <row r="2237" spans="1:11">
      <c r="A2237" t="str">
        <f>"300798"</f>
        <v>300798</v>
      </c>
      <c r="B2237" t="s">
        <v>2572</v>
      </c>
      <c r="C2237">
        <v>29.41</v>
      </c>
      <c r="D2237">
        <v>26.68</v>
      </c>
      <c r="E2237">
        <v>17.19</v>
      </c>
      <c r="F2237">
        <v>4.69</v>
      </c>
      <c r="G2237">
        <v>3.81</v>
      </c>
      <c r="H2237">
        <v>24985</v>
      </c>
      <c r="I2237">
        <v>2.15</v>
      </c>
      <c r="J2237" t="s">
        <v>14</v>
      </c>
      <c r="K2237" t="s">
        <v>812</v>
      </c>
    </row>
    <row r="2238" spans="1:11">
      <c r="A2238" t="str">
        <f>"300800"</f>
        <v>300800</v>
      </c>
      <c r="B2238" t="s">
        <v>2573</v>
      </c>
      <c r="C2238">
        <v>28.97</v>
      </c>
      <c r="D2238">
        <v>24.6</v>
      </c>
      <c r="E2238">
        <v>20.08</v>
      </c>
      <c r="F2238">
        <v>2.37</v>
      </c>
      <c r="G2238">
        <v>2.34</v>
      </c>
      <c r="H2238">
        <v>11127</v>
      </c>
      <c r="I2238">
        <v>1.46</v>
      </c>
      <c r="J2238">
        <v>99.81</v>
      </c>
      <c r="K2238" t="s">
        <v>1443</v>
      </c>
    </row>
    <row r="2239" spans="1:11">
      <c r="A2239" t="str">
        <f>"300801"</f>
        <v>300801</v>
      </c>
      <c r="B2239" t="s">
        <v>2574</v>
      </c>
      <c r="C2239">
        <v>41.6</v>
      </c>
      <c r="D2239">
        <v>32.79</v>
      </c>
      <c r="E2239">
        <v>25.09</v>
      </c>
      <c r="F2239">
        <v>2.18</v>
      </c>
      <c r="G2239">
        <v>1.36</v>
      </c>
      <c r="H2239">
        <v>29361</v>
      </c>
      <c r="I2239">
        <v>2.65</v>
      </c>
      <c r="J2239">
        <v>56.25</v>
      </c>
      <c r="K2239" t="s">
        <v>511</v>
      </c>
    </row>
    <row r="2240" spans="1:11">
      <c r="A2240" t="str">
        <f>"300802"</f>
        <v>300802</v>
      </c>
      <c r="B2240" t="s">
        <v>2575</v>
      </c>
      <c r="C2240">
        <v>39.86</v>
      </c>
      <c r="D2240">
        <v>18.68</v>
      </c>
      <c r="E2240">
        <v>14.78</v>
      </c>
      <c r="F2240">
        <v>2.84</v>
      </c>
      <c r="G2240">
        <v>1.95</v>
      </c>
      <c r="H2240">
        <v>19106</v>
      </c>
      <c r="I2240">
        <v>4.01</v>
      </c>
      <c r="J2240">
        <v>52.89</v>
      </c>
      <c r="K2240" t="s">
        <v>663</v>
      </c>
    </row>
    <row r="2241" spans="1:11">
      <c r="A2241" t="str">
        <f>"300803"</f>
        <v>300803</v>
      </c>
      <c r="B2241" t="s">
        <v>2576</v>
      </c>
      <c r="C2241">
        <v>850.03</v>
      </c>
      <c r="D2241">
        <v>141.83</v>
      </c>
      <c r="E2241">
        <v>26.97</v>
      </c>
      <c r="F2241">
        <v>6.08</v>
      </c>
      <c r="G2241">
        <v>5.99</v>
      </c>
      <c r="H2241">
        <v>144725</v>
      </c>
      <c r="I2241">
        <v>32.02</v>
      </c>
      <c r="J2241">
        <v>558.49</v>
      </c>
      <c r="K2241" t="s">
        <v>117</v>
      </c>
    </row>
    <row r="2242" spans="1:11">
      <c r="A2242" t="str">
        <f>"300804"</f>
        <v>300804</v>
      </c>
      <c r="B2242" t="s">
        <v>2577</v>
      </c>
      <c r="C2242">
        <v>9.8</v>
      </c>
      <c r="D2242">
        <v>21.89</v>
      </c>
      <c r="E2242">
        <v>13.61</v>
      </c>
      <c r="F2242">
        <v>0.74</v>
      </c>
      <c r="G2242">
        <v>0.28</v>
      </c>
      <c r="H2242">
        <v>9599</v>
      </c>
      <c r="I2242">
        <v>1.94</v>
      </c>
      <c r="J2242">
        <v>56.73</v>
      </c>
      <c r="K2242" t="s">
        <v>196</v>
      </c>
    </row>
    <row r="2243" spans="1:11">
      <c r="A2243" t="str">
        <f>"300805"</f>
        <v>300805</v>
      </c>
      <c r="B2243" t="s">
        <v>2578</v>
      </c>
      <c r="C2243">
        <v>37.42</v>
      </c>
      <c r="D2243">
        <v>22.18</v>
      </c>
      <c r="E2243">
        <v>15.61</v>
      </c>
      <c r="F2243">
        <v>4.24</v>
      </c>
      <c r="G2243">
        <v>2.88</v>
      </c>
      <c r="H2243">
        <v>20648</v>
      </c>
      <c r="I2243">
        <v>3.53</v>
      </c>
      <c r="J2243">
        <v>123.01</v>
      </c>
      <c r="K2243" t="s">
        <v>283</v>
      </c>
    </row>
    <row r="2244" spans="1:11">
      <c r="A2244" t="str">
        <f>"300806"</f>
        <v>300806</v>
      </c>
      <c r="B2244" t="s">
        <v>2579</v>
      </c>
      <c r="C2244">
        <v>110.64</v>
      </c>
      <c r="D2244">
        <v>78.78</v>
      </c>
      <c r="E2244">
        <v>22.69</v>
      </c>
      <c r="F2244">
        <v>4.53</v>
      </c>
      <c r="G2244">
        <v>3.16</v>
      </c>
      <c r="H2244">
        <v>20064</v>
      </c>
      <c r="I2244">
        <v>6.99</v>
      </c>
      <c r="J2244">
        <v>262.77</v>
      </c>
      <c r="K2244" t="s">
        <v>496</v>
      </c>
    </row>
    <row r="2245" spans="1:11">
      <c r="A2245" t="str">
        <f>"300807"</f>
        <v>300807</v>
      </c>
      <c r="B2245" t="s">
        <v>2580</v>
      </c>
      <c r="C2245">
        <v>30.65</v>
      </c>
      <c r="D2245">
        <v>6.2</v>
      </c>
      <c r="E2245">
        <v>4.7</v>
      </c>
      <c r="F2245">
        <v>0.68</v>
      </c>
      <c r="G2245">
        <v>0.52</v>
      </c>
      <c r="H2245">
        <v>10285</v>
      </c>
      <c r="I2245">
        <v>8.54</v>
      </c>
      <c r="J2245" t="s">
        <v>14</v>
      </c>
      <c r="K2245" t="s">
        <v>117</v>
      </c>
    </row>
    <row r="2246" spans="1:11">
      <c r="A2246" t="str">
        <f>"300808"</f>
        <v>300808</v>
      </c>
      <c r="B2246" t="s">
        <v>2581</v>
      </c>
      <c r="C2246">
        <v>34.25</v>
      </c>
      <c r="D2246">
        <v>11.74</v>
      </c>
      <c r="E2246">
        <v>9.7</v>
      </c>
      <c r="F2246">
        <v>1.6</v>
      </c>
      <c r="G2246">
        <v>1.19</v>
      </c>
      <c r="H2246">
        <v>7202</v>
      </c>
      <c r="I2246">
        <v>4.75</v>
      </c>
      <c r="J2246" t="s">
        <v>14</v>
      </c>
      <c r="K2246" t="s">
        <v>216</v>
      </c>
    </row>
    <row r="2247" spans="1:11">
      <c r="A2247" t="str">
        <f>"300809"</f>
        <v>300809</v>
      </c>
      <c r="B2247" t="s">
        <v>2582</v>
      </c>
      <c r="C2247">
        <v>56.43</v>
      </c>
      <c r="D2247">
        <v>22.18</v>
      </c>
      <c r="E2247">
        <v>16.46</v>
      </c>
      <c r="F2247">
        <v>2.54</v>
      </c>
      <c r="G2247">
        <v>1.51</v>
      </c>
      <c r="H2247">
        <v>24325</v>
      </c>
      <c r="I2247">
        <v>5.77</v>
      </c>
      <c r="J2247">
        <v>164.55</v>
      </c>
      <c r="K2247" t="s">
        <v>141</v>
      </c>
    </row>
    <row r="2248" spans="1:11">
      <c r="A2248" t="str">
        <f>"300810"</f>
        <v>300810</v>
      </c>
      <c r="B2248" t="s">
        <v>2583</v>
      </c>
      <c r="C2248">
        <v>47.6</v>
      </c>
      <c r="D2248">
        <v>12.19</v>
      </c>
      <c r="E2248">
        <v>7.44</v>
      </c>
      <c r="F2248">
        <v>1.18</v>
      </c>
      <c r="G2248">
        <v>1.14</v>
      </c>
      <c r="H2248">
        <v>22249</v>
      </c>
      <c r="I2248">
        <v>6.63</v>
      </c>
      <c r="J2248" t="s">
        <v>14</v>
      </c>
      <c r="K2248" t="s">
        <v>1816</v>
      </c>
    </row>
    <row r="2249" spans="1:11">
      <c r="A2249" t="str">
        <f>"300811"</f>
        <v>300811</v>
      </c>
      <c r="B2249" t="s">
        <v>2584</v>
      </c>
      <c r="C2249">
        <v>188.56</v>
      </c>
      <c r="D2249">
        <v>38.01</v>
      </c>
      <c r="E2249">
        <v>28.98</v>
      </c>
      <c r="F2249">
        <v>2.9</v>
      </c>
      <c r="G2249">
        <v>2.38</v>
      </c>
      <c r="H2249">
        <v>20246</v>
      </c>
      <c r="I2249">
        <v>7.93</v>
      </c>
      <c r="J2249">
        <v>58.75</v>
      </c>
      <c r="K2249" t="s">
        <v>442</v>
      </c>
    </row>
    <row r="2250" spans="1:11">
      <c r="A2250" t="str">
        <f>"300812"</f>
        <v>300812</v>
      </c>
      <c r="B2250" t="s">
        <v>2585</v>
      </c>
      <c r="C2250">
        <v>25.73</v>
      </c>
      <c r="D2250">
        <v>14.89</v>
      </c>
      <c r="E2250">
        <v>7.84</v>
      </c>
      <c r="F2250">
        <v>1.4</v>
      </c>
      <c r="G2250">
        <v>0.93</v>
      </c>
      <c r="H2250">
        <v>17081</v>
      </c>
      <c r="I2250">
        <v>4.96</v>
      </c>
      <c r="J2250">
        <v>84.04</v>
      </c>
      <c r="K2250" t="s">
        <v>493</v>
      </c>
    </row>
    <row r="2251" spans="1:11">
      <c r="A2251" t="str">
        <f>"300813"</f>
        <v>300813</v>
      </c>
      <c r="B2251" t="s">
        <v>2586</v>
      </c>
      <c r="C2251">
        <v>20.53</v>
      </c>
      <c r="D2251">
        <v>9.34</v>
      </c>
      <c r="E2251">
        <v>7.9</v>
      </c>
      <c r="F2251">
        <v>1.21</v>
      </c>
      <c r="G2251">
        <v>0.76</v>
      </c>
      <c r="H2251">
        <v>9437</v>
      </c>
      <c r="I2251">
        <v>4.14</v>
      </c>
      <c r="J2251">
        <v>166.7</v>
      </c>
      <c r="K2251" t="s">
        <v>1972</v>
      </c>
    </row>
    <row r="2252" spans="1:11">
      <c r="A2252" t="str">
        <f>"300814"</f>
        <v>300814</v>
      </c>
      <c r="B2252" t="s">
        <v>2587</v>
      </c>
      <c r="C2252">
        <v>143.04</v>
      </c>
      <c r="D2252">
        <v>31.82</v>
      </c>
      <c r="E2252">
        <v>16.44</v>
      </c>
      <c r="F2252">
        <v>1.91</v>
      </c>
      <c r="G2252">
        <v>1.91</v>
      </c>
      <c r="H2252">
        <v>29153</v>
      </c>
      <c r="I2252">
        <v>8.7</v>
      </c>
      <c r="J2252">
        <v>385.15</v>
      </c>
      <c r="K2252" t="s">
        <v>472</v>
      </c>
    </row>
    <row r="2253" spans="1:11">
      <c r="A2253" t="str">
        <f>"300815"</f>
        <v>300815</v>
      </c>
      <c r="B2253" t="s">
        <v>2588</v>
      </c>
      <c r="C2253">
        <v>102.2</v>
      </c>
      <c r="D2253">
        <v>99.46</v>
      </c>
      <c r="E2253">
        <v>44.14</v>
      </c>
      <c r="F2253">
        <v>3.99</v>
      </c>
      <c r="G2253">
        <v>3.9</v>
      </c>
      <c r="H2253">
        <v>37614</v>
      </c>
      <c r="I2253">
        <v>2.36</v>
      </c>
      <c r="J2253">
        <v>18.15</v>
      </c>
      <c r="K2253" t="s">
        <v>59</v>
      </c>
    </row>
    <row r="2254" spans="1:11">
      <c r="A2254" t="str">
        <f>"300816"</f>
        <v>300816</v>
      </c>
      <c r="B2254" t="s">
        <v>2589</v>
      </c>
      <c r="C2254">
        <v>45.37</v>
      </c>
      <c r="D2254">
        <v>24.03</v>
      </c>
      <c r="E2254">
        <v>9.08</v>
      </c>
      <c r="F2254">
        <v>0.8</v>
      </c>
      <c r="G2254">
        <v>0.57</v>
      </c>
      <c r="H2254">
        <v>10385</v>
      </c>
      <c r="I2254">
        <v>7.05</v>
      </c>
      <c r="J2254">
        <v>64.85</v>
      </c>
      <c r="K2254" t="s">
        <v>517</v>
      </c>
    </row>
    <row r="2255" spans="1:11">
      <c r="A2255" t="str">
        <f>"300817"</f>
        <v>300817</v>
      </c>
      <c r="B2255" t="s">
        <v>2590</v>
      </c>
      <c r="C2255">
        <v>28.31</v>
      </c>
      <c r="D2255">
        <v>12.81</v>
      </c>
      <c r="E2255">
        <v>10.19</v>
      </c>
      <c r="F2255">
        <v>2.18</v>
      </c>
      <c r="G2255">
        <v>1.25</v>
      </c>
      <c r="H2255">
        <v>20710</v>
      </c>
      <c r="I2255">
        <v>4.84</v>
      </c>
      <c r="J2255">
        <v>80.4</v>
      </c>
      <c r="K2255" t="s">
        <v>424</v>
      </c>
    </row>
    <row r="2256" spans="1:11">
      <c r="A2256" t="str">
        <f>"300818"</f>
        <v>300818</v>
      </c>
      <c r="B2256" t="s">
        <v>2591</v>
      </c>
      <c r="C2256">
        <v>42.77</v>
      </c>
      <c r="D2256">
        <v>31</v>
      </c>
      <c r="E2256">
        <v>18.11</v>
      </c>
      <c r="F2256">
        <v>1.69</v>
      </c>
      <c r="G2256">
        <v>1.09</v>
      </c>
      <c r="H2256">
        <v>8641</v>
      </c>
      <c r="I2256">
        <v>3.64</v>
      </c>
      <c r="J2256">
        <v>79.13</v>
      </c>
      <c r="K2256" t="s">
        <v>1069</v>
      </c>
    </row>
    <row r="2257" spans="1:11">
      <c r="A2257" t="str">
        <f>"300819"</f>
        <v>300819</v>
      </c>
      <c r="B2257" t="s">
        <v>2592</v>
      </c>
      <c r="C2257">
        <v>49.79</v>
      </c>
      <c r="D2257">
        <v>10.07</v>
      </c>
      <c r="E2257">
        <v>8.7</v>
      </c>
      <c r="F2257">
        <v>1.49</v>
      </c>
      <c r="G2257">
        <v>1.35</v>
      </c>
      <c r="H2257">
        <v>10180</v>
      </c>
      <c r="I2257">
        <v>6.34</v>
      </c>
      <c r="J2257">
        <v>78.78</v>
      </c>
      <c r="K2257" t="s">
        <v>577</v>
      </c>
    </row>
    <row r="2258" spans="1:11">
      <c r="A2258" t="str">
        <f>"300820"</f>
        <v>300820</v>
      </c>
      <c r="B2258" t="s">
        <v>2593</v>
      </c>
      <c r="C2258">
        <v>60.62</v>
      </c>
      <c r="D2258">
        <v>39.62</v>
      </c>
      <c r="E2258">
        <v>25.14</v>
      </c>
      <c r="F2258">
        <v>2.22</v>
      </c>
      <c r="G2258">
        <v>1.12</v>
      </c>
      <c r="H2258">
        <v>18653</v>
      </c>
      <c r="I2258">
        <v>4.78</v>
      </c>
      <c r="J2258">
        <v>46.85</v>
      </c>
      <c r="K2258" t="s">
        <v>1010</v>
      </c>
    </row>
    <row r="2259" spans="1:11">
      <c r="A2259" t="str">
        <f>"300821"</f>
        <v>300821</v>
      </c>
      <c r="B2259" t="s">
        <v>2594</v>
      </c>
      <c r="C2259">
        <v>155.13</v>
      </c>
      <c r="D2259">
        <v>60.73</v>
      </c>
      <c r="E2259">
        <v>48.96</v>
      </c>
      <c r="F2259">
        <v>12</v>
      </c>
      <c r="G2259">
        <v>12</v>
      </c>
      <c r="H2259">
        <v>75854</v>
      </c>
      <c r="I2259">
        <v>3.17</v>
      </c>
      <c r="J2259">
        <v>4073.72</v>
      </c>
      <c r="K2259" t="s">
        <v>993</v>
      </c>
    </row>
    <row r="2260" spans="1:11">
      <c r="A2260" t="str">
        <f>"300822"</f>
        <v>300822</v>
      </c>
      <c r="B2260" t="s">
        <v>2595</v>
      </c>
      <c r="C2260">
        <v>50.02</v>
      </c>
      <c r="D2260">
        <v>15.48</v>
      </c>
      <c r="E2260">
        <v>12.58</v>
      </c>
      <c r="F2260">
        <v>3.12</v>
      </c>
      <c r="G2260">
        <v>2.89</v>
      </c>
      <c r="H2260">
        <v>20447</v>
      </c>
      <c r="I2260">
        <v>4.29</v>
      </c>
      <c r="J2260">
        <v>125.2</v>
      </c>
      <c r="K2260" t="s">
        <v>82</v>
      </c>
    </row>
    <row r="2261" spans="1:11">
      <c r="A2261" t="str">
        <f>"300823"</f>
        <v>300823</v>
      </c>
      <c r="B2261" t="s">
        <v>2596</v>
      </c>
      <c r="C2261">
        <v>13.87</v>
      </c>
      <c r="D2261">
        <v>12.7</v>
      </c>
      <c r="E2261">
        <v>9.41</v>
      </c>
      <c r="F2261">
        <v>1.31</v>
      </c>
      <c r="G2261">
        <v>0.85</v>
      </c>
      <c r="H2261">
        <v>10440</v>
      </c>
      <c r="I2261">
        <v>2.28</v>
      </c>
      <c r="J2261">
        <v>87.12</v>
      </c>
      <c r="K2261" t="s">
        <v>493</v>
      </c>
    </row>
    <row r="2262" spans="1:11">
      <c r="A2262" t="str">
        <f>"300824"</f>
        <v>300824</v>
      </c>
      <c r="B2262" t="s">
        <v>2597</v>
      </c>
      <c r="C2262">
        <v>37.16</v>
      </c>
      <c r="D2262">
        <v>10.2</v>
      </c>
      <c r="E2262">
        <v>7.21</v>
      </c>
      <c r="F2262">
        <v>3.26</v>
      </c>
      <c r="G2262">
        <v>3.16</v>
      </c>
      <c r="H2262">
        <v>15368</v>
      </c>
      <c r="I2262">
        <v>5.31</v>
      </c>
      <c r="J2262">
        <v>34.65</v>
      </c>
      <c r="K2262" t="s">
        <v>660</v>
      </c>
    </row>
    <row r="2263" spans="1:11">
      <c r="A2263" t="str">
        <f>"300825"</f>
        <v>300825</v>
      </c>
      <c r="B2263" t="s">
        <v>2598</v>
      </c>
      <c r="C2263">
        <v>53.04</v>
      </c>
      <c r="D2263">
        <v>30.41</v>
      </c>
      <c r="E2263">
        <v>21.09</v>
      </c>
      <c r="F2263">
        <v>4.98</v>
      </c>
      <c r="G2263">
        <v>4.84</v>
      </c>
      <c r="H2263">
        <v>31455</v>
      </c>
      <c r="I2263">
        <v>2.59</v>
      </c>
      <c r="J2263" t="s">
        <v>14</v>
      </c>
      <c r="K2263" t="s">
        <v>412</v>
      </c>
    </row>
    <row r="2264" spans="1:11">
      <c r="A2264" t="str">
        <f>"300826"</f>
        <v>300826</v>
      </c>
      <c r="B2264" t="s">
        <v>2599</v>
      </c>
      <c r="C2264">
        <v>28.79</v>
      </c>
      <c r="D2264">
        <v>26.12</v>
      </c>
      <c r="E2264">
        <v>13.85</v>
      </c>
      <c r="F2264">
        <v>1.76</v>
      </c>
      <c r="G2264">
        <v>1.7</v>
      </c>
      <c r="H2264">
        <v>10658</v>
      </c>
      <c r="I2264">
        <v>2.1</v>
      </c>
      <c r="J2264">
        <v>112.26</v>
      </c>
      <c r="K2264" t="s">
        <v>428</v>
      </c>
    </row>
    <row r="2265" spans="1:11">
      <c r="A2265" t="str">
        <f>"300827"</f>
        <v>300827</v>
      </c>
      <c r="B2265" t="s">
        <v>2600</v>
      </c>
      <c r="C2265">
        <v>156.65</v>
      </c>
      <c r="D2265">
        <v>89.49</v>
      </c>
      <c r="E2265">
        <v>24.12</v>
      </c>
      <c r="F2265">
        <v>5.04</v>
      </c>
      <c r="G2265">
        <v>3.85</v>
      </c>
      <c r="H2265">
        <v>75844</v>
      </c>
      <c r="I2265">
        <v>8.47</v>
      </c>
      <c r="J2265">
        <v>49.46</v>
      </c>
      <c r="K2265" t="s">
        <v>2070</v>
      </c>
    </row>
    <row r="2266" spans="1:11">
      <c r="A2266" t="str">
        <f>"300828"</f>
        <v>300828</v>
      </c>
      <c r="B2266" t="s">
        <v>2601</v>
      </c>
      <c r="C2266">
        <v>21.7</v>
      </c>
      <c r="D2266">
        <v>8.96</v>
      </c>
      <c r="E2266">
        <v>7.79</v>
      </c>
      <c r="F2266">
        <v>1.66</v>
      </c>
      <c r="G2266">
        <v>1.25</v>
      </c>
      <c r="H2266">
        <v>12551</v>
      </c>
      <c r="I2266">
        <v>3.72</v>
      </c>
      <c r="J2266">
        <v>77.73</v>
      </c>
      <c r="K2266" t="s">
        <v>63</v>
      </c>
    </row>
    <row r="2267" spans="1:11">
      <c r="A2267" t="str">
        <f>"300829"</f>
        <v>300829</v>
      </c>
      <c r="B2267" t="s">
        <v>2602</v>
      </c>
      <c r="C2267">
        <v>27.76</v>
      </c>
      <c r="D2267">
        <v>35.06</v>
      </c>
      <c r="E2267">
        <v>24.16</v>
      </c>
      <c r="F2267">
        <v>2.27</v>
      </c>
      <c r="G2267">
        <v>1.58</v>
      </c>
      <c r="H2267">
        <v>20209</v>
      </c>
      <c r="I2267">
        <v>1.65</v>
      </c>
      <c r="J2267">
        <v>22.64</v>
      </c>
      <c r="K2267" t="s">
        <v>752</v>
      </c>
    </row>
    <row r="2268" spans="1:11">
      <c r="A2268" t="str">
        <f>"300830"</f>
        <v>300830</v>
      </c>
      <c r="B2268" t="s">
        <v>2603</v>
      </c>
      <c r="C2268">
        <v>47.19</v>
      </c>
      <c r="D2268">
        <v>14.82</v>
      </c>
      <c r="E2268">
        <v>13.65</v>
      </c>
      <c r="F2268">
        <v>4.52</v>
      </c>
      <c r="G2268">
        <v>3.37</v>
      </c>
      <c r="H2268">
        <v>37665</v>
      </c>
      <c r="I2268">
        <v>4.63</v>
      </c>
      <c r="J2268" t="s">
        <v>14</v>
      </c>
      <c r="K2268" t="s">
        <v>117</v>
      </c>
    </row>
    <row r="2269" spans="1:11">
      <c r="A2269" t="str">
        <f>"300831"</f>
        <v>300831</v>
      </c>
      <c r="B2269" t="s">
        <v>2604</v>
      </c>
      <c r="C2269">
        <v>22.23</v>
      </c>
      <c r="D2269">
        <v>10.2</v>
      </c>
      <c r="E2269">
        <v>9.19</v>
      </c>
      <c r="F2269">
        <v>3.2</v>
      </c>
      <c r="G2269">
        <v>1.84</v>
      </c>
      <c r="H2269">
        <v>30699</v>
      </c>
      <c r="I2269">
        <v>4.2</v>
      </c>
      <c r="J2269">
        <v>520.19</v>
      </c>
      <c r="K2269" t="s">
        <v>1852</v>
      </c>
    </row>
    <row r="2270" spans="1:11">
      <c r="A2270" t="str">
        <f>"300832"</f>
        <v>300832</v>
      </c>
      <c r="B2270" t="s">
        <v>2605</v>
      </c>
      <c r="C2270">
        <v>402.04</v>
      </c>
      <c r="D2270">
        <v>95.77</v>
      </c>
      <c r="E2270">
        <v>87.45</v>
      </c>
      <c r="F2270">
        <v>7.86</v>
      </c>
      <c r="G2270">
        <v>6.82</v>
      </c>
      <c r="H2270">
        <v>13116</v>
      </c>
      <c r="I2270">
        <v>5.3</v>
      </c>
      <c r="J2270">
        <v>28.83</v>
      </c>
      <c r="K2270" t="s">
        <v>775</v>
      </c>
    </row>
    <row r="2271" spans="1:11">
      <c r="A2271" t="str">
        <f>"300833"</f>
        <v>300833</v>
      </c>
      <c r="B2271" t="s">
        <v>2606</v>
      </c>
      <c r="C2271">
        <v>35.22</v>
      </c>
      <c r="D2271">
        <v>27.01</v>
      </c>
      <c r="E2271">
        <v>24.19</v>
      </c>
      <c r="F2271">
        <v>1.26</v>
      </c>
      <c r="G2271">
        <v>0.81</v>
      </c>
      <c r="H2271">
        <v>7997</v>
      </c>
      <c r="I2271">
        <v>2.27</v>
      </c>
      <c r="J2271">
        <v>30.63</v>
      </c>
      <c r="K2271" t="s">
        <v>493</v>
      </c>
    </row>
    <row r="2272" spans="1:11">
      <c r="A2272" t="str">
        <f>"300834"</f>
        <v>300834</v>
      </c>
      <c r="B2272" t="s">
        <v>2607</v>
      </c>
      <c r="C2272">
        <v>45.99</v>
      </c>
      <c r="D2272">
        <v>39.8</v>
      </c>
      <c r="E2272">
        <v>29.46</v>
      </c>
      <c r="F2272">
        <v>1.94</v>
      </c>
      <c r="G2272">
        <v>1.92</v>
      </c>
      <c r="H2272">
        <v>21377</v>
      </c>
      <c r="I2272">
        <v>1.57</v>
      </c>
      <c r="J2272">
        <v>87.75</v>
      </c>
      <c r="K2272" t="s">
        <v>601</v>
      </c>
    </row>
    <row r="2273" spans="1:11">
      <c r="A2273" t="str">
        <f>"300835"</f>
        <v>300835</v>
      </c>
      <c r="B2273" t="s">
        <v>2608</v>
      </c>
      <c r="C2273">
        <v>54.77</v>
      </c>
      <c r="D2273">
        <v>24.96</v>
      </c>
      <c r="E2273">
        <v>11.94</v>
      </c>
      <c r="F2273">
        <v>1.19</v>
      </c>
      <c r="G2273">
        <v>0.82</v>
      </c>
      <c r="H2273">
        <v>16222</v>
      </c>
      <c r="I2273">
        <v>6.65</v>
      </c>
      <c r="J2273">
        <v>44.65</v>
      </c>
      <c r="K2273" t="s">
        <v>442</v>
      </c>
    </row>
    <row r="2274" spans="1:11">
      <c r="A2274" t="str">
        <f>"300836"</f>
        <v>300836</v>
      </c>
      <c r="B2274" t="s">
        <v>2609</v>
      </c>
      <c r="C2274">
        <v>39.36</v>
      </c>
      <c r="D2274">
        <v>12.73</v>
      </c>
      <c r="E2274">
        <v>5.7</v>
      </c>
      <c r="F2274">
        <v>0.93</v>
      </c>
      <c r="G2274">
        <v>0.63</v>
      </c>
      <c r="H2274">
        <v>10124</v>
      </c>
      <c r="I2274">
        <v>10.12</v>
      </c>
      <c r="J2274">
        <v>85.3</v>
      </c>
      <c r="K2274" t="s">
        <v>493</v>
      </c>
    </row>
    <row r="2275" spans="1:11">
      <c r="A2275" t="str">
        <f>"300837"</f>
        <v>300837</v>
      </c>
      <c r="B2275" t="s">
        <v>2610</v>
      </c>
      <c r="C2275">
        <v>25.25</v>
      </c>
      <c r="D2275">
        <v>22.91</v>
      </c>
      <c r="E2275">
        <v>14.27</v>
      </c>
      <c r="F2275">
        <v>1</v>
      </c>
      <c r="G2275">
        <v>0.69</v>
      </c>
      <c r="H2275">
        <v>7796</v>
      </c>
      <c r="I2275">
        <v>2.66</v>
      </c>
      <c r="J2275">
        <v>52.97</v>
      </c>
      <c r="K2275" t="s">
        <v>491</v>
      </c>
    </row>
    <row r="2276" spans="1:11">
      <c r="A2276" t="str">
        <f>"300838"</f>
        <v>300838</v>
      </c>
      <c r="B2276" t="s">
        <v>2611</v>
      </c>
      <c r="C2276">
        <v>16.11</v>
      </c>
      <c r="D2276">
        <v>19.56</v>
      </c>
      <c r="E2276">
        <v>9.87</v>
      </c>
      <c r="F2276">
        <v>1.38</v>
      </c>
      <c r="G2276">
        <v>1.02</v>
      </c>
      <c r="H2276">
        <v>11812</v>
      </c>
      <c r="I2276">
        <v>2.21</v>
      </c>
      <c r="J2276">
        <v>156.83</v>
      </c>
      <c r="K2276" t="s">
        <v>424</v>
      </c>
    </row>
    <row r="2277" spans="1:11">
      <c r="A2277" t="str">
        <f>"300839"</f>
        <v>300839</v>
      </c>
      <c r="B2277" t="s">
        <v>2612</v>
      </c>
      <c r="C2277">
        <v>34.79</v>
      </c>
      <c r="D2277">
        <v>17.45</v>
      </c>
      <c r="E2277">
        <v>7.53</v>
      </c>
      <c r="F2277">
        <v>2.95</v>
      </c>
      <c r="G2277">
        <v>2.9</v>
      </c>
      <c r="H2277">
        <v>9567</v>
      </c>
      <c r="I2277">
        <v>4.7</v>
      </c>
      <c r="J2277" t="s">
        <v>14</v>
      </c>
      <c r="K2277" t="s">
        <v>312</v>
      </c>
    </row>
    <row r="2278" spans="1:11">
      <c r="A2278" t="str">
        <f>"300840"</f>
        <v>300840</v>
      </c>
      <c r="B2278" t="s">
        <v>2613</v>
      </c>
      <c r="C2278">
        <v>38.98</v>
      </c>
      <c r="D2278">
        <v>15.75</v>
      </c>
      <c r="E2278">
        <v>12.79</v>
      </c>
      <c r="F2278">
        <v>2.4</v>
      </c>
      <c r="G2278">
        <v>1.77</v>
      </c>
      <c r="H2278">
        <v>41582</v>
      </c>
      <c r="I2278">
        <v>4.13</v>
      </c>
      <c r="J2278">
        <v>96.03</v>
      </c>
      <c r="K2278" t="s">
        <v>622</v>
      </c>
    </row>
    <row r="2279" spans="1:11">
      <c r="A2279" t="str">
        <f>"300841"</f>
        <v>300841</v>
      </c>
      <c r="B2279" t="s">
        <v>2614</v>
      </c>
      <c r="C2279">
        <v>90.15</v>
      </c>
      <c r="D2279">
        <v>39.37</v>
      </c>
      <c r="E2279">
        <v>35.07</v>
      </c>
      <c r="F2279">
        <v>1.3</v>
      </c>
      <c r="G2279">
        <v>1.19</v>
      </c>
      <c r="H2279">
        <v>18290</v>
      </c>
      <c r="I2279">
        <v>2.81</v>
      </c>
      <c r="J2279">
        <v>39.06</v>
      </c>
      <c r="K2279" t="s">
        <v>1921</v>
      </c>
    </row>
    <row r="2280" spans="1:11">
      <c r="A2280" t="str">
        <f>"300842"</f>
        <v>300842</v>
      </c>
      <c r="B2280" t="s">
        <v>2615</v>
      </c>
      <c r="C2280">
        <v>104.56</v>
      </c>
      <c r="D2280">
        <v>110.29</v>
      </c>
      <c r="E2280">
        <v>17.83</v>
      </c>
      <c r="F2280">
        <v>1.45</v>
      </c>
      <c r="G2280">
        <v>1.3</v>
      </c>
      <c r="H2280">
        <v>17063</v>
      </c>
      <c r="I2280">
        <v>6.41</v>
      </c>
      <c r="J2280">
        <v>298.32</v>
      </c>
      <c r="K2280" t="s">
        <v>667</v>
      </c>
    </row>
    <row r="2281" spans="1:11">
      <c r="A2281" t="str">
        <f>"300843"</f>
        <v>300843</v>
      </c>
      <c r="B2281" t="s">
        <v>2616</v>
      </c>
      <c r="C2281">
        <v>77.78</v>
      </c>
      <c r="D2281">
        <v>29.79</v>
      </c>
      <c r="E2281">
        <v>15.85</v>
      </c>
      <c r="F2281">
        <v>1.64</v>
      </c>
      <c r="G2281">
        <v>1.57</v>
      </c>
      <c r="H2281">
        <v>23362</v>
      </c>
      <c r="I2281">
        <v>5.12</v>
      </c>
      <c r="J2281">
        <v>59.1</v>
      </c>
      <c r="K2281" t="s">
        <v>41</v>
      </c>
    </row>
    <row r="2282" spans="1:11">
      <c r="A2282" t="str">
        <f>"300844"</f>
        <v>300844</v>
      </c>
      <c r="B2282" t="s">
        <v>2617</v>
      </c>
      <c r="C2282">
        <v>37.56</v>
      </c>
      <c r="D2282">
        <v>9.66</v>
      </c>
      <c r="E2282">
        <v>7.33</v>
      </c>
      <c r="F2282">
        <v>0.93</v>
      </c>
      <c r="G2282">
        <v>0.9</v>
      </c>
      <c r="H2282">
        <v>6817</v>
      </c>
      <c r="I2282">
        <v>5.3</v>
      </c>
      <c r="J2282" t="s">
        <v>14</v>
      </c>
      <c r="K2282" t="s">
        <v>428</v>
      </c>
    </row>
    <row r="2283" spans="1:11">
      <c r="A2283" t="str">
        <f>"300845"</f>
        <v>300845</v>
      </c>
      <c r="B2283" t="s">
        <v>2618</v>
      </c>
      <c r="C2283">
        <v>17.54</v>
      </c>
      <c r="D2283">
        <v>9.97</v>
      </c>
      <c r="E2283">
        <v>7.99</v>
      </c>
      <c r="F2283">
        <v>2.06</v>
      </c>
      <c r="G2283">
        <v>1.45</v>
      </c>
      <c r="H2283">
        <v>17815</v>
      </c>
      <c r="I2283">
        <v>3.11</v>
      </c>
      <c r="J2283">
        <v>542.33</v>
      </c>
      <c r="K2283" t="s">
        <v>117</v>
      </c>
    </row>
    <row r="2284" spans="1:11">
      <c r="A2284" t="str">
        <f>"300846"</f>
        <v>300846</v>
      </c>
      <c r="B2284" t="s">
        <v>2619</v>
      </c>
      <c r="C2284">
        <v>98.19</v>
      </c>
      <c r="D2284">
        <v>21.02</v>
      </c>
      <c r="E2284">
        <v>8.51</v>
      </c>
      <c r="F2284">
        <v>5.03</v>
      </c>
      <c r="G2284">
        <v>3.92</v>
      </c>
      <c r="H2284">
        <v>65729</v>
      </c>
      <c r="I2284">
        <v>14.77</v>
      </c>
      <c r="J2284" t="s">
        <v>14</v>
      </c>
      <c r="K2284" t="s">
        <v>463</v>
      </c>
    </row>
    <row r="2285" spans="1:11">
      <c r="A2285" t="str">
        <f>"300847"</f>
        <v>300847</v>
      </c>
      <c r="B2285" t="s">
        <v>2620</v>
      </c>
      <c r="C2285">
        <v>53.46</v>
      </c>
      <c r="D2285">
        <v>16.18</v>
      </c>
      <c r="E2285">
        <v>14.64</v>
      </c>
      <c r="F2285">
        <v>2.96</v>
      </c>
      <c r="G2285">
        <v>2.96</v>
      </c>
      <c r="H2285">
        <v>27340</v>
      </c>
      <c r="I2285">
        <v>3.65</v>
      </c>
      <c r="J2285">
        <v>46.55</v>
      </c>
      <c r="K2285" t="s">
        <v>511</v>
      </c>
    </row>
    <row r="2286" spans="1:11">
      <c r="A2286" t="str">
        <f>"300848"</f>
        <v>300848</v>
      </c>
      <c r="B2286" t="s">
        <v>2621</v>
      </c>
      <c r="C2286">
        <v>40.55</v>
      </c>
      <c r="D2286">
        <v>44.94</v>
      </c>
      <c r="E2286">
        <v>15.44</v>
      </c>
      <c r="F2286">
        <v>4.28</v>
      </c>
      <c r="G2286">
        <v>2.53</v>
      </c>
      <c r="H2286">
        <v>12778</v>
      </c>
      <c r="I2286">
        <v>4.44</v>
      </c>
      <c r="J2286">
        <v>88.11</v>
      </c>
      <c r="K2286" t="s">
        <v>939</v>
      </c>
    </row>
    <row r="2287" spans="1:11">
      <c r="A2287" t="str">
        <f>"300849"</f>
        <v>300849</v>
      </c>
      <c r="B2287" t="s">
        <v>2622</v>
      </c>
      <c r="C2287">
        <v>19.84</v>
      </c>
      <c r="D2287">
        <v>7.01</v>
      </c>
      <c r="E2287">
        <v>5.89</v>
      </c>
      <c r="F2287">
        <v>1.5</v>
      </c>
      <c r="G2287">
        <v>1.21</v>
      </c>
      <c r="H2287">
        <v>7602</v>
      </c>
      <c r="I2287">
        <v>4.16</v>
      </c>
      <c r="J2287" t="s">
        <v>14</v>
      </c>
      <c r="K2287" t="s">
        <v>324</v>
      </c>
    </row>
    <row r="2288" spans="1:11">
      <c r="A2288" t="str">
        <f>"300850"</f>
        <v>300850</v>
      </c>
      <c r="B2288" t="s">
        <v>2623</v>
      </c>
      <c r="C2288">
        <v>132.95</v>
      </c>
      <c r="D2288">
        <v>114.7</v>
      </c>
      <c r="E2288">
        <v>68.6</v>
      </c>
      <c r="F2288">
        <v>4.14</v>
      </c>
      <c r="G2288">
        <v>3.01</v>
      </c>
      <c r="H2288">
        <v>43355</v>
      </c>
      <c r="I2288">
        <v>2.67</v>
      </c>
      <c r="J2288">
        <v>20.68</v>
      </c>
      <c r="K2288" t="s">
        <v>456</v>
      </c>
    </row>
    <row r="2289" spans="1:11">
      <c r="A2289" t="str">
        <f>"300851"</f>
        <v>300851</v>
      </c>
      <c r="B2289" t="s">
        <v>2624</v>
      </c>
      <c r="C2289">
        <v>15.32</v>
      </c>
      <c r="D2289">
        <v>14.52</v>
      </c>
      <c r="E2289">
        <v>12.84</v>
      </c>
      <c r="F2289">
        <v>0.87</v>
      </c>
      <c r="G2289">
        <v>0.54</v>
      </c>
      <c r="H2289">
        <v>8711</v>
      </c>
      <c r="I2289">
        <v>1.92</v>
      </c>
      <c r="J2289">
        <v>79.34</v>
      </c>
      <c r="K2289" t="s">
        <v>22</v>
      </c>
    </row>
    <row r="2290" spans="1:11">
      <c r="A2290" t="str">
        <f>"300852"</f>
        <v>300852</v>
      </c>
      <c r="B2290" t="s">
        <v>2625</v>
      </c>
      <c r="C2290">
        <v>59.75</v>
      </c>
      <c r="D2290">
        <v>29.38</v>
      </c>
      <c r="E2290">
        <v>18.62</v>
      </c>
      <c r="F2290">
        <v>1.61</v>
      </c>
      <c r="G2290">
        <v>1.55</v>
      </c>
      <c r="H2290">
        <v>20658</v>
      </c>
      <c r="I2290">
        <v>3.17</v>
      </c>
      <c r="J2290">
        <v>35.46</v>
      </c>
      <c r="K2290" t="s">
        <v>472</v>
      </c>
    </row>
    <row r="2291" spans="1:11">
      <c r="A2291" t="str">
        <f>"300853"</f>
        <v>300853</v>
      </c>
      <c r="B2291" t="s">
        <v>2626</v>
      </c>
      <c r="C2291">
        <v>24.41</v>
      </c>
      <c r="D2291">
        <v>16.21</v>
      </c>
      <c r="E2291">
        <v>7.34</v>
      </c>
      <c r="F2291">
        <v>1.47</v>
      </c>
      <c r="G2291">
        <v>1.1</v>
      </c>
      <c r="H2291">
        <v>18077</v>
      </c>
      <c r="I2291">
        <v>5.33</v>
      </c>
      <c r="J2291" t="s">
        <v>14</v>
      </c>
      <c r="K2291" t="s">
        <v>127</v>
      </c>
    </row>
    <row r="2292" spans="1:11">
      <c r="A2292" t="str">
        <f>"300854"</f>
        <v>300854</v>
      </c>
      <c r="B2292" t="s">
        <v>2627</v>
      </c>
      <c r="C2292">
        <v>14.45</v>
      </c>
      <c r="D2292">
        <v>15.61</v>
      </c>
      <c r="E2292">
        <v>9.58</v>
      </c>
      <c r="F2292">
        <v>1</v>
      </c>
      <c r="G2292">
        <v>0.81</v>
      </c>
      <c r="H2292">
        <v>7271</v>
      </c>
      <c r="I2292">
        <v>1.86</v>
      </c>
      <c r="J2292" t="s">
        <v>14</v>
      </c>
      <c r="K2292" t="s">
        <v>59</v>
      </c>
    </row>
    <row r="2293" spans="1:11">
      <c r="A2293" t="str">
        <f>"300855"</f>
        <v>300855</v>
      </c>
      <c r="B2293" t="s">
        <v>2628</v>
      </c>
      <c r="C2293">
        <v>100.34</v>
      </c>
      <c r="D2293">
        <v>28.59</v>
      </c>
      <c r="E2293">
        <v>19.71</v>
      </c>
      <c r="F2293">
        <v>3.96</v>
      </c>
      <c r="G2293">
        <v>2.93</v>
      </c>
      <c r="H2293">
        <v>12700</v>
      </c>
      <c r="I2293">
        <v>6.87</v>
      </c>
      <c r="J2293">
        <v>82.36</v>
      </c>
      <c r="K2293" t="s">
        <v>307</v>
      </c>
    </row>
    <row r="2294" spans="1:11">
      <c r="A2294" t="str">
        <f>"300856"</f>
        <v>300856</v>
      </c>
      <c r="B2294" t="s">
        <v>2629</v>
      </c>
      <c r="C2294">
        <v>63.58</v>
      </c>
      <c r="D2294">
        <v>40.5</v>
      </c>
      <c r="E2294">
        <v>27.65</v>
      </c>
      <c r="F2294">
        <v>4.76</v>
      </c>
      <c r="G2294">
        <v>4.6</v>
      </c>
      <c r="H2294">
        <v>23091</v>
      </c>
      <c r="I2294">
        <v>2.46</v>
      </c>
      <c r="J2294">
        <v>63.31</v>
      </c>
      <c r="K2294" t="s">
        <v>856</v>
      </c>
    </row>
    <row r="2295" spans="1:11">
      <c r="A2295" t="str">
        <f>"300857"</f>
        <v>300857</v>
      </c>
      <c r="B2295" t="s">
        <v>2630</v>
      </c>
      <c r="C2295">
        <v>668.96</v>
      </c>
      <c r="D2295">
        <v>181.94</v>
      </c>
      <c r="E2295">
        <v>39.3</v>
      </c>
      <c r="F2295">
        <v>3.46</v>
      </c>
      <c r="G2295">
        <v>3.45</v>
      </c>
      <c r="H2295">
        <v>34988</v>
      </c>
      <c r="I2295">
        <v>17.07</v>
      </c>
      <c r="J2295">
        <v>72.09</v>
      </c>
      <c r="K2295" t="s">
        <v>41</v>
      </c>
    </row>
    <row r="2296" spans="1:11">
      <c r="A2296" t="str">
        <f>"300858"</f>
        <v>300858</v>
      </c>
      <c r="B2296" t="s">
        <v>2631</v>
      </c>
      <c r="C2296">
        <v>34.63</v>
      </c>
      <c r="D2296">
        <v>19.41</v>
      </c>
      <c r="E2296">
        <v>18.26</v>
      </c>
      <c r="F2296">
        <v>2.63</v>
      </c>
      <c r="G2296">
        <v>1.94</v>
      </c>
      <c r="H2296">
        <v>17081</v>
      </c>
      <c r="I2296">
        <v>2.58</v>
      </c>
      <c r="J2296">
        <v>46.33</v>
      </c>
      <c r="K2296" t="s">
        <v>752</v>
      </c>
    </row>
    <row r="2297" spans="1:11">
      <c r="A2297" t="str">
        <f>"300859"</f>
        <v>300859</v>
      </c>
      <c r="B2297" t="s">
        <v>2632</v>
      </c>
      <c r="C2297">
        <v>61.21</v>
      </c>
      <c r="D2297">
        <v>11.43</v>
      </c>
      <c r="E2297">
        <v>8.1</v>
      </c>
      <c r="F2297">
        <v>1.55</v>
      </c>
      <c r="G2297">
        <v>1.55</v>
      </c>
      <c r="H2297">
        <v>27561</v>
      </c>
      <c r="I2297">
        <v>7.56</v>
      </c>
      <c r="J2297">
        <v>46.57</v>
      </c>
      <c r="K2297" t="s">
        <v>194</v>
      </c>
    </row>
    <row r="2298" spans="1:11">
      <c r="A2298" t="str">
        <f>"300860"</f>
        <v>300860</v>
      </c>
      <c r="B2298" t="s">
        <v>2633</v>
      </c>
      <c r="C2298">
        <v>33.21</v>
      </c>
      <c r="D2298">
        <v>34.69</v>
      </c>
      <c r="E2298">
        <v>31.48</v>
      </c>
      <c r="F2298">
        <v>1.88</v>
      </c>
      <c r="G2298">
        <v>1.09</v>
      </c>
      <c r="H2298">
        <v>15331</v>
      </c>
      <c r="I2298">
        <v>1.84</v>
      </c>
      <c r="J2298">
        <v>496.67</v>
      </c>
      <c r="K2298" t="s">
        <v>2569</v>
      </c>
    </row>
    <row r="2299" spans="1:11">
      <c r="A2299" t="str">
        <f>"300861"</f>
        <v>300861</v>
      </c>
      <c r="B2299" t="s">
        <v>2634</v>
      </c>
      <c r="C2299">
        <v>65.73</v>
      </c>
      <c r="D2299">
        <v>69.96</v>
      </c>
      <c r="E2299">
        <v>63.28</v>
      </c>
      <c r="F2299">
        <v>6.72</v>
      </c>
      <c r="G2299">
        <v>4.22</v>
      </c>
      <c r="H2299">
        <v>21917</v>
      </c>
      <c r="I2299">
        <v>1.65</v>
      </c>
      <c r="J2299">
        <v>49.97</v>
      </c>
      <c r="K2299" t="s">
        <v>1069</v>
      </c>
    </row>
    <row r="2300" spans="1:11">
      <c r="A2300" t="str">
        <f>"300862"</f>
        <v>300862</v>
      </c>
      <c r="B2300" t="s">
        <v>2635</v>
      </c>
      <c r="C2300">
        <v>42.2</v>
      </c>
      <c r="D2300">
        <v>24.13</v>
      </c>
      <c r="E2300">
        <v>19.91</v>
      </c>
      <c r="F2300">
        <v>1.85</v>
      </c>
      <c r="G2300">
        <v>1.51</v>
      </c>
      <c r="H2300">
        <v>15728</v>
      </c>
      <c r="I2300">
        <v>2.58</v>
      </c>
      <c r="J2300" t="s">
        <v>14</v>
      </c>
      <c r="K2300" t="s">
        <v>952</v>
      </c>
    </row>
    <row r="2301" spans="1:11">
      <c r="A2301" t="str">
        <f>"300863"</f>
        <v>300863</v>
      </c>
      <c r="B2301" t="s">
        <v>2636</v>
      </c>
      <c r="C2301">
        <v>88.63</v>
      </c>
      <c r="D2301">
        <v>41.46</v>
      </c>
      <c r="E2301">
        <v>14.28</v>
      </c>
      <c r="F2301">
        <v>1.88</v>
      </c>
      <c r="G2301">
        <v>1.81</v>
      </c>
      <c r="H2301">
        <v>12055</v>
      </c>
      <c r="I2301">
        <v>6.46</v>
      </c>
      <c r="J2301">
        <v>50.28</v>
      </c>
      <c r="K2301" t="s">
        <v>530</v>
      </c>
    </row>
    <row r="2302" spans="1:11">
      <c r="A2302" t="str">
        <f>"300864"</f>
        <v>300864</v>
      </c>
      <c r="B2302" t="s">
        <v>2637</v>
      </c>
      <c r="C2302">
        <v>32.58</v>
      </c>
      <c r="D2302">
        <v>18.88</v>
      </c>
      <c r="E2302">
        <v>13.19</v>
      </c>
      <c r="F2302">
        <v>1.58</v>
      </c>
      <c r="G2302">
        <v>1.58</v>
      </c>
      <c r="H2302">
        <v>9414</v>
      </c>
      <c r="I2302">
        <v>2.47</v>
      </c>
      <c r="J2302">
        <v>20.59</v>
      </c>
      <c r="K2302" t="s">
        <v>1443</v>
      </c>
    </row>
    <row r="2303" spans="1:11">
      <c r="A2303" t="str">
        <f>"300865"</f>
        <v>300865</v>
      </c>
      <c r="B2303" t="s">
        <v>2638</v>
      </c>
      <c r="C2303">
        <v>16.06</v>
      </c>
      <c r="D2303">
        <v>10.77</v>
      </c>
      <c r="E2303">
        <v>8.7</v>
      </c>
      <c r="F2303">
        <v>0.96</v>
      </c>
      <c r="G2303">
        <v>0.56</v>
      </c>
      <c r="H2303">
        <v>11013</v>
      </c>
      <c r="I2303">
        <v>3.14</v>
      </c>
      <c r="J2303">
        <v>196.6</v>
      </c>
      <c r="K2303" t="s">
        <v>491</v>
      </c>
    </row>
    <row r="2304" spans="1:11">
      <c r="A2304" t="str">
        <f>"300866"</f>
        <v>300866</v>
      </c>
      <c r="B2304" t="s">
        <v>2639</v>
      </c>
      <c r="C2304">
        <v>325.29</v>
      </c>
      <c r="D2304">
        <v>200.2</v>
      </c>
      <c r="E2304">
        <v>98.94</v>
      </c>
      <c r="F2304">
        <v>5.36</v>
      </c>
      <c r="G2304">
        <v>3.07</v>
      </c>
      <c r="H2304">
        <v>22796</v>
      </c>
      <c r="I2304">
        <v>5.74</v>
      </c>
      <c r="J2304">
        <v>22.01</v>
      </c>
      <c r="K2304" t="s">
        <v>689</v>
      </c>
    </row>
    <row r="2305" spans="1:11">
      <c r="A2305" t="str">
        <f>"300867"</f>
        <v>300867</v>
      </c>
      <c r="B2305" t="s">
        <v>2640</v>
      </c>
      <c r="C2305">
        <v>38.02</v>
      </c>
      <c r="D2305">
        <v>87.81</v>
      </c>
      <c r="E2305">
        <v>38.72</v>
      </c>
      <c r="F2305">
        <v>2.72</v>
      </c>
      <c r="G2305">
        <v>1.92</v>
      </c>
      <c r="H2305">
        <v>24366</v>
      </c>
      <c r="I2305">
        <v>1.39</v>
      </c>
      <c r="J2305">
        <v>19.14</v>
      </c>
      <c r="K2305" t="s">
        <v>59</v>
      </c>
    </row>
    <row r="2306" spans="1:11">
      <c r="A2306" t="str">
        <f>"300868"</f>
        <v>300868</v>
      </c>
      <c r="B2306" t="s">
        <v>2641</v>
      </c>
      <c r="C2306">
        <v>28.24</v>
      </c>
      <c r="D2306">
        <v>20.77</v>
      </c>
      <c r="E2306">
        <v>15.08</v>
      </c>
      <c r="F2306">
        <v>1.28</v>
      </c>
      <c r="G2306">
        <v>0.81</v>
      </c>
      <c r="H2306">
        <v>11796</v>
      </c>
      <c r="I2306">
        <v>2.97</v>
      </c>
      <c r="J2306" t="s">
        <v>14</v>
      </c>
      <c r="K2306" t="s">
        <v>41</v>
      </c>
    </row>
    <row r="2307" spans="1:11">
      <c r="A2307" t="str">
        <f>"300869"</f>
        <v>300869</v>
      </c>
      <c r="B2307" t="s">
        <v>2642</v>
      </c>
      <c r="C2307">
        <v>41.3</v>
      </c>
      <c r="D2307">
        <v>27.91</v>
      </c>
      <c r="E2307">
        <v>17.66</v>
      </c>
      <c r="F2307">
        <v>4.02</v>
      </c>
      <c r="G2307">
        <v>2.53</v>
      </c>
      <c r="H2307">
        <v>34665</v>
      </c>
      <c r="I2307">
        <v>3.77</v>
      </c>
      <c r="J2307">
        <v>522.57</v>
      </c>
      <c r="K2307" t="s">
        <v>1836</v>
      </c>
    </row>
    <row r="2308" spans="1:11">
      <c r="A2308" t="str">
        <f>"300870"</f>
        <v>300870</v>
      </c>
      <c r="B2308" t="s">
        <v>2643</v>
      </c>
      <c r="C2308">
        <v>259.26</v>
      </c>
      <c r="D2308">
        <v>56.11</v>
      </c>
      <c r="E2308">
        <v>26.82</v>
      </c>
      <c r="F2308">
        <v>1.1</v>
      </c>
      <c r="G2308">
        <v>1.1</v>
      </c>
      <c r="H2308">
        <v>21551</v>
      </c>
      <c r="I2308">
        <v>9.81</v>
      </c>
      <c r="J2308">
        <v>87.73</v>
      </c>
      <c r="K2308" t="s">
        <v>1010</v>
      </c>
    </row>
    <row r="2309" spans="1:11">
      <c r="A2309" t="str">
        <f>"300871"</f>
        <v>300871</v>
      </c>
      <c r="B2309" t="s">
        <v>2644</v>
      </c>
      <c r="C2309">
        <v>51.64</v>
      </c>
      <c r="D2309">
        <v>29.58</v>
      </c>
      <c r="E2309">
        <v>21.08</v>
      </c>
      <c r="F2309">
        <v>2.02</v>
      </c>
      <c r="G2309">
        <v>2.02</v>
      </c>
      <c r="H2309">
        <v>21150</v>
      </c>
      <c r="I2309">
        <v>2.45</v>
      </c>
      <c r="J2309">
        <v>20.61</v>
      </c>
      <c r="K2309" t="s">
        <v>912</v>
      </c>
    </row>
    <row r="2310" spans="1:11">
      <c r="A2310" t="str">
        <f>"300872"</f>
        <v>300872</v>
      </c>
      <c r="B2310" t="s">
        <v>2645</v>
      </c>
      <c r="C2310">
        <v>92.6</v>
      </c>
      <c r="D2310">
        <v>43.81</v>
      </c>
      <c r="E2310">
        <v>36.45</v>
      </c>
      <c r="F2310">
        <v>4.88</v>
      </c>
      <c r="G2310">
        <v>4.22</v>
      </c>
      <c r="H2310">
        <v>49497</v>
      </c>
      <c r="I2310">
        <v>2.94</v>
      </c>
      <c r="J2310">
        <v>139.04</v>
      </c>
      <c r="K2310" t="s">
        <v>57</v>
      </c>
    </row>
    <row r="2311" spans="1:11">
      <c r="A2311" t="str">
        <f>"300873"</f>
        <v>300873</v>
      </c>
      <c r="B2311" t="s">
        <v>2646</v>
      </c>
      <c r="C2311">
        <v>39.62</v>
      </c>
      <c r="D2311">
        <v>50.43</v>
      </c>
      <c r="E2311">
        <v>31.45</v>
      </c>
      <c r="F2311">
        <v>2.31</v>
      </c>
      <c r="G2311">
        <v>1.67</v>
      </c>
      <c r="H2311">
        <v>14482</v>
      </c>
      <c r="I2311">
        <v>1.74</v>
      </c>
      <c r="J2311">
        <v>20.09</v>
      </c>
      <c r="K2311" t="s">
        <v>536</v>
      </c>
    </row>
    <row r="2312" spans="1:11">
      <c r="A2312" t="str">
        <f>"300875"</f>
        <v>300875</v>
      </c>
      <c r="B2312" t="s">
        <v>2647</v>
      </c>
      <c r="C2312">
        <v>37.59</v>
      </c>
      <c r="D2312">
        <v>14.06</v>
      </c>
      <c r="E2312">
        <v>9.44</v>
      </c>
      <c r="F2312">
        <v>1</v>
      </c>
      <c r="G2312">
        <v>0.88</v>
      </c>
      <c r="H2312">
        <v>24382</v>
      </c>
      <c r="I2312">
        <v>4.53</v>
      </c>
      <c r="J2312" t="s">
        <v>14</v>
      </c>
      <c r="K2312" t="s">
        <v>186</v>
      </c>
    </row>
    <row r="2313" spans="1:11">
      <c r="A2313" t="str">
        <f>"300876"</f>
        <v>300876</v>
      </c>
      <c r="B2313" t="s">
        <v>2648</v>
      </c>
      <c r="C2313">
        <v>26.16</v>
      </c>
      <c r="D2313">
        <v>17.81</v>
      </c>
      <c r="E2313">
        <v>8.27</v>
      </c>
      <c r="F2313">
        <v>1.09</v>
      </c>
      <c r="G2313">
        <v>0.81</v>
      </c>
      <c r="H2313">
        <v>5542</v>
      </c>
      <c r="I2313">
        <v>4.08</v>
      </c>
      <c r="J2313" t="s">
        <v>14</v>
      </c>
      <c r="K2313" t="s">
        <v>727</v>
      </c>
    </row>
    <row r="2314" spans="1:11">
      <c r="A2314" t="str">
        <f>"300877"</f>
        <v>300877</v>
      </c>
      <c r="B2314" t="s">
        <v>2649</v>
      </c>
      <c r="C2314">
        <v>36.19</v>
      </c>
      <c r="D2314">
        <v>19.44</v>
      </c>
      <c r="E2314">
        <v>16.68</v>
      </c>
      <c r="F2314">
        <v>1.2</v>
      </c>
      <c r="G2314">
        <v>1.2</v>
      </c>
      <c r="H2314">
        <v>10907</v>
      </c>
      <c r="I2314">
        <v>2.17</v>
      </c>
      <c r="J2314">
        <v>36.75</v>
      </c>
      <c r="K2314" t="s">
        <v>577</v>
      </c>
    </row>
    <row r="2315" spans="1:11">
      <c r="A2315" t="str">
        <f>"300878"</f>
        <v>300878</v>
      </c>
      <c r="B2315" t="s">
        <v>2650</v>
      </c>
      <c r="C2315">
        <v>47.99</v>
      </c>
      <c r="D2315">
        <v>14.88</v>
      </c>
      <c r="E2315">
        <v>10.14</v>
      </c>
      <c r="F2315">
        <v>1.45</v>
      </c>
      <c r="G2315">
        <v>1.44</v>
      </c>
      <c r="H2315">
        <v>10593</v>
      </c>
      <c r="I2315">
        <v>4.76</v>
      </c>
      <c r="J2315" t="s">
        <v>14</v>
      </c>
      <c r="K2315" t="s">
        <v>155</v>
      </c>
    </row>
    <row r="2316" spans="1:11">
      <c r="A2316" t="str">
        <f>"300879"</f>
        <v>300879</v>
      </c>
      <c r="B2316" t="s">
        <v>2651</v>
      </c>
      <c r="C2316">
        <v>61.13</v>
      </c>
      <c r="D2316">
        <v>49</v>
      </c>
      <c r="E2316">
        <v>13.78</v>
      </c>
      <c r="F2316">
        <v>2.02</v>
      </c>
      <c r="G2316">
        <v>2.01</v>
      </c>
      <c r="H2316">
        <v>23815</v>
      </c>
      <c r="I2316">
        <v>4.47</v>
      </c>
      <c r="J2316">
        <v>37.29</v>
      </c>
      <c r="K2316" t="s">
        <v>1556</v>
      </c>
    </row>
    <row r="2317" spans="1:11">
      <c r="A2317" t="str">
        <f>"300880"</f>
        <v>300880</v>
      </c>
      <c r="B2317" t="s">
        <v>2652</v>
      </c>
      <c r="C2317">
        <v>37.27</v>
      </c>
      <c r="D2317">
        <v>14.75</v>
      </c>
      <c r="E2317">
        <v>10.48</v>
      </c>
      <c r="F2317">
        <v>1.95</v>
      </c>
      <c r="G2317">
        <v>1.95</v>
      </c>
      <c r="H2317">
        <v>15577</v>
      </c>
      <c r="I2317">
        <v>3.56</v>
      </c>
      <c r="J2317">
        <v>40.96</v>
      </c>
      <c r="K2317" t="s">
        <v>888</v>
      </c>
    </row>
    <row r="2318" spans="1:11">
      <c r="A2318" t="str">
        <f>"300881"</f>
        <v>300881</v>
      </c>
      <c r="B2318" t="s">
        <v>2653</v>
      </c>
      <c r="C2318">
        <v>20.63</v>
      </c>
      <c r="D2318">
        <v>33.19</v>
      </c>
      <c r="E2318">
        <v>10.94</v>
      </c>
      <c r="F2318">
        <v>1.1</v>
      </c>
      <c r="G2318">
        <v>0.57</v>
      </c>
      <c r="H2318">
        <v>9970</v>
      </c>
      <c r="I2318">
        <v>3.61</v>
      </c>
      <c r="J2318">
        <v>19.55</v>
      </c>
      <c r="K2318" t="s">
        <v>364</v>
      </c>
    </row>
    <row r="2319" spans="1:11">
      <c r="A2319" t="str">
        <f>"300882"</f>
        <v>300882</v>
      </c>
      <c r="B2319" t="s">
        <v>2654</v>
      </c>
      <c r="C2319">
        <v>57.37</v>
      </c>
      <c r="D2319">
        <v>20.59</v>
      </c>
      <c r="E2319">
        <v>13.11</v>
      </c>
      <c r="F2319">
        <v>2.86</v>
      </c>
      <c r="G2319">
        <v>2.66</v>
      </c>
      <c r="H2319">
        <v>20343</v>
      </c>
      <c r="I2319">
        <v>4.7</v>
      </c>
      <c r="J2319">
        <v>28.16</v>
      </c>
      <c r="K2319" t="s">
        <v>888</v>
      </c>
    </row>
    <row r="2320" spans="1:11">
      <c r="A2320" t="str">
        <f>"300883"</f>
        <v>300883</v>
      </c>
      <c r="B2320" t="s">
        <v>2655</v>
      </c>
      <c r="C2320">
        <v>21.99</v>
      </c>
      <c r="D2320">
        <v>25.73</v>
      </c>
      <c r="E2320">
        <v>14.22</v>
      </c>
      <c r="F2320">
        <v>3.46</v>
      </c>
      <c r="G2320">
        <v>3.31</v>
      </c>
      <c r="H2320">
        <v>17240</v>
      </c>
      <c r="I2320">
        <v>1.62</v>
      </c>
      <c r="J2320">
        <v>4800.21</v>
      </c>
      <c r="K2320" t="s">
        <v>460</v>
      </c>
    </row>
    <row r="2321" spans="1:11">
      <c r="A2321" t="str">
        <f>"300884"</f>
        <v>300884</v>
      </c>
      <c r="B2321" t="s">
        <v>2656</v>
      </c>
      <c r="C2321">
        <v>32.94</v>
      </c>
      <c r="D2321">
        <v>17.4</v>
      </c>
      <c r="E2321">
        <v>12.65</v>
      </c>
      <c r="F2321">
        <v>2.54</v>
      </c>
      <c r="G2321">
        <v>1.91</v>
      </c>
      <c r="H2321">
        <v>20967</v>
      </c>
      <c r="I2321">
        <v>3.45</v>
      </c>
      <c r="J2321" t="s">
        <v>14</v>
      </c>
      <c r="K2321" t="s">
        <v>1022</v>
      </c>
    </row>
    <row r="2322" spans="1:11">
      <c r="A2322" t="str">
        <f>"300885"</f>
        <v>300885</v>
      </c>
      <c r="B2322" t="s">
        <v>2657</v>
      </c>
      <c r="C2322">
        <v>49.52</v>
      </c>
      <c r="D2322">
        <v>9.4</v>
      </c>
      <c r="E2322">
        <v>8.79</v>
      </c>
      <c r="F2322">
        <v>2.48</v>
      </c>
      <c r="G2322">
        <v>1.67</v>
      </c>
      <c r="H2322">
        <v>22150</v>
      </c>
      <c r="I2322">
        <v>8.37</v>
      </c>
      <c r="J2322">
        <v>129.52</v>
      </c>
      <c r="K2322" t="s">
        <v>424</v>
      </c>
    </row>
    <row r="2323" spans="1:11">
      <c r="A2323" t="str">
        <f>"300886"</f>
        <v>300886</v>
      </c>
      <c r="B2323" t="s">
        <v>2658</v>
      </c>
      <c r="C2323">
        <v>11.87</v>
      </c>
      <c r="D2323">
        <v>6.73</v>
      </c>
      <c r="E2323">
        <v>5.85</v>
      </c>
      <c r="F2323">
        <v>0.75</v>
      </c>
      <c r="G2323">
        <v>0.44</v>
      </c>
      <c r="H2323">
        <v>10634</v>
      </c>
      <c r="I2323">
        <v>3.48</v>
      </c>
      <c r="J2323">
        <v>61.44</v>
      </c>
      <c r="K2323" t="s">
        <v>511</v>
      </c>
    </row>
    <row r="2324" spans="1:11">
      <c r="A2324" t="str">
        <f>"300887"</f>
        <v>300887</v>
      </c>
      <c r="B2324" t="s">
        <v>2659</v>
      </c>
      <c r="C2324">
        <v>49.4</v>
      </c>
      <c r="D2324">
        <v>34.35</v>
      </c>
      <c r="E2324">
        <v>28.7</v>
      </c>
      <c r="F2324">
        <v>5.46</v>
      </c>
      <c r="G2324">
        <v>3.62</v>
      </c>
      <c r="H2324">
        <v>21384</v>
      </c>
      <c r="I2324">
        <v>2.59</v>
      </c>
      <c r="J2324" t="s">
        <v>14</v>
      </c>
      <c r="K2324" t="s">
        <v>1733</v>
      </c>
    </row>
    <row r="2325" spans="1:11">
      <c r="A2325" t="str">
        <f>"300888"</f>
        <v>300888</v>
      </c>
      <c r="B2325" t="s">
        <v>2660</v>
      </c>
      <c r="C2325">
        <v>229.71</v>
      </c>
      <c r="D2325">
        <v>185.44</v>
      </c>
      <c r="E2325">
        <v>114.9</v>
      </c>
      <c r="F2325">
        <v>5.82</v>
      </c>
      <c r="G2325">
        <v>5.82</v>
      </c>
      <c r="H2325">
        <v>32118</v>
      </c>
      <c r="I2325">
        <v>2</v>
      </c>
      <c r="J2325">
        <v>23.57</v>
      </c>
      <c r="K2325" t="s">
        <v>1173</v>
      </c>
    </row>
    <row r="2326" spans="1:11">
      <c r="A2326" t="str">
        <f>"300889"</f>
        <v>300889</v>
      </c>
      <c r="B2326" t="s">
        <v>2661</v>
      </c>
      <c r="C2326">
        <v>31.59</v>
      </c>
      <c r="D2326">
        <v>28.68</v>
      </c>
      <c r="E2326">
        <v>14.63</v>
      </c>
      <c r="F2326">
        <v>2.2</v>
      </c>
      <c r="G2326">
        <v>1.46</v>
      </c>
      <c r="H2326">
        <v>12863</v>
      </c>
      <c r="I2326">
        <v>3.25</v>
      </c>
      <c r="J2326" t="s">
        <v>14</v>
      </c>
      <c r="K2326" t="s">
        <v>216</v>
      </c>
    </row>
    <row r="2327" spans="1:11">
      <c r="A2327" t="str">
        <f>"300890"</f>
        <v>300890</v>
      </c>
      <c r="B2327" t="s">
        <v>2662</v>
      </c>
      <c r="C2327">
        <v>33.72</v>
      </c>
      <c r="D2327">
        <v>49.28</v>
      </c>
      <c r="E2327">
        <v>21.9</v>
      </c>
      <c r="F2327">
        <v>1.19</v>
      </c>
      <c r="G2327">
        <v>1.09</v>
      </c>
      <c r="H2327">
        <v>24261</v>
      </c>
      <c r="I2327">
        <v>1.8</v>
      </c>
      <c r="J2327">
        <v>138.78</v>
      </c>
      <c r="K2327" t="s">
        <v>24</v>
      </c>
    </row>
    <row r="2328" spans="1:11">
      <c r="A2328" t="str">
        <f>"300891"</f>
        <v>300891</v>
      </c>
      <c r="B2328" t="s">
        <v>2663</v>
      </c>
      <c r="C2328">
        <v>31.18</v>
      </c>
      <c r="D2328">
        <v>31.3</v>
      </c>
      <c r="E2328">
        <v>13.35</v>
      </c>
      <c r="F2328">
        <v>4</v>
      </c>
      <c r="G2328">
        <v>3.32</v>
      </c>
      <c r="H2328">
        <v>25276</v>
      </c>
      <c r="I2328">
        <v>2.96</v>
      </c>
      <c r="J2328" t="s">
        <v>14</v>
      </c>
      <c r="K2328" t="s">
        <v>220</v>
      </c>
    </row>
    <row r="2329" spans="1:11">
      <c r="A2329" t="str">
        <f>"300892"</f>
        <v>300892</v>
      </c>
      <c r="B2329" t="s">
        <v>2664</v>
      </c>
      <c r="C2329">
        <v>22.41</v>
      </c>
      <c r="D2329">
        <v>12.63</v>
      </c>
      <c r="E2329">
        <v>10.5</v>
      </c>
      <c r="F2329">
        <v>1</v>
      </c>
      <c r="G2329">
        <v>0.65</v>
      </c>
      <c r="H2329">
        <v>13623</v>
      </c>
      <c r="I2329">
        <v>3.3</v>
      </c>
      <c r="J2329">
        <v>214.2</v>
      </c>
      <c r="K2329" t="s">
        <v>699</v>
      </c>
    </row>
    <row r="2330" spans="1:11">
      <c r="A2330" t="str">
        <f>"300893"</f>
        <v>300893</v>
      </c>
      <c r="B2330" t="s">
        <v>2665</v>
      </c>
      <c r="C2330">
        <v>62.49</v>
      </c>
      <c r="D2330">
        <v>36.79</v>
      </c>
      <c r="E2330">
        <v>19.35</v>
      </c>
      <c r="F2330">
        <v>4.73</v>
      </c>
      <c r="G2330">
        <v>2.51</v>
      </c>
      <c r="H2330">
        <v>11933</v>
      </c>
      <c r="I2330">
        <v>6.08</v>
      </c>
      <c r="J2330">
        <v>33.59</v>
      </c>
      <c r="K2330" t="s">
        <v>517</v>
      </c>
    </row>
    <row r="2331" spans="1:11">
      <c r="A2331" t="str">
        <f>"300894"</f>
        <v>300894</v>
      </c>
      <c r="B2331" t="s">
        <v>2666</v>
      </c>
      <c r="C2331">
        <v>36.79</v>
      </c>
      <c r="D2331">
        <v>21.82</v>
      </c>
      <c r="E2331">
        <v>11.99</v>
      </c>
      <c r="F2331">
        <v>4.06</v>
      </c>
      <c r="G2331">
        <v>2.94</v>
      </c>
      <c r="H2331">
        <v>21357</v>
      </c>
      <c r="I2331">
        <v>4.64</v>
      </c>
      <c r="J2331" t="s">
        <v>14</v>
      </c>
      <c r="K2331" t="s">
        <v>790</v>
      </c>
    </row>
    <row r="2332" spans="1:11">
      <c r="A2332" t="str">
        <f>"300895"</f>
        <v>300895</v>
      </c>
      <c r="B2332" t="s">
        <v>2667</v>
      </c>
      <c r="C2332">
        <v>78.36</v>
      </c>
      <c r="D2332">
        <v>9.4</v>
      </c>
      <c r="E2332">
        <v>7.83</v>
      </c>
      <c r="F2332">
        <v>1.41</v>
      </c>
      <c r="G2332">
        <v>1.38</v>
      </c>
      <c r="H2332">
        <v>28483</v>
      </c>
      <c r="I2332">
        <v>10.2</v>
      </c>
      <c r="J2332" t="s">
        <v>14</v>
      </c>
      <c r="K2332" t="s">
        <v>463</v>
      </c>
    </row>
    <row r="2333" spans="1:11">
      <c r="A2333" t="str">
        <f>"300896"</f>
        <v>300896</v>
      </c>
      <c r="B2333" t="s">
        <v>2668</v>
      </c>
      <c r="C2333">
        <v>316.58</v>
      </c>
      <c r="D2333">
        <v>86.97</v>
      </c>
      <c r="E2333">
        <v>73.91</v>
      </c>
      <c r="F2333">
        <v>3.03</v>
      </c>
      <c r="G2333">
        <v>2.09</v>
      </c>
      <c r="H2333">
        <v>61468</v>
      </c>
      <c r="I2333">
        <v>6.21</v>
      </c>
      <c r="J2333">
        <v>31.51</v>
      </c>
      <c r="K2333" t="s">
        <v>2669</v>
      </c>
    </row>
    <row r="2334" spans="1:11">
      <c r="A2334" t="str">
        <f>"300897"</f>
        <v>300897</v>
      </c>
      <c r="B2334" t="s">
        <v>2670</v>
      </c>
      <c r="C2334">
        <v>22.88</v>
      </c>
      <c r="D2334">
        <v>12.38</v>
      </c>
      <c r="E2334">
        <v>9.81</v>
      </c>
      <c r="F2334">
        <v>1.4</v>
      </c>
      <c r="G2334">
        <v>0.87</v>
      </c>
      <c r="H2334">
        <v>7575</v>
      </c>
      <c r="I2334">
        <v>3.74</v>
      </c>
      <c r="J2334">
        <v>105.25</v>
      </c>
      <c r="K2334" t="s">
        <v>952</v>
      </c>
    </row>
    <row r="2335" spans="1:11">
      <c r="A2335" t="str">
        <f>"300898"</f>
        <v>300898</v>
      </c>
      <c r="B2335" t="s">
        <v>2671</v>
      </c>
      <c r="C2335">
        <v>32.64</v>
      </c>
      <c r="D2335">
        <v>10.96</v>
      </c>
      <c r="E2335">
        <v>9.8</v>
      </c>
      <c r="F2335">
        <v>1.24</v>
      </c>
      <c r="G2335">
        <v>1.15</v>
      </c>
      <c r="H2335">
        <v>17000</v>
      </c>
      <c r="I2335">
        <v>3.6</v>
      </c>
      <c r="J2335">
        <v>36.9</v>
      </c>
      <c r="K2335" t="s">
        <v>699</v>
      </c>
    </row>
    <row r="2336" spans="1:11">
      <c r="A2336" t="str">
        <f>"300899"</f>
        <v>300899</v>
      </c>
      <c r="B2336" t="s">
        <v>2672</v>
      </c>
      <c r="C2336">
        <v>14.21</v>
      </c>
      <c r="D2336">
        <v>7.7</v>
      </c>
      <c r="E2336">
        <v>6.65</v>
      </c>
      <c r="F2336">
        <v>0.64</v>
      </c>
      <c r="G2336">
        <v>0.41</v>
      </c>
      <c r="H2336">
        <v>4784</v>
      </c>
      <c r="I2336">
        <v>3.33</v>
      </c>
      <c r="J2336">
        <v>53.67</v>
      </c>
      <c r="K2336" t="s">
        <v>90</v>
      </c>
    </row>
    <row r="2337" spans="1:11">
      <c r="A2337" t="str">
        <f>"300900"</f>
        <v>300900</v>
      </c>
      <c r="B2337" t="s">
        <v>2673</v>
      </c>
      <c r="C2337">
        <v>83.71</v>
      </c>
      <c r="D2337">
        <v>50.52</v>
      </c>
      <c r="E2337">
        <v>13.72</v>
      </c>
      <c r="F2337">
        <v>2.97</v>
      </c>
      <c r="G2337">
        <v>2.26</v>
      </c>
      <c r="H2337">
        <v>30972</v>
      </c>
      <c r="I2337">
        <v>8.52</v>
      </c>
      <c r="J2337">
        <v>474.39</v>
      </c>
      <c r="K2337" t="s">
        <v>353</v>
      </c>
    </row>
    <row r="2338" spans="1:11">
      <c r="A2338" t="str">
        <f>"300901"</f>
        <v>300901</v>
      </c>
      <c r="B2338" t="s">
        <v>2674</v>
      </c>
      <c r="C2338">
        <v>42.46</v>
      </c>
      <c r="D2338">
        <v>11.41</v>
      </c>
      <c r="E2338">
        <v>9.68</v>
      </c>
      <c r="F2338">
        <v>2.4</v>
      </c>
      <c r="G2338">
        <v>2.4</v>
      </c>
      <c r="H2338">
        <v>7700</v>
      </c>
      <c r="I2338">
        <v>4.38</v>
      </c>
      <c r="J2338" t="s">
        <v>14</v>
      </c>
      <c r="K2338" t="s">
        <v>1418</v>
      </c>
    </row>
    <row r="2339" spans="1:11">
      <c r="A2339" t="str">
        <f>"300902"</f>
        <v>300902</v>
      </c>
      <c r="B2339" t="s">
        <v>2675</v>
      </c>
      <c r="C2339">
        <v>27.11</v>
      </c>
      <c r="D2339">
        <v>9.55</v>
      </c>
      <c r="E2339">
        <v>8.21</v>
      </c>
      <c r="F2339">
        <v>1.82</v>
      </c>
      <c r="G2339">
        <v>1.21</v>
      </c>
      <c r="H2339">
        <v>18857</v>
      </c>
      <c r="I2339">
        <v>4.95</v>
      </c>
      <c r="J2339">
        <v>1464.1</v>
      </c>
      <c r="K2339" t="s">
        <v>493</v>
      </c>
    </row>
    <row r="2340" spans="1:11">
      <c r="A2340" t="str">
        <f>"300903"</f>
        <v>300903</v>
      </c>
      <c r="B2340" t="s">
        <v>2676</v>
      </c>
      <c r="C2340">
        <v>65.99</v>
      </c>
      <c r="D2340">
        <v>66.07</v>
      </c>
      <c r="E2340">
        <v>17.25</v>
      </c>
      <c r="F2340">
        <v>4.15</v>
      </c>
      <c r="G2340">
        <v>3.28</v>
      </c>
      <c r="H2340">
        <v>28528</v>
      </c>
      <c r="I2340">
        <v>4.83</v>
      </c>
      <c r="J2340" t="s">
        <v>14</v>
      </c>
      <c r="K2340" t="s">
        <v>472</v>
      </c>
    </row>
    <row r="2341" spans="1:11">
      <c r="A2341" t="str">
        <f>"300904"</f>
        <v>300904</v>
      </c>
      <c r="B2341" t="s">
        <v>2677</v>
      </c>
      <c r="C2341">
        <v>14.02</v>
      </c>
      <c r="D2341">
        <v>31.37</v>
      </c>
      <c r="E2341">
        <v>6.59</v>
      </c>
      <c r="F2341">
        <v>0.72</v>
      </c>
      <c r="G2341">
        <v>0.22</v>
      </c>
      <c r="H2341">
        <v>10446</v>
      </c>
      <c r="I2341">
        <v>7</v>
      </c>
      <c r="J2341" t="s">
        <v>14</v>
      </c>
      <c r="K2341" t="s">
        <v>456</v>
      </c>
    </row>
    <row r="2342" spans="1:11">
      <c r="A2342" t="str">
        <f>"300905"</f>
        <v>300905</v>
      </c>
      <c r="B2342" t="s">
        <v>2678</v>
      </c>
      <c r="C2342">
        <v>50.67</v>
      </c>
      <c r="D2342">
        <v>22.45</v>
      </c>
      <c r="E2342">
        <v>19.33</v>
      </c>
      <c r="F2342">
        <v>1.79</v>
      </c>
      <c r="G2342">
        <v>1.39</v>
      </c>
      <c r="H2342">
        <v>18327</v>
      </c>
      <c r="I2342">
        <v>3.37</v>
      </c>
      <c r="J2342">
        <v>46.04</v>
      </c>
      <c r="K2342" t="s">
        <v>812</v>
      </c>
    </row>
    <row r="2343" spans="1:11">
      <c r="A2343" t="str">
        <f>"300906"</f>
        <v>300906</v>
      </c>
      <c r="B2343" t="s">
        <v>2679</v>
      </c>
      <c r="C2343">
        <v>27.5</v>
      </c>
      <c r="D2343">
        <v>10.03</v>
      </c>
      <c r="E2343">
        <v>9.01</v>
      </c>
      <c r="F2343">
        <v>0.8</v>
      </c>
      <c r="G2343">
        <v>0.72</v>
      </c>
      <c r="H2343">
        <v>9711</v>
      </c>
      <c r="I2343">
        <v>3.38</v>
      </c>
      <c r="J2343">
        <v>62.7</v>
      </c>
      <c r="K2343" t="s">
        <v>22</v>
      </c>
    </row>
    <row r="2344" spans="1:11">
      <c r="A2344" t="str">
        <f>"300907"</f>
        <v>300907</v>
      </c>
      <c r="B2344" t="s">
        <v>2680</v>
      </c>
      <c r="C2344">
        <v>28.9</v>
      </c>
      <c r="D2344">
        <v>13.11</v>
      </c>
      <c r="E2344">
        <v>7.99</v>
      </c>
      <c r="F2344">
        <v>0.96</v>
      </c>
      <c r="G2344">
        <v>0.96</v>
      </c>
      <c r="H2344">
        <v>10077</v>
      </c>
      <c r="I2344">
        <v>3.62</v>
      </c>
      <c r="J2344">
        <v>43.81</v>
      </c>
      <c r="K2344" t="s">
        <v>552</v>
      </c>
    </row>
    <row r="2345" spans="1:11">
      <c r="A2345" t="str">
        <f>"300908"</f>
        <v>300908</v>
      </c>
      <c r="B2345" t="s">
        <v>2681</v>
      </c>
      <c r="C2345">
        <v>35.73</v>
      </c>
      <c r="D2345">
        <v>19.8</v>
      </c>
      <c r="E2345">
        <v>17.6</v>
      </c>
      <c r="F2345">
        <v>1.46</v>
      </c>
      <c r="G2345">
        <v>1.23</v>
      </c>
      <c r="H2345">
        <v>18686</v>
      </c>
      <c r="I2345">
        <v>2.41</v>
      </c>
      <c r="J2345">
        <v>20.65</v>
      </c>
      <c r="K2345" t="s">
        <v>1281</v>
      </c>
    </row>
    <row r="2346" spans="1:11">
      <c r="A2346" t="str">
        <f>"300909"</f>
        <v>300909</v>
      </c>
      <c r="B2346" t="s">
        <v>2682</v>
      </c>
      <c r="C2346">
        <v>60.53</v>
      </c>
      <c r="D2346">
        <v>32.44</v>
      </c>
      <c r="E2346">
        <v>20.17</v>
      </c>
      <c r="F2346">
        <v>1.73</v>
      </c>
      <c r="G2346">
        <v>1.23</v>
      </c>
      <c r="H2346">
        <v>10904</v>
      </c>
      <c r="I2346">
        <v>4.22</v>
      </c>
      <c r="J2346">
        <v>110.78</v>
      </c>
      <c r="K2346" t="s">
        <v>66</v>
      </c>
    </row>
    <row r="2347" spans="1:11">
      <c r="A2347" t="str">
        <f>"300910"</f>
        <v>300910</v>
      </c>
      <c r="B2347" t="s">
        <v>2683</v>
      </c>
      <c r="C2347">
        <v>126.57</v>
      </c>
      <c r="D2347">
        <v>47.86</v>
      </c>
      <c r="E2347">
        <v>36.63</v>
      </c>
      <c r="F2347">
        <v>2.96</v>
      </c>
      <c r="G2347">
        <v>2.07</v>
      </c>
      <c r="H2347">
        <v>10668</v>
      </c>
      <c r="I2347">
        <v>4.93</v>
      </c>
      <c r="J2347">
        <v>23.57</v>
      </c>
      <c r="K2347" t="s">
        <v>511</v>
      </c>
    </row>
    <row r="2348" spans="1:11">
      <c r="A2348" t="str">
        <f>"300911"</f>
        <v>300911</v>
      </c>
      <c r="B2348" t="s">
        <v>2684</v>
      </c>
      <c r="C2348">
        <v>65.54</v>
      </c>
      <c r="D2348">
        <v>21.34</v>
      </c>
      <c r="E2348">
        <v>12.29</v>
      </c>
      <c r="F2348">
        <v>1.83</v>
      </c>
      <c r="G2348">
        <v>1.71</v>
      </c>
      <c r="H2348">
        <v>7721</v>
      </c>
      <c r="I2348">
        <v>5.98</v>
      </c>
      <c r="J2348" t="s">
        <v>14</v>
      </c>
      <c r="K2348" t="s">
        <v>790</v>
      </c>
    </row>
    <row r="2349" spans="1:11">
      <c r="A2349" t="str">
        <f>"300912"</f>
        <v>300912</v>
      </c>
      <c r="B2349" t="s">
        <v>2685</v>
      </c>
      <c r="C2349">
        <v>16.82</v>
      </c>
      <c r="D2349">
        <v>12.8</v>
      </c>
      <c r="E2349">
        <v>4.93</v>
      </c>
      <c r="F2349">
        <v>1.15</v>
      </c>
      <c r="G2349">
        <v>0.86</v>
      </c>
      <c r="H2349">
        <v>11177</v>
      </c>
      <c r="I2349">
        <v>4.57</v>
      </c>
      <c r="J2349" t="s">
        <v>14</v>
      </c>
      <c r="K2349" t="s">
        <v>517</v>
      </c>
    </row>
    <row r="2350" spans="1:11">
      <c r="A2350" t="str">
        <f>"300913"</f>
        <v>300913</v>
      </c>
      <c r="B2350" t="s">
        <v>2686</v>
      </c>
      <c r="C2350">
        <v>138</v>
      </c>
      <c r="D2350">
        <v>16.72</v>
      </c>
      <c r="E2350">
        <v>13.32</v>
      </c>
      <c r="F2350">
        <v>3.43</v>
      </c>
      <c r="G2350">
        <v>2.56</v>
      </c>
      <c r="H2350">
        <v>38056</v>
      </c>
      <c r="I2350">
        <v>12.66</v>
      </c>
      <c r="J2350">
        <v>100.35</v>
      </c>
      <c r="K2350" t="s">
        <v>93</v>
      </c>
    </row>
    <row r="2351" spans="1:11">
      <c r="A2351" t="str">
        <f>"300915"</f>
        <v>300915</v>
      </c>
      <c r="B2351" t="s">
        <v>2687</v>
      </c>
      <c r="C2351">
        <v>14.52</v>
      </c>
      <c r="D2351">
        <v>17.79</v>
      </c>
      <c r="E2351">
        <v>15.38</v>
      </c>
      <c r="F2351">
        <v>1.26</v>
      </c>
      <c r="G2351">
        <v>0.58</v>
      </c>
      <c r="H2351">
        <v>9207</v>
      </c>
      <c r="I2351">
        <v>2.06</v>
      </c>
      <c r="J2351" t="s">
        <v>14</v>
      </c>
      <c r="K2351" t="s">
        <v>699</v>
      </c>
    </row>
    <row r="2352" spans="1:11">
      <c r="A2352" t="str">
        <f>"300916"</f>
        <v>300916</v>
      </c>
      <c r="B2352" t="s">
        <v>2688</v>
      </c>
      <c r="C2352">
        <v>32.28</v>
      </c>
      <c r="D2352">
        <v>22.31</v>
      </c>
      <c r="E2352">
        <v>13.66</v>
      </c>
      <c r="F2352">
        <v>1.45</v>
      </c>
      <c r="G2352">
        <v>0.93</v>
      </c>
      <c r="H2352">
        <v>10906</v>
      </c>
      <c r="I2352">
        <v>3.66</v>
      </c>
      <c r="J2352">
        <v>43.4</v>
      </c>
      <c r="K2352" t="s">
        <v>82</v>
      </c>
    </row>
    <row r="2353" spans="1:11">
      <c r="A2353" t="str">
        <f>"300917"</f>
        <v>300917</v>
      </c>
      <c r="B2353" t="s">
        <v>2689</v>
      </c>
      <c r="C2353">
        <v>68.73</v>
      </c>
      <c r="D2353">
        <v>21.25</v>
      </c>
      <c r="E2353">
        <v>11.63</v>
      </c>
      <c r="F2353">
        <v>1.69</v>
      </c>
      <c r="G2353">
        <v>1.69</v>
      </c>
      <c r="H2353">
        <v>20785</v>
      </c>
      <c r="I2353">
        <v>5.91</v>
      </c>
      <c r="J2353">
        <v>56.72</v>
      </c>
      <c r="K2353" t="s">
        <v>28</v>
      </c>
    </row>
    <row r="2354" spans="1:11">
      <c r="A2354" t="str">
        <f>"300918"</f>
        <v>300918</v>
      </c>
      <c r="B2354" t="s">
        <v>2690</v>
      </c>
      <c r="C2354">
        <v>102.49</v>
      </c>
      <c r="D2354">
        <v>50.53</v>
      </c>
      <c r="E2354">
        <v>37.99</v>
      </c>
      <c r="F2354">
        <v>5.06</v>
      </c>
      <c r="G2354">
        <v>5.06</v>
      </c>
      <c r="H2354">
        <v>31960</v>
      </c>
      <c r="I2354">
        <v>2.7</v>
      </c>
      <c r="J2354">
        <v>65.51</v>
      </c>
      <c r="K2354" t="s">
        <v>577</v>
      </c>
    </row>
    <row r="2355" spans="1:11">
      <c r="A2355" t="str">
        <f>"300919"</f>
        <v>300919</v>
      </c>
      <c r="B2355" t="s">
        <v>2691</v>
      </c>
      <c r="C2355">
        <v>473.4</v>
      </c>
      <c r="D2355">
        <v>765.03</v>
      </c>
      <c r="E2355">
        <v>203.18</v>
      </c>
      <c r="F2355">
        <v>10.42</v>
      </c>
      <c r="G2355">
        <v>9.12</v>
      </c>
      <c r="H2355">
        <v>46776</v>
      </c>
      <c r="I2355">
        <v>2.4</v>
      </c>
      <c r="J2355">
        <v>36.45</v>
      </c>
      <c r="K2355" t="s">
        <v>24</v>
      </c>
    </row>
    <row r="2356" spans="1:11">
      <c r="A2356" t="str">
        <f>"300920"</f>
        <v>300920</v>
      </c>
      <c r="B2356" t="s">
        <v>2692</v>
      </c>
      <c r="C2356">
        <v>23.95</v>
      </c>
      <c r="D2356">
        <v>15.88</v>
      </c>
      <c r="E2356">
        <v>11.86</v>
      </c>
      <c r="F2356">
        <v>1</v>
      </c>
      <c r="G2356">
        <v>0.55</v>
      </c>
      <c r="H2356">
        <v>6034</v>
      </c>
      <c r="I2356">
        <v>3.65</v>
      </c>
      <c r="J2356">
        <v>113.91</v>
      </c>
      <c r="K2356" t="s">
        <v>549</v>
      </c>
    </row>
    <row r="2357" spans="1:11">
      <c r="A2357" t="str">
        <f>"300921"</f>
        <v>300921</v>
      </c>
      <c r="B2357" t="s">
        <v>2693</v>
      </c>
      <c r="C2357">
        <v>30.06</v>
      </c>
      <c r="D2357">
        <v>9.56</v>
      </c>
      <c r="E2357">
        <v>8.28</v>
      </c>
      <c r="F2357">
        <v>1.84</v>
      </c>
      <c r="G2357">
        <v>1.15</v>
      </c>
      <c r="H2357">
        <v>19614</v>
      </c>
      <c r="I2357">
        <v>5.82</v>
      </c>
      <c r="J2357">
        <v>162.32</v>
      </c>
      <c r="K2357" t="s">
        <v>486</v>
      </c>
    </row>
    <row r="2358" spans="1:11">
      <c r="A2358" t="str">
        <f>"300922"</f>
        <v>300922</v>
      </c>
      <c r="B2358" t="s">
        <v>2694</v>
      </c>
      <c r="C2358">
        <v>30.65</v>
      </c>
      <c r="D2358">
        <v>10.46</v>
      </c>
      <c r="E2358">
        <v>9.32</v>
      </c>
      <c r="F2358">
        <v>1.59</v>
      </c>
      <c r="G2358">
        <v>1.25</v>
      </c>
      <c r="H2358">
        <v>18532</v>
      </c>
      <c r="I2358">
        <v>4.18</v>
      </c>
      <c r="J2358">
        <v>105.02</v>
      </c>
      <c r="K2358" t="s">
        <v>186</v>
      </c>
    </row>
    <row r="2359" spans="1:11">
      <c r="A2359" t="str">
        <f>"300923"</f>
        <v>300923</v>
      </c>
      <c r="B2359" t="s">
        <v>2695</v>
      </c>
      <c r="C2359">
        <v>20.18</v>
      </c>
      <c r="D2359">
        <v>12.78</v>
      </c>
      <c r="E2359">
        <v>11.32</v>
      </c>
      <c r="F2359">
        <v>0.79</v>
      </c>
      <c r="G2359">
        <v>0.76</v>
      </c>
      <c r="H2359">
        <v>8124</v>
      </c>
      <c r="I2359">
        <v>1.83</v>
      </c>
      <c r="J2359">
        <v>60.48</v>
      </c>
      <c r="K2359" t="s">
        <v>22</v>
      </c>
    </row>
    <row r="2360" spans="1:11">
      <c r="A2360" t="str">
        <f>"300925"</f>
        <v>300925</v>
      </c>
      <c r="B2360" t="s">
        <v>2696</v>
      </c>
      <c r="C2360">
        <v>89.41</v>
      </c>
      <c r="D2360">
        <v>30.07</v>
      </c>
      <c r="E2360">
        <v>21.94</v>
      </c>
      <c r="F2360">
        <v>4.29</v>
      </c>
      <c r="G2360">
        <v>3.5</v>
      </c>
      <c r="H2360">
        <v>46393</v>
      </c>
      <c r="I2360">
        <v>5</v>
      </c>
      <c r="J2360">
        <v>96.81</v>
      </c>
      <c r="K2360" t="s">
        <v>924</v>
      </c>
    </row>
    <row r="2361" spans="1:11">
      <c r="A2361" t="str">
        <f>"300926"</f>
        <v>300926</v>
      </c>
      <c r="B2361" t="s">
        <v>2697</v>
      </c>
      <c r="C2361">
        <v>94.64</v>
      </c>
      <c r="D2361">
        <v>83.17</v>
      </c>
      <c r="E2361">
        <v>33.54</v>
      </c>
      <c r="F2361">
        <v>4.34</v>
      </c>
      <c r="G2361">
        <v>2.98</v>
      </c>
      <c r="H2361">
        <v>18611</v>
      </c>
      <c r="I2361">
        <v>4.22</v>
      </c>
      <c r="J2361">
        <v>16.51</v>
      </c>
      <c r="K2361" t="s">
        <v>517</v>
      </c>
    </row>
    <row r="2362" spans="1:11">
      <c r="A2362" t="str">
        <f>"300927"</f>
        <v>300927</v>
      </c>
      <c r="B2362" t="s">
        <v>2698</v>
      </c>
      <c r="C2362">
        <v>36.77</v>
      </c>
      <c r="D2362">
        <v>20.56</v>
      </c>
      <c r="E2362">
        <v>9.63</v>
      </c>
      <c r="F2362">
        <v>1.44</v>
      </c>
      <c r="G2362">
        <v>1.41</v>
      </c>
      <c r="H2362">
        <v>14266</v>
      </c>
      <c r="I2362">
        <v>3.91</v>
      </c>
      <c r="J2362">
        <v>344.15</v>
      </c>
      <c r="K2362" t="s">
        <v>1201</v>
      </c>
    </row>
    <row r="2363" spans="1:11">
      <c r="A2363" t="str">
        <f>"300928"</f>
        <v>300928</v>
      </c>
      <c r="B2363" t="s">
        <v>2699</v>
      </c>
      <c r="C2363">
        <v>17.94</v>
      </c>
      <c r="D2363">
        <v>13.09</v>
      </c>
      <c r="E2363">
        <v>10.98</v>
      </c>
      <c r="F2363">
        <v>0.8</v>
      </c>
      <c r="G2363">
        <v>0.54</v>
      </c>
      <c r="H2363">
        <v>9723</v>
      </c>
      <c r="I2363">
        <v>2.44</v>
      </c>
      <c r="J2363" t="s">
        <v>14</v>
      </c>
      <c r="K2363" t="s">
        <v>530</v>
      </c>
    </row>
    <row r="2364" spans="1:11">
      <c r="A2364" t="str">
        <f>"300929"</f>
        <v>300929</v>
      </c>
      <c r="B2364" t="s">
        <v>2700</v>
      </c>
      <c r="C2364">
        <v>14.3</v>
      </c>
      <c r="D2364">
        <v>17.88</v>
      </c>
      <c r="E2364">
        <v>8.05</v>
      </c>
      <c r="F2364">
        <v>1.32</v>
      </c>
      <c r="G2364">
        <v>1.27</v>
      </c>
      <c r="H2364">
        <v>9331</v>
      </c>
      <c r="I2364">
        <v>1.85</v>
      </c>
      <c r="J2364" t="s">
        <v>14</v>
      </c>
      <c r="K2364" t="s">
        <v>90</v>
      </c>
    </row>
    <row r="2365" spans="1:11">
      <c r="A2365" t="str">
        <f>"300930"</f>
        <v>300930</v>
      </c>
      <c r="B2365" t="s">
        <v>2701</v>
      </c>
      <c r="C2365">
        <v>14.63</v>
      </c>
      <c r="D2365">
        <v>15.62</v>
      </c>
      <c r="E2365">
        <v>9.17</v>
      </c>
      <c r="F2365">
        <v>1</v>
      </c>
      <c r="G2365">
        <v>0.47</v>
      </c>
      <c r="H2365">
        <v>8335</v>
      </c>
      <c r="I2365">
        <v>3.39</v>
      </c>
      <c r="J2365">
        <v>51.23</v>
      </c>
      <c r="K2365" t="s">
        <v>307</v>
      </c>
    </row>
    <row r="2366" spans="1:11">
      <c r="A2366" t="str">
        <f>"300931"</f>
        <v>300931</v>
      </c>
      <c r="B2366" t="s">
        <v>2702</v>
      </c>
      <c r="C2366">
        <v>20.46</v>
      </c>
      <c r="D2366">
        <v>9.6</v>
      </c>
      <c r="E2366">
        <v>6.4</v>
      </c>
      <c r="F2366">
        <v>2.4</v>
      </c>
      <c r="G2366">
        <v>1.85</v>
      </c>
      <c r="H2366">
        <v>9425</v>
      </c>
      <c r="I2366">
        <v>4.15</v>
      </c>
      <c r="J2366" t="s">
        <v>14</v>
      </c>
      <c r="K2366" t="s">
        <v>1155</v>
      </c>
    </row>
    <row r="2367" spans="1:11">
      <c r="A2367" t="str">
        <f>"300932"</f>
        <v>300932</v>
      </c>
      <c r="B2367" t="s">
        <v>2703</v>
      </c>
      <c r="C2367">
        <v>30.07</v>
      </c>
      <c r="D2367">
        <v>33.95</v>
      </c>
      <c r="E2367">
        <v>17.55</v>
      </c>
      <c r="F2367">
        <v>3.2</v>
      </c>
      <c r="G2367">
        <v>2.28</v>
      </c>
      <c r="H2367">
        <v>10979</v>
      </c>
      <c r="I2367">
        <v>2.41</v>
      </c>
      <c r="J2367">
        <v>50.36</v>
      </c>
      <c r="K2367" t="s">
        <v>943</v>
      </c>
    </row>
    <row r="2368" spans="1:11">
      <c r="A2368" t="str">
        <f>"300933"</f>
        <v>300933</v>
      </c>
      <c r="B2368" t="s">
        <v>2704</v>
      </c>
      <c r="C2368">
        <v>48.96</v>
      </c>
      <c r="D2368">
        <v>43.26</v>
      </c>
      <c r="E2368">
        <v>20.77</v>
      </c>
      <c r="F2368">
        <v>5.47</v>
      </c>
      <c r="G2368">
        <v>5.47</v>
      </c>
      <c r="H2368">
        <v>23180</v>
      </c>
      <c r="I2368">
        <v>2.32</v>
      </c>
      <c r="J2368">
        <v>118.62</v>
      </c>
      <c r="K2368" t="s">
        <v>383</v>
      </c>
    </row>
    <row r="2369" spans="1:11">
      <c r="A2369" t="str">
        <f>"300935"</f>
        <v>300935</v>
      </c>
      <c r="B2369" t="s">
        <v>2705</v>
      </c>
      <c r="C2369">
        <v>23.04</v>
      </c>
      <c r="D2369">
        <v>8.39</v>
      </c>
      <c r="E2369">
        <v>7.93</v>
      </c>
      <c r="F2369">
        <v>0.79</v>
      </c>
      <c r="G2369">
        <v>0.6</v>
      </c>
      <c r="H2369">
        <v>9529</v>
      </c>
      <c r="I2369">
        <v>3.83</v>
      </c>
      <c r="J2369" t="s">
        <v>14</v>
      </c>
      <c r="K2369" t="s">
        <v>117</v>
      </c>
    </row>
    <row r="2370" spans="1:11">
      <c r="A2370" t="str">
        <f>"300936"</f>
        <v>300936</v>
      </c>
      <c r="B2370" t="s">
        <v>2706</v>
      </c>
      <c r="C2370">
        <v>19.53</v>
      </c>
      <c r="D2370">
        <v>11.49</v>
      </c>
      <c r="E2370">
        <v>10</v>
      </c>
      <c r="F2370">
        <v>0.75</v>
      </c>
      <c r="G2370">
        <v>0.47</v>
      </c>
      <c r="H2370">
        <v>11870</v>
      </c>
      <c r="I2370">
        <v>3.1</v>
      </c>
      <c r="J2370" t="s">
        <v>14</v>
      </c>
      <c r="K2370" t="s">
        <v>472</v>
      </c>
    </row>
    <row r="2371" spans="1:11">
      <c r="A2371" t="str">
        <f>"300937"</f>
        <v>300937</v>
      </c>
      <c r="B2371" t="s">
        <v>2707</v>
      </c>
      <c r="C2371">
        <v>26.68</v>
      </c>
      <c r="D2371">
        <v>18.66</v>
      </c>
      <c r="E2371">
        <v>8.32</v>
      </c>
      <c r="F2371">
        <v>0.96</v>
      </c>
      <c r="G2371">
        <v>0.63</v>
      </c>
      <c r="H2371">
        <v>11401</v>
      </c>
      <c r="I2371">
        <v>4.88</v>
      </c>
      <c r="J2371" t="s">
        <v>14</v>
      </c>
      <c r="K2371" t="s">
        <v>48</v>
      </c>
    </row>
    <row r="2372" spans="1:11">
      <c r="A2372" t="str">
        <f>"300938"</f>
        <v>300938</v>
      </c>
      <c r="B2372" t="s">
        <v>2708</v>
      </c>
      <c r="C2372">
        <v>65.15</v>
      </c>
      <c r="D2372">
        <v>21.85</v>
      </c>
      <c r="E2372">
        <v>18.15</v>
      </c>
      <c r="F2372">
        <v>2.43</v>
      </c>
      <c r="G2372">
        <v>2.11</v>
      </c>
      <c r="H2372">
        <v>17123</v>
      </c>
      <c r="I2372">
        <v>4.15</v>
      </c>
      <c r="J2372">
        <v>36.43</v>
      </c>
      <c r="K2372" t="s">
        <v>1733</v>
      </c>
    </row>
    <row r="2373" spans="1:11">
      <c r="A2373" t="str">
        <f>"300939"</f>
        <v>300939</v>
      </c>
      <c r="B2373" t="s">
        <v>2709</v>
      </c>
      <c r="C2373">
        <v>44.89</v>
      </c>
      <c r="D2373">
        <v>17.8</v>
      </c>
      <c r="E2373">
        <v>13.88</v>
      </c>
      <c r="F2373">
        <v>1.2</v>
      </c>
      <c r="G2373">
        <v>1.2</v>
      </c>
      <c r="H2373">
        <v>17868</v>
      </c>
      <c r="I2373">
        <v>3.23</v>
      </c>
      <c r="J2373">
        <v>52.83</v>
      </c>
      <c r="K2373" t="s">
        <v>39</v>
      </c>
    </row>
    <row r="2374" spans="1:11">
      <c r="A2374" t="str">
        <f>"300940"</f>
        <v>300940</v>
      </c>
      <c r="B2374" t="s">
        <v>2710</v>
      </c>
      <c r="C2374">
        <v>46.44</v>
      </c>
      <c r="D2374">
        <v>16.6</v>
      </c>
      <c r="E2374">
        <v>11.9</v>
      </c>
      <c r="F2374">
        <v>2.23</v>
      </c>
      <c r="G2374">
        <v>1.57</v>
      </c>
      <c r="H2374">
        <v>15971</v>
      </c>
      <c r="I2374">
        <v>5.52</v>
      </c>
      <c r="J2374">
        <v>44.71</v>
      </c>
      <c r="K2374" t="s">
        <v>216</v>
      </c>
    </row>
    <row r="2375" spans="1:11">
      <c r="A2375" t="str">
        <f>"300941"</f>
        <v>300941</v>
      </c>
      <c r="B2375" t="s">
        <v>2711</v>
      </c>
      <c r="C2375">
        <v>26.04</v>
      </c>
      <c r="D2375">
        <v>13.91</v>
      </c>
      <c r="E2375">
        <v>12.77</v>
      </c>
      <c r="F2375">
        <v>2.05</v>
      </c>
      <c r="G2375">
        <v>1.06</v>
      </c>
      <c r="H2375">
        <v>25429</v>
      </c>
      <c r="I2375">
        <v>3.93</v>
      </c>
      <c r="J2375">
        <v>245.49</v>
      </c>
      <c r="K2375" t="s">
        <v>88</v>
      </c>
    </row>
    <row r="2376" spans="1:11">
      <c r="A2376" t="str">
        <f>"300942"</f>
        <v>300942</v>
      </c>
      <c r="B2376" t="s">
        <v>2712</v>
      </c>
      <c r="C2376">
        <v>41.64</v>
      </c>
      <c r="D2376">
        <v>14.82</v>
      </c>
      <c r="E2376">
        <v>9.08</v>
      </c>
      <c r="F2376">
        <v>4.05</v>
      </c>
      <c r="G2376">
        <v>4.05</v>
      </c>
      <c r="H2376">
        <v>16436</v>
      </c>
      <c r="I2376">
        <v>4.92</v>
      </c>
      <c r="J2376">
        <v>173.28</v>
      </c>
      <c r="K2376" t="s">
        <v>775</v>
      </c>
    </row>
    <row r="2377" spans="1:11">
      <c r="A2377" t="str">
        <f>"300943"</f>
        <v>300943</v>
      </c>
      <c r="B2377" t="s">
        <v>2713</v>
      </c>
      <c r="C2377">
        <v>34.66</v>
      </c>
      <c r="D2377">
        <v>12.6</v>
      </c>
      <c r="E2377">
        <v>9.9</v>
      </c>
      <c r="F2377">
        <v>2.04</v>
      </c>
      <c r="G2377">
        <v>1.34</v>
      </c>
      <c r="H2377">
        <v>16977</v>
      </c>
      <c r="I2377">
        <v>5.31</v>
      </c>
      <c r="J2377">
        <v>97.21</v>
      </c>
      <c r="K2377" t="s">
        <v>424</v>
      </c>
    </row>
    <row r="2378" spans="1:11">
      <c r="A2378" t="str">
        <f>"300945"</f>
        <v>300945</v>
      </c>
      <c r="B2378" t="s">
        <v>2714</v>
      </c>
      <c r="C2378">
        <v>43.39</v>
      </c>
      <c r="D2378">
        <v>19.71</v>
      </c>
      <c r="E2378">
        <v>16.65</v>
      </c>
      <c r="F2378">
        <v>2.62</v>
      </c>
      <c r="G2378">
        <v>2.38</v>
      </c>
      <c r="H2378">
        <v>28402</v>
      </c>
      <c r="I2378">
        <v>2.86</v>
      </c>
      <c r="J2378">
        <v>35.01</v>
      </c>
      <c r="K2378" t="s">
        <v>35</v>
      </c>
    </row>
    <row r="2379" spans="1:11">
      <c r="A2379" t="str">
        <f>"300946"</f>
        <v>300946</v>
      </c>
      <c r="B2379" t="s">
        <v>2715</v>
      </c>
      <c r="C2379">
        <v>41.94</v>
      </c>
      <c r="D2379">
        <v>17.15</v>
      </c>
      <c r="E2379">
        <v>12.08</v>
      </c>
      <c r="F2379">
        <v>1.56</v>
      </c>
      <c r="G2379">
        <v>0.76</v>
      </c>
      <c r="H2379">
        <v>12992</v>
      </c>
      <c r="I2379">
        <v>7.15</v>
      </c>
      <c r="J2379">
        <v>146.96</v>
      </c>
      <c r="K2379" t="s">
        <v>63</v>
      </c>
    </row>
    <row r="2380" spans="1:11">
      <c r="A2380" t="str">
        <f>"300947"</f>
        <v>300947</v>
      </c>
      <c r="B2380" t="s">
        <v>2716</v>
      </c>
      <c r="C2380">
        <v>32.26</v>
      </c>
      <c r="D2380">
        <v>56.57</v>
      </c>
      <c r="E2380">
        <v>12.49</v>
      </c>
      <c r="F2380">
        <v>1.51</v>
      </c>
      <c r="G2380">
        <v>1.51</v>
      </c>
      <c r="H2380">
        <v>13757</v>
      </c>
      <c r="I2380">
        <v>2.58</v>
      </c>
      <c r="J2380">
        <v>240.9</v>
      </c>
      <c r="K2380" t="s">
        <v>20</v>
      </c>
    </row>
    <row r="2381" spans="1:11">
      <c r="A2381" t="str">
        <f>"300948"</f>
        <v>300948</v>
      </c>
      <c r="B2381" t="s">
        <v>2717</v>
      </c>
      <c r="C2381">
        <v>39.5</v>
      </c>
      <c r="D2381">
        <v>15.89</v>
      </c>
      <c r="E2381">
        <v>8.01</v>
      </c>
      <c r="F2381">
        <v>1.59</v>
      </c>
      <c r="G2381">
        <v>1.5</v>
      </c>
      <c r="H2381">
        <v>9248</v>
      </c>
      <c r="I2381">
        <v>4.83</v>
      </c>
      <c r="J2381" t="s">
        <v>14</v>
      </c>
      <c r="K2381" t="s">
        <v>370</v>
      </c>
    </row>
    <row r="2382" spans="1:11">
      <c r="A2382" t="str">
        <f>"300949"</f>
        <v>300949</v>
      </c>
      <c r="B2382" t="s">
        <v>2718</v>
      </c>
      <c r="C2382">
        <v>15.07</v>
      </c>
      <c r="D2382">
        <v>11.74</v>
      </c>
      <c r="E2382">
        <v>6.68</v>
      </c>
      <c r="F2382">
        <v>0.6</v>
      </c>
      <c r="G2382">
        <v>0.34</v>
      </c>
      <c r="H2382">
        <v>7355</v>
      </c>
      <c r="I2382">
        <v>3.96</v>
      </c>
      <c r="J2382" t="s">
        <v>14</v>
      </c>
      <c r="K2382" t="s">
        <v>26</v>
      </c>
    </row>
    <row r="2383" spans="1:11">
      <c r="A2383" t="str">
        <f>"300950"</f>
        <v>300950</v>
      </c>
      <c r="B2383" t="s">
        <v>2719</v>
      </c>
      <c r="C2383">
        <v>22.21</v>
      </c>
      <c r="D2383">
        <v>12.38</v>
      </c>
      <c r="E2383">
        <v>7.92</v>
      </c>
      <c r="F2383">
        <v>1.53</v>
      </c>
      <c r="G2383">
        <v>0.91</v>
      </c>
      <c r="H2383">
        <v>19026</v>
      </c>
      <c r="I2383">
        <v>4.7</v>
      </c>
      <c r="J2383">
        <v>38.8</v>
      </c>
      <c r="K2383" t="s">
        <v>493</v>
      </c>
    </row>
    <row r="2384" spans="1:11">
      <c r="A2384" t="str">
        <f>"300951"</f>
        <v>300951</v>
      </c>
      <c r="B2384" t="s">
        <v>2720</v>
      </c>
      <c r="C2384">
        <v>54.5</v>
      </c>
      <c r="D2384">
        <v>29.49</v>
      </c>
      <c r="E2384">
        <v>23.27</v>
      </c>
      <c r="F2384">
        <v>1.69</v>
      </c>
      <c r="G2384">
        <v>1.51</v>
      </c>
      <c r="H2384">
        <v>15045</v>
      </c>
      <c r="I2384">
        <v>2.62</v>
      </c>
      <c r="J2384">
        <v>31.79</v>
      </c>
      <c r="K2384" t="s">
        <v>41</v>
      </c>
    </row>
    <row r="2385" spans="1:11">
      <c r="A2385" t="str">
        <f>"300952"</f>
        <v>300952</v>
      </c>
      <c r="B2385" t="s">
        <v>2721</v>
      </c>
      <c r="C2385">
        <v>43.78</v>
      </c>
      <c r="D2385">
        <v>28.96</v>
      </c>
      <c r="E2385">
        <v>16.94</v>
      </c>
      <c r="F2385">
        <v>1.73</v>
      </c>
      <c r="G2385">
        <v>1.05</v>
      </c>
      <c r="H2385">
        <v>13928</v>
      </c>
      <c r="I2385">
        <v>4.26</v>
      </c>
      <c r="J2385">
        <v>65.97</v>
      </c>
      <c r="K2385" t="s">
        <v>1418</v>
      </c>
    </row>
    <row r="2386" spans="1:11">
      <c r="A2386" t="str">
        <f>"300953"</f>
        <v>300953</v>
      </c>
      <c r="B2386" t="s">
        <v>2722</v>
      </c>
      <c r="C2386">
        <v>200.45</v>
      </c>
      <c r="D2386">
        <v>120.35</v>
      </c>
      <c r="E2386">
        <v>42.77</v>
      </c>
      <c r="F2386">
        <v>1.73</v>
      </c>
      <c r="G2386">
        <v>1.25</v>
      </c>
      <c r="H2386">
        <v>22702</v>
      </c>
      <c r="I2386">
        <v>6.52</v>
      </c>
      <c r="J2386">
        <v>50.75</v>
      </c>
      <c r="K2386" t="s">
        <v>70</v>
      </c>
    </row>
    <row r="2387" spans="1:11">
      <c r="A2387" t="str">
        <f>"300955"</f>
        <v>300955</v>
      </c>
      <c r="B2387" t="s">
        <v>2723</v>
      </c>
      <c r="C2387">
        <v>39.23</v>
      </c>
      <c r="D2387">
        <v>19.16</v>
      </c>
      <c r="E2387">
        <v>8.78</v>
      </c>
      <c r="F2387">
        <v>1.01</v>
      </c>
      <c r="G2387">
        <v>1.01</v>
      </c>
      <c r="H2387">
        <v>7200</v>
      </c>
      <c r="I2387">
        <v>4.47</v>
      </c>
      <c r="J2387" t="s">
        <v>14</v>
      </c>
      <c r="K2387" t="s">
        <v>856</v>
      </c>
    </row>
    <row r="2388" spans="1:11">
      <c r="A2388" t="str">
        <f>"300956"</f>
        <v>300956</v>
      </c>
      <c r="B2388" t="s">
        <v>2724</v>
      </c>
      <c r="C2388">
        <v>36.09</v>
      </c>
      <c r="D2388">
        <v>34.31</v>
      </c>
      <c r="E2388">
        <v>13.73</v>
      </c>
      <c r="F2388">
        <v>2.15</v>
      </c>
      <c r="G2388">
        <v>2.1</v>
      </c>
      <c r="H2388">
        <v>16810</v>
      </c>
      <c r="I2388">
        <v>2.69</v>
      </c>
      <c r="J2388">
        <v>283.54</v>
      </c>
      <c r="K2388" t="s">
        <v>41</v>
      </c>
    </row>
    <row r="2389" spans="1:11">
      <c r="A2389" t="str">
        <f>"300957"</f>
        <v>300957</v>
      </c>
      <c r="B2389" t="s">
        <v>2725</v>
      </c>
      <c r="C2389">
        <v>174.69</v>
      </c>
      <c r="D2389">
        <v>82.02</v>
      </c>
      <c r="E2389">
        <v>60.8</v>
      </c>
      <c r="F2389">
        <v>4.24</v>
      </c>
      <c r="G2389">
        <v>4.24</v>
      </c>
      <c r="H2389">
        <v>39093</v>
      </c>
      <c r="I2389">
        <v>2.87</v>
      </c>
      <c r="J2389">
        <v>48.19</v>
      </c>
      <c r="K2389" t="s">
        <v>856</v>
      </c>
    </row>
    <row r="2390" spans="1:11">
      <c r="A2390" t="str">
        <f>"300958"</f>
        <v>300958</v>
      </c>
      <c r="B2390" t="s">
        <v>2726</v>
      </c>
      <c r="C2390">
        <v>11.93</v>
      </c>
      <c r="D2390">
        <v>27.78</v>
      </c>
      <c r="E2390">
        <v>12.45</v>
      </c>
      <c r="F2390">
        <v>1.57</v>
      </c>
      <c r="G2390">
        <v>0.91</v>
      </c>
      <c r="H2390">
        <v>11780</v>
      </c>
      <c r="I2390">
        <v>1.65</v>
      </c>
      <c r="J2390" t="s">
        <v>14</v>
      </c>
      <c r="K2390" t="s">
        <v>370</v>
      </c>
    </row>
    <row r="2391" spans="1:11">
      <c r="A2391" t="str">
        <f>"300959"</f>
        <v>300959</v>
      </c>
      <c r="B2391" t="s">
        <v>2727</v>
      </c>
      <c r="C2391">
        <v>54.18</v>
      </c>
      <c r="D2391">
        <v>13.31</v>
      </c>
      <c r="E2391">
        <v>11.22</v>
      </c>
      <c r="F2391">
        <v>0.8</v>
      </c>
      <c r="G2391">
        <v>0.52</v>
      </c>
      <c r="H2391">
        <v>19304</v>
      </c>
      <c r="I2391">
        <v>7.41</v>
      </c>
      <c r="J2391">
        <v>1779.07</v>
      </c>
      <c r="K2391" t="s">
        <v>486</v>
      </c>
    </row>
    <row r="2392" spans="1:11">
      <c r="A2392" t="str">
        <f>"300960"</f>
        <v>300960</v>
      </c>
      <c r="B2392" t="s">
        <v>2728</v>
      </c>
      <c r="C2392">
        <v>33.5</v>
      </c>
      <c r="D2392">
        <v>10.06</v>
      </c>
      <c r="E2392">
        <v>6.03</v>
      </c>
      <c r="F2392">
        <v>1.44</v>
      </c>
      <c r="G2392">
        <v>1.31</v>
      </c>
      <c r="H2392">
        <v>9928</v>
      </c>
      <c r="I2392">
        <v>6.13</v>
      </c>
      <c r="J2392">
        <v>104.21</v>
      </c>
      <c r="K2392" t="s">
        <v>22</v>
      </c>
    </row>
    <row r="2393" spans="1:11">
      <c r="A2393" t="str">
        <f>"300961"</f>
        <v>300961</v>
      </c>
      <c r="B2393" t="s">
        <v>2729</v>
      </c>
      <c r="C2393">
        <v>22.99</v>
      </c>
      <c r="D2393">
        <v>25.8</v>
      </c>
      <c r="E2393">
        <v>7.33</v>
      </c>
      <c r="F2393">
        <v>1.77</v>
      </c>
      <c r="G2393">
        <v>1.53</v>
      </c>
      <c r="H2393">
        <v>23561</v>
      </c>
      <c r="I2393">
        <v>3.64</v>
      </c>
      <c r="J2393" t="s">
        <v>14</v>
      </c>
      <c r="K2393" t="s">
        <v>90</v>
      </c>
    </row>
    <row r="2394" spans="1:11">
      <c r="A2394" t="str">
        <f>"300962"</f>
        <v>300962</v>
      </c>
      <c r="B2394" t="s">
        <v>2730</v>
      </c>
      <c r="C2394">
        <v>45.14</v>
      </c>
      <c r="D2394">
        <v>12.05</v>
      </c>
      <c r="E2394">
        <v>10</v>
      </c>
      <c r="F2394">
        <v>2.64</v>
      </c>
      <c r="G2394">
        <v>2.64</v>
      </c>
      <c r="H2394">
        <v>15595</v>
      </c>
      <c r="I2394">
        <v>4.52</v>
      </c>
      <c r="J2394">
        <v>37.7</v>
      </c>
      <c r="K2394" t="s">
        <v>1972</v>
      </c>
    </row>
    <row r="2395" spans="1:11">
      <c r="A2395" t="str">
        <f>"300963"</f>
        <v>300963</v>
      </c>
      <c r="B2395" t="s">
        <v>2731</v>
      </c>
      <c r="C2395">
        <v>68.71</v>
      </c>
      <c r="D2395">
        <v>18.42</v>
      </c>
      <c r="E2395">
        <v>11.04</v>
      </c>
      <c r="F2395">
        <v>4.59</v>
      </c>
      <c r="G2395">
        <v>2.89</v>
      </c>
      <c r="H2395">
        <v>62513</v>
      </c>
      <c r="I2395">
        <v>9.87</v>
      </c>
      <c r="J2395">
        <v>151.68</v>
      </c>
      <c r="K2395" t="s">
        <v>307</v>
      </c>
    </row>
    <row r="2396" spans="1:11">
      <c r="A2396" t="str">
        <f>"300964"</f>
        <v>300964</v>
      </c>
      <c r="B2396" t="s">
        <v>2732</v>
      </c>
      <c r="C2396">
        <v>37</v>
      </c>
      <c r="D2396">
        <v>15.16</v>
      </c>
      <c r="E2396">
        <v>10.25</v>
      </c>
      <c r="F2396">
        <v>0.77</v>
      </c>
      <c r="G2396">
        <v>0.55</v>
      </c>
      <c r="H2396">
        <v>12571</v>
      </c>
      <c r="I2396">
        <v>5.07</v>
      </c>
      <c r="J2396">
        <v>117.78</v>
      </c>
      <c r="K2396" t="s">
        <v>472</v>
      </c>
    </row>
    <row r="2397" spans="1:11">
      <c r="A2397" t="str">
        <f>"300965"</f>
        <v>300965</v>
      </c>
      <c r="B2397" t="s">
        <v>2733</v>
      </c>
      <c r="C2397">
        <v>37.34</v>
      </c>
      <c r="D2397">
        <v>14.78</v>
      </c>
      <c r="E2397">
        <v>12.3</v>
      </c>
      <c r="F2397">
        <v>0.6</v>
      </c>
      <c r="G2397">
        <v>0.56</v>
      </c>
      <c r="H2397">
        <v>11760</v>
      </c>
      <c r="I2397">
        <v>3.27</v>
      </c>
      <c r="J2397">
        <v>117.22</v>
      </c>
      <c r="K2397" t="s">
        <v>353</v>
      </c>
    </row>
    <row r="2398" spans="1:11">
      <c r="A2398" t="str">
        <f>"300966"</f>
        <v>300966</v>
      </c>
      <c r="B2398" t="s">
        <v>2734</v>
      </c>
      <c r="C2398">
        <v>16.35</v>
      </c>
      <c r="D2398">
        <v>28.57</v>
      </c>
      <c r="E2398">
        <v>8.71</v>
      </c>
      <c r="F2398">
        <v>1.15</v>
      </c>
      <c r="G2398">
        <v>0.76</v>
      </c>
      <c r="H2398">
        <v>14193</v>
      </c>
      <c r="I2398">
        <v>3.19</v>
      </c>
      <c r="J2398" t="s">
        <v>14</v>
      </c>
      <c r="K2398" t="s">
        <v>404</v>
      </c>
    </row>
    <row r="2399" spans="1:11">
      <c r="A2399" t="str">
        <f>"300967"</f>
        <v>300967</v>
      </c>
      <c r="B2399" t="s">
        <v>2735</v>
      </c>
      <c r="C2399">
        <v>24.43</v>
      </c>
      <c r="D2399">
        <v>16.1</v>
      </c>
      <c r="E2399">
        <v>9.06</v>
      </c>
      <c r="F2399">
        <v>1.88</v>
      </c>
      <c r="G2399">
        <v>1.25</v>
      </c>
      <c r="H2399">
        <v>17305</v>
      </c>
      <c r="I2399">
        <v>4.48</v>
      </c>
      <c r="J2399">
        <v>15.05</v>
      </c>
      <c r="K2399" t="s">
        <v>1019</v>
      </c>
    </row>
    <row r="2400" spans="1:11">
      <c r="A2400" t="str">
        <f>"300968"</f>
        <v>300968</v>
      </c>
      <c r="B2400" t="s">
        <v>2736</v>
      </c>
      <c r="C2400">
        <v>63.95</v>
      </c>
      <c r="D2400">
        <v>23.42</v>
      </c>
      <c r="E2400">
        <v>18.97</v>
      </c>
      <c r="F2400">
        <v>4.13</v>
      </c>
      <c r="G2400">
        <v>4.13</v>
      </c>
      <c r="H2400">
        <v>35668</v>
      </c>
      <c r="I2400">
        <v>3.37</v>
      </c>
      <c r="J2400">
        <v>247.78</v>
      </c>
      <c r="K2400" t="s">
        <v>41</v>
      </c>
    </row>
    <row r="2401" spans="1:11">
      <c r="A2401" t="str">
        <f>"300969"</f>
        <v>300969</v>
      </c>
      <c r="B2401" t="s">
        <v>2737</v>
      </c>
      <c r="C2401">
        <v>65.84</v>
      </c>
      <c r="D2401">
        <v>19.78</v>
      </c>
      <c r="E2401">
        <v>13.82</v>
      </c>
      <c r="F2401">
        <v>1.12</v>
      </c>
      <c r="G2401">
        <v>0.5</v>
      </c>
      <c r="H2401">
        <v>9385</v>
      </c>
      <c r="I2401">
        <v>10.62</v>
      </c>
      <c r="J2401">
        <v>85.26</v>
      </c>
      <c r="K2401" t="s">
        <v>530</v>
      </c>
    </row>
    <row r="2402" spans="1:11">
      <c r="A2402" t="str">
        <f>"300970"</f>
        <v>300970</v>
      </c>
      <c r="B2402" t="s">
        <v>2738</v>
      </c>
      <c r="C2402">
        <v>21.43</v>
      </c>
      <c r="D2402">
        <v>23.57</v>
      </c>
      <c r="E2402">
        <v>15.3</v>
      </c>
      <c r="F2402">
        <v>1.23</v>
      </c>
      <c r="G2402">
        <v>0.95</v>
      </c>
      <c r="H2402">
        <v>10290</v>
      </c>
      <c r="I2402">
        <v>1.79</v>
      </c>
      <c r="J2402">
        <v>126.84</v>
      </c>
      <c r="K2402" t="s">
        <v>1549</v>
      </c>
    </row>
    <row r="2403" spans="1:11">
      <c r="A2403" t="str">
        <f>"300971"</f>
        <v>300971</v>
      </c>
      <c r="B2403" t="s">
        <v>2739</v>
      </c>
      <c r="C2403">
        <v>23.01</v>
      </c>
      <c r="D2403">
        <v>14.79</v>
      </c>
      <c r="E2403">
        <v>10.54</v>
      </c>
      <c r="F2403">
        <v>1.18</v>
      </c>
      <c r="G2403">
        <v>0.92</v>
      </c>
      <c r="H2403">
        <v>16690</v>
      </c>
      <c r="I2403">
        <v>2.79</v>
      </c>
      <c r="J2403">
        <v>33.34</v>
      </c>
      <c r="K2403" t="s">
        <v>424</v>
      </c>
    </row>
    <row r="2404" spans="1:11">
      <c r="A2404" t="str">
        <f>"300972"</f>
        <v>300972</v>
      </c>
      <c r="B2404" t="s">
        <v>2740</v>
      </c>
      <c r="C2404">
        <v>319.86</v>
      </c>
      <c r="D2404">
        <v>92.12</v>
      </c>
      <c r="E2404">
        <v>20.42</v>
      </c>
      <c r="F2404">
        <v>1.89</v>
      </c>
      <c r="G2404">
        <v>1.68</v>
      </c>
      <c r="H2404">
        <v>11440</v>
      </c>
      <c r="I2404">
        <v>17.5</v>
      </c>
      <c r="J2404">
        <v>31.55</v>
      </c>
      <c r="K2404" t="s">
        <v>1340</v>
      </c>
    </row>
    <row r="2405" spans="1:11">
      <c r="A2405" t="str">
        <f>"300973"</f>
        <v>300973</v>
      </c>
      <c r="B2405" t="s">
        <v>2741</v>
      </c>
      <c r="C2405">
        <v>52.44</v>
      </c>
      <c r="D2405">
        <v>44.96</v>
      </c>
      <c r="E2405">
        <v>27.01</v>
      </c>
      <c r="F2405">
        <v>1.69</v>
      </c>
      <c r="G2405">
        <v>1.17</v>
      </c>
      <c r="H2405">
        <v>11074</v>
      </c>
      <c r="I2405">
        <v>3.1</v>
      </c>
      <c r="J2405">
        <v>23.06</v>
      </c>
      <c r="K2405" t="s">
        <v>634</v>
      </c>
    </row>
    <row r="2406" spans="1:11">
      <c r="A2406" t="str">
        <f>"300975"</f>
        <v>300975</v>
      </c>
      <c r="B2406" t="s">
        <v>2742</v>
      </c>
      <c r="C2406">
        <v>66.68</v>
      </c>
      <c r="D2406">
        <v>73.62</v>
      </c>
      <c r="E2406">
        <v>22.78</v>
      </c>
      <c r="F2406">
        <v>6.87</v>
      </c>
      <c r="G2406">
        <v>4.92</v>
      </c>
      <c r="H2406">
        <v>48364</v>
      </c>
      <c r="I2406">
        <v>4.09</v>
      </c>
      <c r="J2406">
        <v>49.39</v>
      </c>
      <c r="K2406" t="s">
        <v>82</v>
      </c>
    </row>
    <row r="2407" spans="1:11">
      <c r="A2407" t="str">
        <f>"300976"</f>
        <v>300976</v>
      </c>
      <c r="B2407" t="s">
        <v>2743</v>
      </c>
      <c r="C2407">
        <v>55.87</v>
      </c>
      <c r="D2407">
        <v>43.27</v>
      </c>
      <c r="E2407">
        <v>35.24</v>
      </c>
      <c r="F2407">
        <v>1.34</v>
      </c>
      <c r="G2407">
        <v>0.86</v>
      </c>
      <c r="H2407">
        <v>13458</v>
      </c>
      <c r="I2407">
        <v>2.45</v>
      </c>
      <c r="J2407">
        <v>28.22</v>
      </c>
      <c r="K2407" t="s">
        <v>41</v>
      </c>
    </row>
    <row r="2408" spans="1:11">
      <c r="A2408" t="str">
        <f>"300977"</f>
        <v>300977</v>
      </c>
      <c r="B2408" t="s">
        <v>2744</v>
      </c>
      <c r="C2408">
        <v>22.2</v>
      </c>
      <c r="D2408">
        <v>15.22</v>
      </c>
      <c r="E2408">
        <v>13.86</v>
      </c>
      <c r="F2408">
        <v>1.52</v>
      </c>
      <c r="G2408">
        <v>0.95</v>
      </c>
      <c r="H2408">
        <v>8328</v>
      </c>
      <c r="I2408">
        <v>2.57</v>
      </c>
      <c r="J2408">
        <v>98.56</v>
      </c>
      <c r="K2408" t="s">
        <v>428</v>
      </c>
    </row>
    <row r="2409" spans="1:11">
      <c r="A2409" t="str">
        <f>"300978"</f>
        <v>300978</v>
      </c>
      <c r="B2409" t="s">
        <v>2745</v>
      </c>
      <c r="C2409">
        <v>23.9</v>
      </c>
      <c r="D2409">
        <v>27</v>
      </c>
      <c r="E2409">
        <v>16.46</v>
      </c>
      <c r="F2409">
        <v>4.23</v>
      </c>
      <c r="G2409">
        <v>1.91</v>
      </c>
      <c r="H2409">
        <v>16601</v>
      </c>
      <c r="I2409">
        <v>3.21</v>
      </c>
      <c r="J2409">
        <v>30.37</v>
      </c>
      <c r="K2409" t="s">
        <v>517</v>
      </c>
    </row>
    <row r="2410" spans="1:11">
      <c r="A2410" t="str">
        <f>"300979"</f>
        <v>300979</v>
      </c>
      <c r="B2410" t="s">
        <v>2746</v>
      </c>
      <c r="C2410">
        <v>597.5</v>
      </c>
      <c r="D2410">
        <v>235.44</v>
      </c>
      <c r="E2410">
        <v>155.84</v>
      </c>
      <c r="F2410">
        <v>11.67</v>
      </c>
      <c r="G2410">
        <v>11.67</v>
      </c>
      <c r="H2410">
        <v>12500</v>
      </c>
      <c r="I2410">
        <v>3.83</v>
      </c>
      <c r="J2410">
        <v>18.4</v>
      </c>
      <c r="K2410" t="s">
        <v>2747</v>
      </c>
    </row>
    <row r="2411" spans="1:11">
      <c r="A2411" t="str">
        <f>"300980"</f>
        <v>300980</v>
      </c>
      <c r="B2411" t="s">
        <v>2748</v>
      </c>
      <c r="C2411">
        <v>33.04</v>
      </c>
      <c r="D2411">
        <v>15.48</v>
      </c>
      <c r="E2411">
        <v>14.1</v>
      </c>
      <c r="F2411">
        <v>1.38</v>
      </c>
      <c r="G2411">
        <v>0.98</v>
      </c>
      <c r="H2411">
        <v>11717</v>
      </c>
      <c r="I2411">
        <v>3.29</v>
      </c>
      <c r="J2411">
        <v>85.59</v>
      </c>
      <c r="K2411" t="s">
        <v>549</v>
      </c>
    </row>
    <row r="2412" spans="1:11">
      <c r="A2412" t="str">
        <f>"300981"</f>
        <v>300981</v>
      </c>
      <c r="B2412" t="s">
        <v>2749</v>
      </c>
      <c r="C2412">
        <v>53.49</v>
      </c>
      <c r="D2412">
        <v>76.52</v>
      </c>
      <c r="E2412">
        <v>53.69</v>
      </c>
      <c r="F2412">
        <v>4.29</v>
      </c>
      <c r="G2412">
        <v>3.93</v>
      </c>
      <c r="H2412">
        <v>22418</v>
      </c>
      <c r="I2412">
        <v>1.09</v>
      </c>
      <c r="J2412" t="s">
        <v>14</v>
      </c>
      <c r="K2412" t="s">
        <v>1173</v>
      </c>
    </row>
    <row r="2413" spans="1:11">
      <c r="A2413" t="str">
        <f>"300982"</f>
        <v>300982</v>
      </c>
      <c r="B2413" t="s">
        <v>2750</v>
      </c>
      <c r="C2413">
        <v>44.27</v>
      </c>
      <c r="D2413">
        <v>42.99</v>
      </c>
      <c r="E2413">
        <v>29.03</v>
      </c>
      <c r="F2413">
        <v>2.07</v>
      </c>
      <c r="G2413">
        <v>1.94</v>
      </c>
      <c r="H2413">
        <v>15523</v>
      </c>
      <c r="I2413">
        <v>1.63</v>
      </c>
      <c r="J2413">
        <v>352.35</v>
      </c>
      <c r="K2413" t="s">
        <v>100</v>
      </c>
    </row>
    <row r="2414" spans="1:11">
      <c r="A2414" t="str">
        <f>"300983"</f>
        <v>300983</v>
      </c>
      <c r="B2414" t="s">
        <v>2751</v>
      </c>
      <c r="C2414">
        <v>32.81</v>
      </c>
      <c r="D2414">
        <v>29.27</v>
      </c>
      <c r="E2414">
        <v>28.34</v>
      </c>
      <c r="F2414">
        <v>1.73</v>
      </c>
      <c r="G2414">
        <v>1.18</v>
      </c>
      <c r="H2414">
        <v>11288</v>
      </c>
      <c r="I2414">
        <v>1.69</v>
      </c>
      <c r="J2414" t="s">
        <v>14</v>
      </c>
      <c r="K2414" t="s">
        <v>428</v>
      </c>
    </row>
    <row r="2415" spans="1:11">
      <c r="A2415" t="str">
        <f>"300984"</f>
        <v>300984</v>
      </c>
      <c r="B2415" t="s">
        <v>2752</v>
      </c>
      <c r="C2415">
        <v>61.64</v>
      </c>
      <c r="D2415">
        <v>15.5</v>
      </c>
      <c r="E2415">
        <v>10.38</v>
      </c>
      <c r="F2415">
        <v>1.23</v>
      </c>
      <c r="G2415">
        <v>0.77</v>
      </c>
      <c r="H2415">
        <v>9346</v>
      </c>
      <c r="I2415">
        <v>9.45</v>
      </c>
      <c r="J2415">
        <v>196.97</v>
      </c>
      <c r="K2415" t="s">
        <v>424</v>
      </c>
    </row>
    <row r="2416" spans="1:11">
      <c r="A2416" t="str">
        <f>"300985"</f>
        <v>300985</v>
      </c>
      <c r="B2416" t="s">
        <v>2753</v>
      </c>
      <c r="C2416">
        <v>35.12</v>
      </c>
      <c r="D2416">
        <v>25.2</v>
      </c>
      <c r="E2416">
        <v>10.09</v>
      </c>
      <c r="F2416">
        <v>1.87</v>
      </c>
      <c r="G2416">
        <v>1.86</v>
      </c>
      <c r="H2416">
        <v>9944</v>
      </c>
      <c r="I2416">
        <v>3.5</v>
      </c>
      <c r="J2416">
        <v>57.45</v>
      </c>
      <c r="K2416" t="s">
        <v>517</v>
      </c>
    </row>
    <row r="2417" spans="1:11">
      <c r="A2417" t="str">
        <f>"300986"</f>
        <v>300986</v>
      </c>
      <c r="B2417" t="s">
        <v>2754</v>
      </c>
      <c r="C2417">
        <v>137.4</v>
      </c>
      <c r="D2417">
        <v>60.14</v>
      </c>
      <c r="E2417">
        <v>21.3</v>
      </c>
      <c r="F2417">
        <v>4.12</v>
      </c>
      <c r="G2417">
        <v>4.12</v>
      </c>
      <c r="H2417">
        <v>20463</v>
      </c>
      <c r="I2417">
        <v>6.46</v>
      </c>
      <c r="J2417">
        <v>87.51</v>
      </c>
      <c r="K2417" t="s">
        <v>55</v>
      </c>
    </row>
    <row r="2418" spans="1:11">
      <c r="A2418" t="str">
        <f>"300987"</f>
        <v>300987</v>
      </c>
      <c r="B2418" t="s">
        <v>2755</v>
      </c>
      <c r="C2418">
        <v>46.38</v>
      </c>
      <c r="D2418">
        <v>11.02</v>
      </c>
      <c r="E2418">
        <v>7.93</v>
      </c>
      <c r="F2418">
        <v>1.73</v>
      </c>
      <c r="G2418">
        <v>1.73</v>
      </c>
      <c r="H2418">
        <v>15164</v>
      </c>
      <c r="I2418">
        <v>5.85</v>
      </c>
      <c r="J2418">
        <v>401.14</v>
      </c>
      <c r="K2418" t="s">
        <v>339</v>
      </c>
    </row>
    <row r="2419" spans="1:11">
      <c r="A2419" t="str">
        <f>"300988"</f>
        <v>300988</v>
      </c>
      <c r="B2419" t="s">
        <v>2756</v>
      </c>
      <c r="C2419">
        <v>26.46</v>
      </c>
      <c r="D2419">
        <v>22.81</v>
      </c>
      <c r="E2419">
        <v>12.73</v>
      </c>
      <c r="F2419">
        <v>1.4</v>
      </c>
      <c r="G2419">
        <v>1.07</v>
      </c>
      <c r="H2419">
        <v>11930</v>
      </c>
      <c r="I2419">
        <v>2.73</v>
      </c>
      <c r="J2419">
        <v>29.71</v>
      </c>
      <c r="K2419" t="s">
        <v>63</v>
      </c>
    </row>
    <row r="2420" spans="1:11">
      <c r="A2420" t="str">
        <f>"300989"</f>
        <v>300989</v>
      </c>
      <c r="B2420" t="s">
        <v>2757</v>
      </c>
      <c r="C2420">
        <v>24.97</v>
      </c>
      <c r="D2420">
        <v>12.33</v>
      </c>
      <c r="E2420">
        <v>9.94</v>
      </c>
      <c r="F2420">
        <v>2.11</v>
      </c>
      <c r="G2420">
        <v>1.51</v>
      </c>
      <c r="H2420">
        <v>10805</v>
      </c>
      <c r="I2420">
        <v>3.52</v>
      </c>
      <c r="J2420">
        <v>232.55</v>
      </c>
      <c r="K2420" t="s">
        <v>428</v>
      </c>
    </row>
    <row r="2421" spans="1:11">
      <c r="A2421" t="str">
        <f>"300990"</f>
        <v>300990</v>
      </c>
      <c r="B2421" t="s">
        <v>2758</v>
      </c>
      <c r="C2421">
        <v>66.9</v>
      </c>
      <c r="D2421">
        <v>27.02</v>
      </c>
      <c r="E2421">
        <v>20.26</v>
      </c>
      <c r="F2421">
        <v>1.71</v>
      </c>
      <c r="G2421">
        <v>0.77</v>
      </c>
      <c r="H2421">
        <v>13068</v>
      </c>
      <c r="I2421">
        <v>7.27</v>
      </c>
      <c r="J2421">
        <v>61.49</v>
      </c>
      <c r="K2421" t="s">
        <v>203</v>
      </c>
    </row>
    <row r="2422" spans="1:11">
      <c r="A2422" t="str">
        <f>"300991"</f>
        <v>300991</v>
      </c>
      <c r="B2422" t="s">
        <v>2759</v>
      </c>
      <c r="C2422">
        <v>38.66</v>
      </c>
      <c r="D2422">
        <v>13.77</v>
      </c>
      <c r="E2422">
        <v>6.38</v>
      </c>
      <c r="F2422">
        <v>1.44</v>
      </c>
      <c r="G2422">
        <v>0.92</v>
      </c>
      <c r="H2422">
        <v>8551</v>
      </c>
      <c r="I2422">
        <v>9.47</v>
      </c>
      <c r="J2422">
        <v>2974.91</v>
      </c>
      <c r="K2422" t="s">
        <v>41</v>
      </c>
    </row>
    <row r="2423" spans="1:11">
      <c r="A2423" t="str">
        <f>"300992"</f>
        <v>300992</v>
      </c>
      <c r="B2423" t="s">
        <v>2760</v>
      </c>
      <c r="C2423">
        <v>24.11</v>
      </c>
      <c r="D2423">
        <v>17.81</v>
      </c>
      <c r="E2423">
        <v>9.03</v>
      </c>
      <c r="F2423">
        <v>0.95</v>
      </c>
      <c r="G2423">
        <v>0.77</v>
      </c>
      <c r="H2423">
        <v>7499</v>
      </c>
      <c r="I2423">
        <v>3.43</v>
      </c>
      <c r="J2423">
        <v>132</v>
      </c>
      <c r="K2423" t="s">
        <v>424</v>
      </c>
    </row>
    <row r="2424" spans="1:11">
      <c r="A2424" t="str">
        <f>"300993"</f>
        <v>300993</v>
      </c>
      <c r="B2424" t="s">
        <v>2761</v>
      </c>
      <c r="C2424">
        <v>36.91</v>
      </c>
      <c r="D2424">
        <v>16.26</v>
      </c>
      <c r="E2424">
        <v>15.29</v>
      </c>
      <c r="F2424">
        <v>3.08</v>
      </c>
      <c r="G2424">
        <v>2.41</v>
      </c>
      <c r="H2424">
        <v>21090</v>
      </c>
      <c r="I2424">
        <v>3.09</v>
      </c>
      <c r="J2424">
        <v>32.06</v>
      </c>
      <c r="K2424" t="s">
        <v>625</v>
      </c>
    </row>
    <row r="2425" spans="1:11">
      <c r="A2425" t="str">
        <f>"300994"</f>
        <v>300994</v>
      </c>
      <c r="B2425" t="s">
        <v>2762</v>
      </c>
      <c r="C2425">
        <v>19.3</v>
      </c>
      <c r="D2425">
        <v>22.85</v>
      </c>
      <c r="E2425">
        <v>11.99</v>
      </c>
      <c r="F2425">
        <v>2.33</v>
      </c>
      <c r="G2425">
        <v>1.17</v>
      </c>
      <c r="H2425">
        <v>11968</v>
      </c>
      <c r="I2425">
        <v>3.22</v>
      </c>
      <c r="J2425">
        <v>22.36</v>
      </c>
      <c r="K2425" t="s">
        <v>870</v>
      </c>
    </row>
    <row r="2426" spans="1:11">
      <c r="A2426" t="str">
        <f>"300995"</f>
        <v>300995</v>
      </c>
      <c r="B2426" t="s">
        <v>2763</v>
      </c>
      <c r="C2426">
        <v>24.37</v>
      </c>
      <c r="D2426">
        <v>8.39</v>
      </c>
      <c r="E2426">
        <v>6.26</v>
      </c>
      <c r="F2426">
        <v>0.84</v>
      </c>
      <c r="G2426">
        <v>0.6</v>
      </c>
      <c r="H2426">
        <v>9351</v>
      </c>
      <c r="I2426">
        <v>5.46</v>
      </c>
      <c r="J2426">
        <v>200.2</v>
      </c>
      <c r="K2426" t="s">
        <v>1113</v>
      </c>
    </row>
    <row r="2427" spans="1:11">
      <c r="A2427" t="str">
        <f>"300996"</f>
        <v>300996</v>
      </c>
      <c r="B2427" t="s">
        <v>2764</v>
      </c>
      <c r="C2427">
        <v>48.2</v>
      </c>
      <c r="D2427">
        <v>14.61</v>
      </c>
      <c r="E2427">
        <v>12.6</v>
      </c>
      <c r="F2427">
        <v>2.83</v>
      </c>
      <c r="G2427">
        <v>2.35</v>
      </c>
      <c r="H2427">
        <v>26393</v>
      </c>
      <c r="I2427">
        <v>4.61</v>
      </c>
      <c r="J2427">
        <v>2937.55</v>
      </c>
      <c r="K2427" t="s">
        <v>117</v>
      </c>
    </row>
    <row r="2428" spans="1:11">
      <c r="A2428" t="str">
        <f>"300997"</f>
        <v>300997</v>
      </c>
      <c r="B2428" t="s">
        <v>2765</v>
      </c>
      <c r="C2428">
        <v>108.85</v>
      </c>
      <c r="D2428">
        <v>17.24</v>
      </c>
      <c r="E2428">
        <v>10.16</v>
      </c>
      <c r="F2428">
        <v>4.37</v>
      </c>
      <c r="G2428">
        <v>3.86</v>
      </c>
      <c r="H2428">
        <v>18556</v>
      </c>
      <c r="I2428">
        <v>12.14</v>
      </c>
      <c r="J2428">
        <v>878.95</v>
      </c>
      <c r="K2428" t="s">
        <v>488</v>
      </c>
    </row>
    <row r="2429" spans="1:11">
      <c r="A2429" t="str">
        <f>"300998"</f>
        <v>300998</v>
      </c>
      <c r="B2429" t="s">
        <v>2766</v>
      </c>
      <c r="C2429">
        <v>25.83</v>
      </c>
      <c r="D2429">
        <v>29.51</v>
      </c>
      <c r="E2429">
        <v>12.61</v>
      </c>
      <c r="F2429">
        <v>1.37</v>
      </c>
      <c r="G2429">
        <v>1.08</v>
      </c>
      <c r="H2429">
        <v>6979</v>
      </c>
      <c r="I2429">
        <v>2.61</v>
      </c>
      <c r="J2429" t="s">
        <v>14</v>
      </c>
      <c r="K2429" t="s">
        <v>493</v>
      </c>
    </row>
    <row r="2430" spans="1:11">
      <c r="A2430" t="str">
        <f>"300999"</f>
        <v>300999</v>
      </c>
      <c r="B2430" t="s">
        <v>2767</v>
      </c>
      <c r="C2430">
        <v>162.63</v>
      </c>
      <c r="D2430">
        <v>2300.19</v>
      </c>
      <c r="E2430">
        <v>962.01</v>
      </c>
      <c r="F2430">
        <v>54.22</v>
      </c>
      <c r="G2430">
        <v>5.43</v>
      </c>
      <c r="H2430">
        <v>114556</v>
      </c>
      <c r="I2430">
        <v>1.69</v>
      </c>
      <c r="J2430">
        <v>44.33</v>
      </c>
      <c r="K2430" t="s">
        <v>37</v>
      </c>
    </row>
    <row r="2431" spans="1:11">
      <c r="A2431" t="str">
        <f>"301000"</f>
        <v>301000</v>
      </c>
      <c r="B2431" t="s">
        <v>2768</v>
      </c>
      <c r="C2431">
        <v>90.42</v>
      </c>
      <c r="D2431">
        <v>14.6</v>
      </c>
      <c r="E2431">
        <v>12.44</v>
      </c>
      <c r="F2431">
        <v>2.43</v>
      </c>
      <c r="G2431">
        <v>2.29</v>
      </c>
      <c r="H2431">
        <v>25216</v>
      </c>
      <c r="I2431">
        <v>7.7</v>
      </c>
      <c r="J2431">
        <v>66.86</v>
      </c>
      <c r="K2431" t="s">
        <v>517</v>
      </c>
    </row>
    <row r="2432" spans="1:11">
      <c r="A2432" t="str">
        <f>"301001"</f>
        <v>301001</v>
      </c>
      <c r="B2432" t="s">
        <v>2769</v>
      </c>
      <c r="C2432">
        <v>21.46</v>
      </c>
      <c r="D2432">
        <v>8.38</v>
      </c>
      <c r="E2432">
        <v>7.81</v>
      </c>
      <c r="F2432">
        <v>0.8</v>
      </c>
      <c r="G2432">
        <v>0.5</v>
      </c>
      <c r="H2432">
        <v>9788</v>
      </c>
      <c r="I2432">
        <v>4.37</v>
      </c>
      <c r="J2432">
        <v>6978.19</v>
      </c>
      <c r="K2432" t="s">
        <v>1050</v>
      </c>
    </row>
    <row r="2433" spans="1:11">
      <c r="A2433" t="str">
        <f>"301002"</f>
        <v>301002</v>
      </c>
      <c r="B2433" t="s">
        <v>2770</v>
      </c>
      <c r="C2433">
        <v>28.77</v>
      </c>
      <c r="D2433">
        <v>14.7</v>
      </c>
      <c r="E2433">
        <v>8.29</v>
      </c>
      <c r="F2433">
        <v>1.24</v>
      </c>
      <c r="G2433">
        <v>0.74</v>
      </c>
      <c r="H2433">
        <v>8632</v>
      </c>
      <c r="I2433">
        <v>6.09</v>
      </c>
      <c r="J2433">
        <v>524.14</v>
      </c>
      <c r="K2433" t="s">
        <v>208</v>
      </c>
    </row>
    <row r="2434" spans="1:11">
      <c r="A2434" t="str">
        <f>"301003"</f>
        <v>301003</v>
      </c>
      <c r="B2434" t="s">
        <v>2771</v>
      </c>
      <c r="C2434">
        <v>35.41</v>
      </c>
      <c r="D2434">
        <v>11.7</v>
      </c>
      <c r="E2434">
        <v>11.1</v>
      </c>
      <c r="F2434">
        <v>0.97</v>
      </c>
      <c r="G2434">
        <v>0.75</v>
      </c>
      <c r="H2434">
        <v>6267</v>
      </c>
      <c r="I2434">
        <v>4.15</v>
      </c>
      <c r="J2434">
        <v>42.51</v>
      </c>
      <c r="K2434" t="s">
        <v>1113</v>
      </c>
    </row>
    <row r="2435" spans="1:11">
      <c r="A2435" t="str">
        <f>"301004"</f>
        <v>301004</v>
      </c>
      <c r="B2435" t="s">
        <v>2772</v>
      </c>
      <c r="C2435">
        <v>71.24</v>
      </c>
      <c r="D2435">
        <v>27.45</v>
      </c>
      <c r="E2435">
        <v>18.08</v>
      </c>
      <c r="F2435">
        <v>1.46</v>
      </c>
      <c r="G2435">
        <v>1.36</v>
      </c>
      <c r="H2435">
        <v>8183</v>
      </c>
      <c r="I2435">
        <v>4.39</v>
      </c>
      <c r="J2435">
        <v>15.6</v>
      </c>
      <c r="K2435" t="s">
        <v>625</v>
      </c>
    </row>
    <row r="2436" spans="1:11">
      <c r="A2436" t="str">
        <f>"301005"</f>
        <v>301005</v>
      </c>
      <c r="B2436" t="s">
        <v>2773</v>
      </c>
      <c r="C2436">
        <v>288.32</v>
      </c>
      <c r="D2436">
        <v>12.46</v>
      </c>
      <c r="E2436">
        <v>7.69</v>
      </c>
      <c r="F2436">
        <v>1.34</v>
      </c>
      <c r="G2436">
        <v>1.32</v>
      </c>
      <c r="H2436">
        <v>23833</v>
      </c>
      <c r="I2436">
        <v>38.02</v>
      </c>
      <c r="J2436">
        <v>771.54</v>
      </c>
      <c r="K2436" t="s">
        <v>517</v>
      </c>
    </row>
    <row r="2437" spans="1:11">
      <c r="A2437" t="str">
        <f>"301006"</f>
        <v>301006</v>
      </c>
      <c r="B2437" t="s">
        <v>2774</v>
      </c>
      <c r="C2437">
        <v>14.91</v>
      </c>
      <c r="D2437">
        <v>14.66</v>
      </c>
      <c r="E2437">
        <v>12.77</v>
      </c>
      <c r="F2437">
        <v>1.39</v>
      </c>
      <c r="G2437">
        <v>0.86</v>
      </c>
      <c r="H2437">
        <v>8652</v>
      </c>
      <c r="I2437">
        <v>1.89</v>
      </c>
      <c r="J2437">
        <v>33.41</v>
      </c>
      <c r="K2437" t="s">
        <v>952</v>
      </c>
    </row>
    <row r="2438" spans="1:11">
      <c r="A2438" t="str">
        <f>"301007"</f>
        <v>301007</v>
      </c>
      <c r="B2438" t="s">
        <v>2775</v>
      </c>
      <c r="C2438">
        <v>56.58</v>
      </c>
      <c r="D2438">
        <v>10.48</v>
      </c>
      <c r="E2438">
        <v>6.86</v>
      </c>
      <c r="F2438">
        <v>1.53</v>
      </c>
      <c r="G2438">
        <v>1.53</v>
      </c>
      <c r="H2438">
        <v>13700</v>
      </c>
      <c r="I2438">
        <v>8.27</v>
      </c>
      <c r="J2438">
        <v>110.99</v>
      </c>
      <c r="K2438" t="s">
        <v>51</v>
      </c>
    </row>
    <row r="2439" spans="1:11">
      <c r="A2439" t="str">
        <f>"301008"</f>
        <v>301008</v>
      </c>
      <c r="B2439" t="s">
        <v>2776</v>
      </c>
      <c r="C2439">
        <v>42.82</v>
      </c>
      <c r="D2439">
        <v>21.94</v>
      </c>
      <c r="E2439">
        <v>14.96</v>
      </c>
      <c r="F2439">
        <v>1.31</v>
      </c>
      <c r="G2439">
        <v>1.16</v>
      </c>
      <c r="H2439">
        <v>16627</v>
      </c>
      <c r="I2439">
        <v>3.23</v>
      </c>
      <c r="J2439">
        <v>144.13</v>
      </c>
      <c r="K2439" t="s">
        <v>134</v>
      </c>
    </row>
    <row r="2440" spans="1:11">
      <c r="A2440" t="str">
        <f>"301009"</f>
        <v>301009</v>
      </c>
      <c r="B2440" t="s">
        <v>2777</v>
      </c>
      <c r="C2440">
        <v>20.5</v>
      </c>
      <c r="D2440">
        <v>21.51</v>
      </c>
      <c r="E2440">
        <v>13.34</v>
      </c>
      <c r="F2440">
        <v>2.72</v>
      </c>
      <c r="G2440">
        <v>1.51</v>
      </c>
      <c r="H2440">
        <v>17604</v>
      </c>
      <c r="I2440">
        <v>2.77</v>
      </c>
      <c r="J2440">
        <v>98.87</v>
      </c>
      <c r="K2440" t="s">
        <v>617</v>
      </c>
    </row>
    <row r="2441" spans="1:11">
      <c r="A2441" t="str">
        <f>"301010"</f>
        <v>301010</v>
      </c>
      <c r="B2441" t="s">
        <v>2778</v>
      </c>
      <c r="C2441">
        <v>24.21</v>
      </c>
      <c r="D2441">
        <v>15</v>
      </c>
      <c r="E2441">
        <v>8.28</v>
      </c>
      <c r="F2441">
        <v>1.08</v>
      </c>
      <c r="G2441">
        <v>1.08</v>
      </c>
      <c r="H2441">
        <v>7087</v>
      </c>
      <c r="I2441">
        <v>2.92</v>
      </c>
      <c r="J2441">
        <v>178.69</v>
      </c>
      <c r="K2441" t="s">
        <v>73</v>
      </c>
    </row>
    <row r="2442" spans="1:11">
      <c r="A2442" t="str">
        <f>"301011"</f>
        <v>301011</v>
      </c>
      <c r="B2442" t="s">
        <v>2779</v>
      </c>
      <c r="C2442">
        <v>40.04</v>
      </c>
      <c r="D2442">
        <v>15.03</v>
      </c>
      <c r="E2442">
        <v>9.37</v>
      </c>
      <c r="F2442">
        <v>1.54</v>
      </c>
      <c r="G2442">
        <v>1.4</v>
      </c>
      <c r="H2442">
        <v>13735</v>
      </c>
      <c r="I2442">
        <v>4.66</v>
      </c>
      <c r="J2442">
        <v>49.33</v>
      </c>
      <c r="K2442" t="s">
        <v>637</v>
      </c>
    </row>
    <row r="2443" spans="1:11">
      <c r="A2443" t="str">
        <f>"301012"</f>
        <v>301012</v>
      </c>
      <c r="B2443" t="s">
        <v>2780</v>
      </c>
      <c r="C2443">
        <v>59.19</v>
      </c>
      <c r="D2443">
        <v>15.62</v>
      </c>
      <c r="E2443">
        <v>11.66</v>
      </c>
      <c r="F2443">
        <v>1.97</v>
      </c>
      <c r="G2443">
        <v>1.97</v>
      </c>
      <c r="H2443">
        <v>16663</v>
      </c>
      <c r="I2443">
        <v>5.08</v>
      </c>
      <c r="J2443">
        <v>128</v>
      </c>
      <c r="K2443" t="s">
        <v>208</v>
      </c>
    </row>
    <row r="2444" spans="1:11">
      <c r="A2444" t="str">
        <f>"301013"</f>
        <v>301013</v>
      </c>
      <c r="B2444" t="s">
        <v>2781</v>
      </c>
      <c r="C2444">
        <v>53.78</v>
      </c>
      <c r="D2444">
        <v>15.4</v>
      </c>
      <c r="E2444">
        <v>7.67</v>
      </c>
      <c r="F2444">
        <v>2.34</v>
      </c>
      <c r="G2444">
        <v>1.89</v>
      </c>
      <c r="H2444">
        <v>46011</v>
      </c>
      <c r="I2444">
        <v>8.66</v>
      </c>
      <c r="J2444" t="s">
        <v>14</v>
      </c>
      <c r="K2444" t="s">
        <v>493</v>
      </c>
    </row>
    <row r="2445" spans="1:11">
      <c r="A2445" t="str">
        <f>"301015"</f>
        <v>301015</v>
      </c>
      <c r="B2445" t="s">
        <v>2782</v>
      </c>
      <c r="C2445">
        <v>133.6</v>
      </c>
      <c r="D2445">
        <v>75.91</v>
      </c>
      <c r="E2445">
        <v>24.82</v>
      </c>
      <c r="F2445">
        <v>5.26</v>
      </c>
      <c r="G2445">
        <v>5.26</v>
      </c>
      <c r="H2445">
        <v>11136</v>
      </c>
      <c r="I2445">
        <v>5.61</v>
      </c>
      <c r="J2445">
        <v>21.03</v>
      </c>
      <c r="K2445" t="s">
        <v>48</v>
      </c>
    </row>
    <row r="2446" spans="1:11">
      <c r="A2446" t="str">
        <f>"301016"</f>
        <v>301016</v>
      </c>
      <c r="B2446" t="s">
        <v>2783</v>
      </c>
      <c r="C2446">
        <v>54.94</v>
      </c>
      <c r="D2446">
        <v>11.54</v>
      </c>
      <c r="E2446">
        <v>9.99</v>
      </c>
      <c r="F2446">
        <v>2.18</v>
      </c>
      <c r="G2446">
        <v>2.07</v>
      </c>
      <c r="H2446">
        <v>10596</v>
      </c>
      <c r="I2446">
        <v>5.8</v>
      </c>
      <c r="J2446">
        <v>97.11</v>
      </c>
      <c r="K2446" t="s">
        <v>22</v>
      </c>
    </row>
    <row r="2447" spans="1:11">
      <c r="A2447" t="str">
        <f>"301017"</f>
        <v>301017</v>
      </c>
      <c r="B2447" t="s">
        <v>2784</v>
      </c>
      <c r="C2447">
        <v>52.2</v>
      </c>
      <c r="D2447">
        <v>100.19</v>
      </c>
      <c r="E2447">
        <v>21.13</v>
      </c>
      <c r="F2447">
        <v>4.05</v>
      </c>
      <c r="G2447">
        <v>2.43</v>
      </c>
      <c r="H2447">
        <v>13053</v>
      </c>
      <c r="I2447">
        <v>4.38</v>
      </c>
      <c r="J2447">
        <v>59.75</v>
      </c>
      <c r="K2447" t="s">
        <v>1507</v>
      </c>
    </row>
    <row r="2448" spans="1:11">
      <c r="A2448" t="str">
        <f>"301018"</f>
        <v>301018</v>
      </c>
      <c r="B2448" t="s">
        <v>2785</v>
      </c>
      <c r="C2448">
        <v>134.52</v>
      </c>
      <c r="D2448">
        <v>58.72</v>
      </c>
      <c r="E2448">
        <v>26.53</v>
      </c>
      <c r="F2448">
        <v>2.66</v>
      </c>
      <c r="G2448">
        <v>1.99</v>
      </c>
      <c r="H2448">
        <v>27824</v>
      </c>
      <c r="I2448">
        <v>6.78</v>
      </c>
      <c r="J2448">
        <v>89.87</v>
      </c>
      <c r="K2448" t="s">
        <v>203</v>
      </c>
    </row>
    <row r="2449" spans="1:11">
      <c r="A2449" t="str">
        <f>"301019"</f>
        <v>301019</v>
      </c>
      <c r="B2449" t="s">
        <v>2786</v>
      </c>
      <c r="C2449">
        <v>27.99</v>
      </c>
      <c r="D2449">
        <v>12.04</v>
      </c>
      <c r="E2449">
        <v>10.83</v>
      </c>
      <c r="F2449">
        <v>1.65</v>
      </c>
      <c r="G2449">
        <v>1.05</v>
      </c>
      <c r="H2449">
        <v>11192</v>
      </c>
      <c r="I2449">
        <v>4.15</v>
      </c>
      <c r="J2449">
        <v>40.13</v>
      </c>
      <c r="K2449" t="s">
        <v>1529</v>
      </c>
    </row>
    <row r="2450" spans="1:11">
      <c r="A2450" t="str">
        <f>"301020"</f>
        <v>301020</v>
      </c>
      <c r="B2450" t="s">
        <v>2787</v>
      </c>
      <c r="C2450">
        <v>33.67</v>
      </c>
      <c r="D2450">
        <v>12.03</v>
      </c>
      <c r="E2450">
        <v>9.64</v>
      </c>
      <c r="F2450">
        <v>1.46</v>
      </c>
      <c r="G2450">
        <v>1.46</v>
      </c>
      <c r="H2450">
        <v>10679</v>
      </c>
      <c r="I2450">
        <v>3.49</v>
      </c>
      <c r="J2450">
        <v>34.38</v>
      </c>
      <c r="K2450" t="s">
        <v>51</v>
      </c>
    </row>
    <row r="2451" spans="1:11">
      <c r="A2451" t="str">
        <f>"301021"</f>
        <v>301021</v>
      </c>
      <c r="B2451" t="s">
        <v>2788</v>
      </c>
      <c r="C2451">
        <v>76.16</v>
      </c>
      <c r="D2451">
        <v>12.15</v>
      </c>
      <c r="E2451">
        <v>10</v>
      </c>
      <c r="F2451">
        <v>1.53</v>
      </c>
      <c r="G2451">
        <v>1.53</v>
      </c>
      <c r="H2451">
        <v>19083</v>
      </c>
      <c r="I2451">
        <v>7.59</v>
      </c>
      <c r="J2451">
        <v>258.75</v>
      </c>
      <c r="K2451" t="s">
        <v>604</v>
      </c>
    </row>
    <row r="2452" spans="1:11">
      <c r="A2452" t="str">
        <f>"301022"</f>
        <v>301022</v>
      </c>
      <c r="B2452" t="s">
        <v>2789</v>
      </c>
      <c r="C2452">
        <v>21.86</v>
      </c>
      <c r="D2452">
        <v>22.12</v>
      </c>
      <c r="E2452">
        <v>14.16</v>
      </c>
      <c r="F2452">
        <v>0.99</v>
      </c>
      <c r="G2452">
        <v>0.67</v>
      </c>
      <c r="H2452">
        <v>13351</v>
      </c>
      <c r="I2452">
        <v>2.3</v>
      </c>
      <c r="J2452">
        <v>41.61</v>
      </c>
      <c r="K2452" t="s">
        <v>493</v>
      </c>
    </row>
    <row r="2453" spans="1:11">
      <c r="A2453" t="str">
        <f>"301023"</f>
        <v>301023</v>
      </c>
      <c r="B2453" t="s">
        <v>2790</v>
      </c>
      <c r="C2453">
        <v>18.8</v>
      </c>
      <c r="D2453">
        <v>9.26</v>
      </c>
      <c r="E2453">
        <v>8.51</v>
      </c>
      <c r="F2453">
        <v>0.78</v>
      </c>
      <c r="G2453">
        <v>0.42</v>
      </c>
      <c r="H2453">
        <v>11906</v>
      </c>
      <c r="I2453">
        <v>4.13</v>
      </c>
      <c r="J2453">
        <v>45.21</v>
      </c>
      <c r="K2453" t="s">
        <v>552</v>
      </c>
    </row>
    <row r="2454" spans="1:11">
      <c r="A2454" t="str">
        <f>"301024"</f>
        <v>301024</v>
      </c>
      <c r="B2454" t="s">
        <v>2791</v>
      </c>
      <c r="C2454">
        <v>22.45</v>
      </c>
      <c r="D2454">
        <v>6.2</v>
      </c>
      <c r="E2454">
        <v>4</v>
      </c>
      <c r="F2454">
        <v>0.64</v>
      </c>
      <c r="G2454">
        <v>0.6</v>
      </c>
      <c r="H2454">
        <v>7017</v>
      </c>
      <c r="I2454">
        <v>5.93</v>
      </c>
      <c r="J2454" t="s">
        <v>14</v>
      </c>
      <c r="K2454" t="s">
        <v>428</v>
      </c>
    </row>
    <row r="2455" spans="1:11">
      <c r="A2455" t="str">
        <f>"301025"</f>
        <v>301025</v>
      </c>
      <c r="B2455" t="s">
        <v>2792</v>
      </c>
      <c r="C2455">
        <v>31.43</v>
      </c>
      <c r="D2455">
        <v>6.87</v>
      </c>
      <c r="E2455">
        <v>6.19</v>
      </c>
      <c r="F2455">
        <v>4</v>
      </c>
      <c r="G2455">
        <v>2.77</v>
      </c>
      <c r="H2455">
        <v>15351</v>
      </c>
      <c r="I2455">
        <v>7.34</v>
      </c>
      <c r="J2455">
        <v>522.1</v>
      </c>
      <c r="K2455" t="s">
        <v>381</v>
      </c>
    </row>
    <row r="2456" spans="1:11">
      <c r="A2456" t="str">
        <f>"301026"</f>
        <v>301026</v>
      </c>
      <c r="B2456" t="s">
        <v>2793</v>
      </c>
      <c r="C2456">
        <v>35.52</v>
      </c>
      <c r="D2456">
        <v>46.28</v>
      </c>
      <c r="E2456">
        <v>16.19</v>
      </c>
      <c r="F2456">
        <v>1.58</v>
      </c>
      <c r="G2456">
        <v>1.12</v>
      </c>
      <c r="H2456">
        <v>13416</v>
      </c>
      <c r="I2456">
        <v>3.11</v>
      </c>
      <c r="J2456">
        <v>32.27</v>
      </c>
      <c r="K2456" t="s">
        <v>301</v>
      </c>
    </row>
    <row r="2457" spans="1:11">
      <c r="A2457" t="str">
        <f>"301027"</f>
        <v>301027</v>
      </c>
      <c r="B2457" t="s">
        <v>2794</v>
      </c>
      <c r="C2457">
        <v>23.59</v>
      </c>
      <c r="D2457">
        <v>21.18</v>
      </c>
      <c r="E2457">
        <v>9.52</v>
      </c>
      <c r="F2457">
        <v>1.47</v>
      </c>
      <c r="G2457">
        <v>1.18</v>
      </c>
      <c r="H2457">
        <v>11384</v>
      </c>
      <c r="I2457">
        <v>3.08</v>
      </c>
      <c r="J2457">
        <v>221.69</v>
      </c>
      <c r="K2457" t="s">
        <v>428</v>
      </c>
    </row>
    <row r="2458" spans="1:11">
      <c r="A2458" t="str">
        <f>"301028"</f>
        <v>301028</v>
      </c>
      <c r="B2458" t="s">
        <v>2795</v>
      </c>
      <c r="C2458">
        <v>37.74</v>
      </c>
      <c r="D2458">
        <v>27.9</v>
      </c>
      <c r="E2458">
        <v>16.5</v>
      </c>
      <c r="F2458">
        <v>3.84</v>
      </c>
      <c r="G2458">
        <v>2.48</v>
      </c>
      <c r="H2458">
        <v>17210</v>
      </c>
      <c r="I2458">
        <v>3.54</v>
      </c>
      <c r="J2458">
        <v>22.79</v>
      </c>
      <c r="K2458" t="s">
        <v>744</v>
      </c>
    </row>
    <row r="2459" spans="1:11">
      <c r="A2459" t="str">
        <f>"301029"</f>
        <v>301029</v>
      </c>
      <c r="B2459" t="s">
        <v>2796</v>
      </c>
      <c r="C2459">
        <v>125.95</v>
      </c>
      <c r="D2459">
        <v>48.5</v>
      </c>
      <c r="E2459">
        <v>42.54</v>
      </c>
      <c r="F2459">
        <v>6.34</v>
      </c>
      <c r="G2459">
        <v>4.62</v>
      </c>
      <c r="H2459">
        <v>32984</v>
      </c>
      <c r="I2459">
        <v>4.07</v>
      </c>
      <c r="J2459">
        <v>31.07</v>
      </c>
      <c r="K2459" t="s">
        <v>493</v>
      </c>
    </row>
    <row r="2460" spans="1:11">
      <c r="A2460" t="str">
        <f>"301030"</f>
        <v>301030</v>
      </c>
      <c r="B2460" t="s">
        <v>2797</v>
      </c>
      <c r="C2460">
        <v>28.19</v>
      </c>
      <c r="D2460">
        <v>95.9</v>
      </c>
      <c r="E2460">
        <v>8.41</v>
      </c>
      <c r="F2460">
        <v>2.02</v>
      </c>
      <c r="G2460">
        <v>2.02</v>
      </c>
      <c r="H2460">
        <v>20945</v>
      </c>
      <c r="I2460">
        <v>3.36</v>
      </c>
      <c r="J2460" t="s">
        <v>14</v>
      </c>
      <c r="K2460" t="s">
        <v>228</v>
      </c>
    </row>
    <row r="2461" spans="1:11">
      <c r="A2461" t="str">
        <f>"301031"</f>
        <v>301031</v>
      </c>
      <c r="B2461" t="s">
        <v>2798</v>
      </c>
      <c r="C2461">
        <v>82.51</v>
      </c>
      <c r="D2461">
        <v>27.89</v>
      </c>
      <c r="E2461">
        <v>14.07</v>
      </c>
      <c r="F2461">
        <v>0.98</v>
      </c>
      <c r="G2461">
        <v>0.69</v>
      </c>
      <c r="H2461">
        <v>12950</v>
      </c>
      <c r="I2461">
        <v>8.38</v>
      </c>
      <c r="J2461">
        <v>36.52</v>
      </c>
      <c r="K2461" t="s">
        <v>943</v>
      </c>
    </row>
    <row r="2462" spans="1:11">
      <c r="A2462" t="str">
        <f>"301032"</f>
        <v>301032</v>
      </c>
      <c r="B2462" t="s">
        <v>2799</v>
      </c>
      <c r="C2462">
        <v>20.45</v>
      </c>
      <c r="D2462">
        <v>28.6</v>
      </c>
      <c r="E2462">
        <v>12.06</v>
      </c>
      <c r="F2462">
        <v>2.41</v>
      </c>
      <c r="G2462">
        <v>1.6</v>
      </c>
      <c r="H2462">
        <v>15606</v>
      </c>
      <c r="I2462">
        <v>2.56</v>
      </c>
      <c r="J2462">
        <v>39.04</v>
      </c>
      <c r="K2462" t="s">
        <v>253</v>
      </c>
    </row>
    <row r="2463" spans="1:11">
      <c r="A2463" t="str">
        <f>"301033"</f>
        <v>301033</v>
      </c>
      <c r="B2463" t="s">
        <v>2800</v>
      </c>
      <c r="C2463">
        <v>41.65</v>
      </c>
      <c r="D2463">
        <v>8.45</v>
      </c>
      <c r="E2463">
        <v>7.51</v>
      </c>
      <c r="F2463">
        <v>0.67</v>
      </c>
      <c r="G2463">
        <v>0.56</v>
      </c>
      <c r="H2463">
        <v>6043</v>
      </c>
      <c r="I2463">
        <v>6.54</v>
      </c>
      <c r="J2463">
        <v>48.9</v>
      </c>
      <c r="K2463" t="s">
        <v>1173</v>
      </c>
    </row>
    <row r="2464" spans="1:11">
      <c r="A2464" t="str">
        <f>"301035"</f>
        <v>301035</v>
      </c>
      <c r="B2464" t="s">
        <v>2801</v>
      </c>
      <c r="C2464">
        <v>192.19</v>
      </c>
      <c r="D2464">
        <v>175.65</v>
      </c>
      <c r="E2464">
        <v>73.04</v>
      </c>
      <c r="F2464">
        <v>2.81</v>
      </c>
      <c r="G2464">
        <v>2.78</v>
      </c>
      <c r="H2464">
        <v>6630</v>
      </c>
      <c r="I2464">
        <v>2.66</v>
      </c>
      <c r="J2464">
        <v>16.37</v>
      </c>
      <c r="K2464" t="s">
        <v>196</v>
      </c>
    </row>
    <row r="2465" spans="1:11">
      <c r="A2465" t="str">
        <f>"301036"</f>
        <v>301036</v>
      </c>
      <c r="B2465" t="s">
        <v>2802</v>
      </c>
      <c r="C2465">
        <v>24.78</v>
      </c>
      <c r="D2465">
        <v>18.51</v>
      </c>
      <c r="E2465">
        <v>16.57</v>
      </c>
      <c r="F2465">
        <v>1</v>
      </c>
      <c r="G2465">
        <v>0.7</v>
      </c>
      <c r="H2465">
        <v>13179</v>
      </c>
      <c r="I2465">
        <v>2.12</v>
      </c>
      <c r="J2465">
        <v>53.34</v>
      </c>
      <c r="K2465" t="s">
        <v>246</v>
      </c>
    </row>
    <row r="2466" spans="1:11">
      <c r="A2466" t="str">
        <f>"301037"</f>
        <v>301037</v>
      </c>
      <c r="B2466" t="s">
        <v>2803</v>
      </c>
      <c r="C2466">
        <v>10.27</v>
      </c>
      <c r="D2466">
        <v>24.35</v>
      </c>
      <c r="E2466">
        <v>6.35</v>
      </c>
      <c r="F2466">
        <v>1.39</v>
      </c>
      <c r="G2466">
        <v>0.68</v>
      </c>
      <c r="H2466">
        <v>7078</v>
      </c>
      <c r="I2466">
        <v>3.31</v>
      </c>
      <c r="J2466">
        <v>222.4</v>
      </c>
      <c r="K2466" t="s">
        <v>246</v>
      </c>
    </row>
    <row r="2467" spans="1:11">
      <c r="A2467" t="str">
        <f>"301038"</f>
        <v>301038</v>
      </c>
      <c r="B2467" t="s">
        <v>2804</v>
      </c>
      <c r="C2467">
        <v>57.44</v>
      </c>
      <c r="D2467">
        <v>18.47</v>
      </c>
      <c r="E2467">
        <v>8.94</v>
      </c>
      <c r="F2467">
        <v>2.23</v>
      </c>
      <c r="G2467">
        <v>2.23</v>
      </c>
      <c r="H2467">
        <v>20397</v>
      </c>
      <c r="I2467">
        <v>6.43</v>
      </c>
      <c r="J2467">
        <v>272.52</v>
      </c>
      <c r="K2467" t="s">
        <v>428</v>
      </c>
    </row>
    <row r="2468" spans="1:11">
      <c r="A2468" t="str">
        <f>"301039"</f>
        <v>301039</v>
      </c>
      <c r="B2468" t="s">
        <v>2805</v>
      </c>
      <c r="C2468">
        <v>134.61</v>
      </c>
      <c r="D2468">
        <v>231.97</v>
      </c>
      <c r="E2468">
        <v>145.32</v>
      </c>
      <c r="F2468">
        <v>18.74</v>
      </c>
      <c r="G2468">
        <v>14.54</v>
      </c>
      <c r="H2468">
        <v>29809</v>
      </c>
      <c r="I2468">
        <v>1.19</v>
      </c>
      <c r="J2468">
        <v>20.94</v>
      </c>
      <c r="K2468" t="s">
        <v>226</v>
      </c>
    </row>
    <row r="2469" spans="1:11">
      <c r="A2469" t="str">
        <f>"301040"</f>
        <v>301040</v>
      </c>
      <c r="B2469" t="s">
        <v>2806</v>
      </c>
      <c r="C2469">
        <v>29.54</v>
      </c>
      <c r="D2469">
        <v>15.52</v>
      </c>
      <c r="E2469">
        <v>8.2</v>
      </c>
      <c r="F2469">
        <v>1</v>
      </c>
      <c r="G2469">
        <v>0.94</v>
      </c>
      <c r="H2469">
        <v>11707</v>
      </c>
      <c r="I2469">
        <v>4.29</v>
      </c>
      <c r="J2469" t="s">
        <v>14</v>
      </c>
      <c r="K2469" t="s">
        <v>456</v>
      </c>
    </row>
    <row r="2470" spans="1:11">
      <c r="A2470" t="str">
        <f>"301041"</f>
        <v>301041</v>
      </c>
      <c r="B2470" t="s">
        <v>2807</v>
      </c>
      <c r="C2470">
        <v>22.72</v>
      </c>
      <c r="D2470">
        <v>8.78</v>
      </c>
      <c r="E2470">
        <v>6.67</v>
      </c>
      <c r="F2470">
        <v>1.07</v>
      </c>
      <c r="G2470">
        <v>0.79</v>
      </c>
      <c r="H2470">
        <v>14631</v>
      </c>
      <c r="I2470">
        <v>4.6</v>
      </c>
      <c r="J2470">
        <v>327.67</v>
      </c>
      <c r="K2470" t="s">
        <v>472</v>
      </c>
    </row>
    <row r="2471" spans="1:11">
      <c r="A2471" t="str">
        <f>"301042"</f>
        <v>301042</v>
      </c>
      <c r="B2471" t="s">
        <v>2808</v>
      </c>
      <c r="C2471">
        <v>53.24</v>
      </c>
      <c r="D2471">
        <v>11.81</v>
      </c>
      <c r="E2471">
        <v>10.51</v>
      </c>
      <c r="F2471">
        <v>0.7</v>
      </c>
      <c r="G2471">
        <v>0.66</v>
      </c>
      <c r="H2471">
        <v>4974</v>
      </c>
      <c r="I2471">
        <v>5.35</v>
      </c>
      <c r="J2471">
        <v>278.17</v>
      </c>
      <c r="K2471" t="s">
        <v>1022</v>
      </c>
    </row>
    <row r="2472" spans="1:11">
      <c r="A2472" t="str">
        <f>"301043"</f>
        <v>301043</v>
      </c>
      <c r="B2472" t="s">
        <v>2809</v>
      </c>
      <c r="C2472">
        <v>43.55</v>
      </c>
      <c r="D2472">
        <v>12.27</v>
      </c>
      <c r="E2472">
        <v>8.38</v>
      </c>
      <c r="F2472">
        <v>0.68</v>
      </c>
      <c r="G2472">
        <v>0.57</v>
      </c>
      <c r="H2472">
        <v>6052</v>
      </c>
      <c r="I2472">
        <v>6.22</v>
      </c>
      <c r="J2472">
        <v>63.39</v>
      </c>
      <c r="K2472" t="s">
        <v>744</v>
      </c>
    </row>
    <row r="2473" spans="1:11">
      <c r="A2473" t="str">
        <f>"301045"</f>
        <v>301045</v>
      </c>
      <c r="B2473" t="s">
        <v>2810</v>
      </c>
      <c r="C2473">
        <v>22.29</v>
      </c>
      <c r="D2473">
        <v>14.86</v>
      </c>
      <c r="E2473">
        <v>10.25</v>
      </c>
      <c r="F2473">
        <v>1.1</v>
      </c>
      <c r="G2473">
        <v>0.64</v>
      </c>
      <c r="H2473">
        <v>9475</v>
      </c>
      <c r="I2473">
        <v>3.75</v>
      </c>
      <c r="J2473">
        <v>114.1</v>
      </c>
      <c r="K2473" t="s">
        <v>66</v>
      </c>
    </row>
    <row r="2474" spans="1:11">
      <c r="A2474" t="str">
        <f>"301046"</f>
        <v>301046</v>
      </c>
      <c r="B2474" t="s">
        <v>2811</v>
      </c>
      <c r="C2474">
        <v>34.78</v>
      </c>
      <c r="D2474">
        <v>18.42</v>
      </c>
      <c r="E2474">
        <v>8.42</v>
      </c>
      <c r="F2474">
        <v>1.68</v>
      </c>
      <c r="G2474">
        <v>1.29</v>
      </c>
      <c r="H2474">
        <v>12451</v>
      </c>
      <c r="I2474">
        <v>5.06</v>
      </c>
      <c r="J2474">
        <v>145.53</v>
      </c>
      <c r="K2474" t="s">
        <v>55</v>
      </c>
    </row>
    <row r="2475" spans="1:11">
      <c r="A2475" t="str">
        <f>"301047"</f>
        <v>301047</v>
      </c>
      <c r="B2475" t="s">
        <v>2812</v>
      </c>
      <c r="C2475">
        <v>96.02</v>
      </c>
      <c r="D2475">
        <v>54.78</v>
      </c>
      <c r="E2475">
        <v>52.77</v>
      </c>
      <c r="F2475">
        <v>1.22</v>
      </c>
      <c r="G2475">
        <v>1.2</v>
      </c>
      <c r="H2475">
        <v>19603</v>
      </c>
      <c r="I2475">
        <v>1.85</v>
      </c>
      <c r="J2475">
        <v>66.49</v>
      </c>
      <c r="K2475" t="s">
        <v>210</v>
      </c>
    </row>
    <row r="2476" spans="1:11">
      <c r="A2476" t="str">
        <f>"301048"</f>
        <v>301048</v>
      </c>
      <c r="B2476" t="s">
        <v>2813</v>
      </c>
      <c r="C2476">
        <v>62.08</v>
      </c>
      <c r="D2476">
        <v>57.07</v>
      </c>
      <c r="E2476">
        <v>27.42</v>
      </c>
      <c r="F2476">
        <v>5.33</v>
      </c>
      <c r="G2476">
        <v>5.33</v>
      </c>
      <c r="H2476">
        <v>22382</v>
      </c>
      <c r="I2476">
        <v>2.26</v>
      </c>
      <c r="J2476">
        <v>37.19</v>
      </c>
      <c r="K2476" t="s">
        <v>22</v>
      </c>
    </row>
    <row r="2477" spans="1:11">
      <c r="A2477" t="str">
        <f>"301049"</f>
        <v>301049</v>
      </c>
      <c r="B2477" t="s">
        <v>2814</v>
      </c>
      <c r="C2477">
        <v>9.9</v>
      </c>
      <c r="D2477">
        <v>12.19</v>
      </c>
      <c r="E2477">
        <v>5.97</v>
      </c>
      <c r="F2477">
        <v>0.94</v>
      </c>
      <c r="G2477">
        <v>0.43</v>
      </c>
      <c r="H2477">
        <v>7291</v>
      </c>
      <c r="I2477">
        <v>3.65</v>
      </c>
      <c r="J2477" t="s">
        <v>14</v>
      </c>
      <c r="K2477" t="s">
        <v>59</v>
      </c>
    </row>
    <row r="2478" spans="1:11">
      <c r="A2478" t="str">
        <f>"301050"</f>
        <v>301050</v>
      </c>
      <c r="B2478" t="s">
        <v>2815</v>
      </c>
      <c r="C2478">
        <v>135.58</v>
      </c>
      <c r="D2478">
        <v>37.61</v>
      </c>
      <c r="E2478">
        <v>30.93</v>
      </c>
      <c r="F2478">
        <v>2.47</v>
      </c>
      <c r="G2478">
        <v>2.1</v>
      </c>
      <c r="H2478">
        <v>39848</v>
      </c>
      <c r="I2478">
        <v>5.1</v>
      </c>
      <c r="J2478">
        <v>76.24</v>
      </c>
      <c r="K2478" t="s">
        <v>223</v>
      </c>
    </row>
    <row r="2479" spans="1:11">
      <c r="A2479" t="str">
        <f>"301051"</f>
        <v>301051</v>
      </c>
      <c r="B2479" t="s">
        <v>2816</v>
      </c>
      <c r="C2479">
        <v>32.51</v>
      </c>
      <c r="D2479">
        <v>45.02</v>
      </c>
      <c r="E2479">
        <v>22.05</v>
      </c>
      <c r="F2479">
        <v>2.03</v>
      </c>
      <c r="G2479">
        <v>1.61</v>
      </c>
      <c r="H2479">
        <v>11955</v>
      </c>
      <c r="I2479">
        <v>1.86</v>
      </c>
      <c r="J2479" t="s">
        <v>14</v>
      </c>
      <c r="K2479" t="s">
        <v>41</v>
      </c>
    </row>
    <row r="2480" spans="1:11">
      <c r="A2480" t="str">
        <f>"301052"</f>
        <v>301052</v>
      </c>
      <c r="B2480" t="s">
        <v>2817</v>
      </c>
      <c r="C2480">
        <v>36.63</v>
      </c>
      <c r="D2480">
        <v>10.29</v>
      </c>
      <c r="E2480">
        <v>7.21</v>
      </c>
      <c r="F2480">
        <v>0.99</v>
      </c>
      <c r="G2480">
        <v>0.8</v>
      </c>
      <c r="H2480">
        <v>16481</v>
      </c>
      <c r="I2480">
        <v>6.27</v>
      </c>
      <c r="J2480">
        <v>280.93</v>
      </c>
      <c r="K2480" t="s">
        <v>381</v>
      </c>
    </row>
    <row r="2481" spans="1:11">
      <c r="A2481" t="str">
        <f>"301053"</f>
        <v>301053</v>
      </c>
      <c r="B2481" t="s">
        <v>2818</v>
      </c>
      <c r="C2481">
        <v>28.76</v>
      </c>
      <c r="D2481">
        <v>13.98</v>
      </c>
      <c r="E2481">
        <v>7.26</v>
      </c>
      <c r="F2481">
        <v>0.84</v>
      </c>
      <c r="G2481">
        <v>0.77</v>
      </c>
      <c r="H2481">
        <v>4937</v>
      </c>
      <c r="I2481">
        <v>4.61</v>
      </c>
      <c r="J2481">
        <v>159.71</v>
      </c>
      <c r="K2481" t="s">
        <v>758</v>
      </c>
    </row>
    <row r="2482" spans="1:11">
      <c r="A2482" t="str">
        <f>"301055"</f>
        <v>301055</v>
      </c>
      <c r="B2482" t="s">
        <v>2819</v>
      </c>
      <c r="C2482">
        <v>38.24</v>
      </c>
      <c r="D2482">
        <v>9.74</v>
      </c>
      <c r="E2482">
        <v>6.54</v>
      </c>
      <c r="F2482">
        <v>1.56</v>
      </c>
      <c r="G2482">
        <v>1.56</v>
      </c>
      <c r="H2482">
        <v>7262</v>
      </c>
      <c r="I2482">
        <v>5.84</v>
      </c>
      <c r="J2482">
        <v>75.51</v>
      </c>
      <c r="K2482" t="s">
        <v>625</v>
      </c>
    </row>
    <row r="2483" spans="1:11">
      <c r="A2483" t="str">
        <f>"301056"</f>
        <v>301056</v>
      </c>
      <c r="B2483" t="s">
        <v>2820</v>
      </c>
      <c r="C2483">
        <v>29.02</v>
      </c>
      <c r="D2483">
        <v>13.09</v>
      </c>
      <c r="E2483">
        <v>8.2</v>
      </c>
      <c r="F2483">
        <v>2.67</v>
      </c>
      <c r="G2483">
        <v>1.76</v>
      </c>
      <c r="H2483">
        <v>9031</v>
      </c>
      <c r="I2483">
        <v>5.36</v>
      </c>
      <c r="J2483">
        <v>59.52</v>
      </c>
      <c r="K2483" t="s">
        <v>1155</v>
      </c>
    </row>
    <row r="2484" spans="1:11">
      <c r="A2484" t="str">
        <f>"301057"</f>
        <v>301057</v>
      </c>
      <c r="B2484" t="s">
        <v>2821</v>
      </c>
      <c r="C2484">
        <v>31.71</v>
      </c>
      <c r="D2484">
        <v>15.99</v>
      </c>
      <c r="E2484">
        <v>7.61</v>
      </c>
      <c r="F2484">
        <v>1.17</v>
      </c>
      <c r="G2484">
        <v>0.83</v>
      </c>
      <c r="H2484">
        <v>5694</v>
      </c>
      <c r="I2484">
        <v>5.9</v>
      </c>
      <c r="J2484">
        <v>109.59</v>
      </c>
      <c r="K2484" t="s">
        <v>122</v>
      </c>
    </row>
    <row r="2485" spans="1:11">
      <c r="A2485" t="str">
        <f>"301058"</f>
        <v>301058</v>
      </c>
      <c r="B2485" t="s">
        <v>2822</v>
      </c>
      <c r="C2485">
        <v>58.35</v>
      </c>
      <c r="D2485">
        <v>46.15</v>
      </c>
      <c r="E2485">
        <v>21.87</v>
      </c>
      <c r="F2485">
        <v>5.12</v>
      </c>
      <c r="G2485">
        <v>5.12</v>
      </c>
      <c r="H2485">
        <v>22693</v>
      </c>
      <c r="I2485">
        <v>2.67</v>
      </c>
      <c r="J2485">
        <v>37.06</v>
      </c>
      <c r="K2485" t="s">
        <v>428</v>
      </c>
    </row>
    <row r="2486" spans="1:11">
      <c r="A2486" t="str">
        <f>"301059"</f>
        <v>301059</v>
      </c>
      <c r="B2486" t="s">
        <v>2823</v>
      </c>
      <c r="C2486">
        <v>27.62</v>
      </c>
      <c r="D2486">
        <v>8.29</v>
      </c>
      <c r="E2486">
        <v>6.11</v>
      </c>
      <c r="F2486">
        <v>2.31</v>
      </c>
      <c r="G2486">
        <v>2.07</v>
      </c>
      <c r="H2486">
        <v>9327</v>
      </c>
      <c r="I2486">
        <v>5.05</v>
      </c>
      <c r="J2486">
        <v>43.49</v>
      </c>
      <c r="K2486" t="s">
        <v>348</v>
      </c>
    </row>
    <row r="2487" spans="1:11">
      <c r="A2487" t="str">
        <f>"301060"</f>
        <v>301060</v>
      </c>
      <c r="B2487" t="s">
        <v>2824</v>
      </c>
      <c r="C2487">
        <v>49.27</v>
      </c>
      <c r="D2487">
        <v>24.31</v>
      </c>
      <c r="E2487">
        <v>15.78</v>
      </c>
      <c r="F2487">
        <v>4.01</v>
      </c>
      <c r="G2487">
        <v>3.6</v>
      </c>
      <c r="H2487">
        <v>21745</v>
      </c>
      <c r="I2487">
        <v>3.47</v>
      </c>
      <c r="J2487" t="s">
        <v>14</v>
      </c>
      <c r="K2487" t="s">
        <v>368</v>
      </c>
    </row>
    <row r="2488" spans="1:11">
      <c r="A2488" t="str">
        <f>"301061"</f>
        <v>301061</v>
      </c>
      <c r="B2488" t="s">
        <v>2825</v>
      </c>
      <c r="C2488">
        <v>129.92</v>
      </c>
      <c r="D2488">
        <v>51.19</v>
      </c>
      <c r="E2488">
        <v>40.28</v>
      </c>
      <c r="F2488">
        <v>2.19</v>
      </c>
      <c r="G2488">
        <v>1.45</v>
      </c>
      <c r="H2488">
        <v>7450</v>
      </c>
      <c r="I2488">
        <v>4.83</v>
      </c>
      <c r="J2488">
        <v>22.31</v>
      </c>
      <c r="K2488" t="s">
        <v>540</v>
      </c>
    </row>
    <row r="2489" spans="1:11">
      <c r="A2489" t="str">
        <f>"301062"</f>
        <v>301062</v>
      </c>
      <c r="B2489" t="s">
        <v>2826</v>
      </c>
      <c r="C2489">
        <v>27.39</v>
      </c>
      <c r="D2489">
        <v>28.88</v>
      </c>
      <c r="E2489">
        <v>14.66</v>
      </c>
      <c r="F2489">
        <v>4.32</v>
      </c>
      <c r="G2489">
        <v>3.12</v>
      </c>
      <c r="H2489">
        <v>15798</v>
      </c>
      <c r="I2489">
        <v>2.61</v>
      </c>
      <c r="J2489" t="s">
        <v>14</v>
      </c>
      <c r="K2489" t="s">
        <v>460</v>
      </c>
    </row>
    <row r="2490" spans="1:11">
      <c r="A2490" t="str">
        <f>"301063"</f>
        <v>301063</v>
      </c>
      <c r="B2490" t="s">
        <v>2827</v>
      </c>
      <c r="C2490">
        <v>24.45</v>
      </c>
      <c r="D2490">
        <v>25.98</v>
      </c>
      <c r="E2490">
        <v>15.68</v>
      </c>
      <c r="F2490">
        <v>1.04</v>
      </c>
      <c r="G2490">
        <v>0.97</v>
      </c>
      <c r="H2490">
        <v>9816</v>
      </c>
      <c r="I2490">
        <v>1.68</v>
      </c>
      <c r="J2490">
        <v>40.34</v>
      </c>
      <c r="K2490" t="s">
        <v>456</v>
      </c>
    </row>
    <row r="2491" spans="1:11">
      <c r="A2491" t="str">
        <f>"301065"</f>
        <v>301065</v>
      </c>
      <c r="B2491" t="s">
        <v>2828</v>
      </c>
      <c r="C2491">
        <v>19.55</v>
      </c>
      <c r="D2491">
        <v>16.11</v>
      </c>
      <c r="E2491">
        <v>13.42</v>
      </c>
      <c r="F2491">
        <v>1.06</v>
      </c>
      <c r="G2491">
        <v>0.86</v>
      </c>
      <c r="H2491">
        <v>10274</v>
      </c>
      <c r="I2491">
        <v>1.79</v>
      </c>
      <c r="J2491">
        <v>32.3</v>
      </c>
      <c r="K2491" t="s">
        <v>404</v>
      </c>
    </row>
    <row r="2492" spans="1:11">
      <c r="A2492" t="str">
        <f>"301066"</f>
        <v>301066</v>
      </c>
      <c r="B2492" t="s">
        <v>2829</v>
      </c>
      <c r="C2492">
        <v>42.27</v>
      </c>
      <c r="D2492">
        <v>16.58</v>
      </c>
      <c r="E2492">
        <v>12.53</v>
      </c>
      <c r="F2492">
        <v>2.35</v>
      </c>
      <c r="G2492">
        <v>1.89</v>
      </c>
      <c r="H2492">
        <v>12687</v>
      </c>
      <c r="I2492">
        <v>4.2</v>
      </c>
      <c r="J2492">
        <v>196.39</v>
      </c>
      <c r="K2492" t="s">
        <v>577</v>
      </c>
    </row>
    <row r="2493" spans="1:11">
      <c r="A2493" t="str">
        <f>"301067"</f>
        <v>301067</v>
      </c>
      <c r="B2493" t="s">
        <v>2830</v>
      </c>
      <c r="C2493">
        <v>23.14</v>
      </c>
      <c r="D2493">
        <v>11.99</v>
      </c>
      <c r="E2493">
        <v>8.29</v>
      </c>
      <c r="F2493">
        <v>0.97</v>
      </c>
      <c r="G2493">
        <v>0.64</v>
      </c>
      <c r="H2493">
        <v>11607</v>
      </c>
      <c r="I2493">
        <v>4.25</v>
      </c>
      <c r="J2493" t="s">
        <v>14</v>
      </c>
      <c r="K2493" t="s">
        <v>41</v>
      </c>
    </row>
    <row r="2494" spans="1:11">
      <c r="A2494" t="str">
        <f>"301068"</f>
        <v>301068</v>
      </c>
      <c r="B2494" t="s">
        <v>2831</v>
      </c>
      <c r="C2494">
        <v>28.27</v>
      </c>
      <c r="D2494">
        <v>16.37</v>
      </c>
      <c r="E2494">
        <v>7.91</v>
      </c>
      <c r="F2494">
        <v>1.41</v>
      </c>
      <c r="G2494">
        <v>1.01</v>
      </c>
      <c r="H2494">
        <v>4007</v>
      </c>
      <c r="I2494">
        <v>5.01</v>
      </c>
      <c r="J2494" t="s">
        <v>14</v>
      </c>
      <c r="K2494" t="s">
        <v>59</v>
      </c>
    </row>
    <row r="2495" spans="1:11">
      <c r="A2495" t="str">
        <f>"301069"</f>
        <v>301069</v>
      </c>
      <c r="B2495" t="s">
        <v>2832</v>
      </c>
      <c r="C2495">
        <v>113.67</v>
      </c>
      <c r="D2495">
        <v>24.45</v>
      </c>
      <c r="E2495">
        <v>17.32</v>
      </c>
      <c r="F2495">
        <v>4.46</v>
      </c>
      <c r="G2495">
        <v>4.2</v>
      </c>
      <c r="H2495">
        <v>48346</v>
      </c>
      <c r="I2495">
        <v>7.24</v>
      </c>
      <c r="J2495">
        <v>78.28</v>
      </c>
      <c r="K2495" t="s">
        <v>348</v>
      </c>
    </row>
    <row r="2496" spans="1:11">
      <c r="A2496" t="str">
        <f>"301070"</f>
        <v>301070</v>
      </c>
      <c r="B2496" t="s">
        <v>2833</v>
      </c>
      <c r="C2496">
        <v>37.39</v>
      </c>
      <c r="D2496">
        <v>10.23</v>
      </c>
      <c r="E2496">
        <v>7.87</v>
      </c>
      <c r="F2496">
        <v>0.9</v>
      </c>
      <c r="G2496">
        <v>0.59</v>
      </c>
      <c r="H2496">
        <v>7724</v>
      </c>
      <c r="I2496">
        <v>7.23</v>
      </c>
      <c r="J2496">
        <v>197.14</v>
      </c>
      <c r="K2496" t="s">
        <v>744</v>
      </c>
    </row>
    <row r="2497" spans="1:11">
      <c r="A2497" t="str">
        <f>"301071"</f>
        <v>301071</v>
      </c>
      <c r="B2497" t="s">
        <v>2834</v>
      </c>
      <c r="C2497">
        <v>73.79</v>
      </c>
      <c r="D2497">
        <v>67.18</v>
      </c>
      <c r="E2497">
        <v>52.93</v>
      </c>
      <c r="F2497">
        <v>2.6</v>
      </c>
      <c r="G2497">
        <v>1.95</v>
      </c>
      <c r="H2497">
        <v>26264</v>
      </c>
      <c r="I2497">
        <v>1.86</v>
      </c>
      <c r="J2497">
        <v>159.97</v>
      </c>
      <c r="K2497" t="s">
        <v>682</v>
      </c>
    </row>
    <row r="2498" spans="1:11">
      <c r="A2498" t="str">
        <f>"301072"</f>
        <v>301072</v>
      </c>
      <c r="B2498" t="s">
        <v>2835</v>
      </c>
      <c r="C2498">
        <v>15.38</v>
      </c>
      <c r="D2498">
        <v>13.3</v>
      </c>
      <c r="E2498">
        <v>7.5</v>
      </c>
      <c r="F2498">
        <v>1.05</v>
      </c>
      <c r="G2498">
        <v>0.67</v>
      </c>
      <c r="H2498">
        <v>7883</v>
      </c>
      <c r="I2498">
        <v>3.21</v>
      </c>
      <c r="J2498" t="s">
        <v>14</v>
      </c>
      <c r="K2498" t="s">
        <v>51</v>
      </c>
    </row>
    <row r="2499" spans="1:11">
      <c r="A2499" t="str">
        <f>"301073"</f>
        <v>301073</v>
      </c>
      <c r="B2499" t="s">
        <v>2836</v>
      </c>
      <c r="C2499">
        <v>54.88</v>
      </c>
      <c r="D2499">
        <v>24.41</v>
      </c>
      <c r="E2499">
        <v>9.55</v>
      </c>
      <c r="F2499">
        <v>1.94</v>
      </c>
      <c r="G2499">
        <v>1.78</v>
      </c>
      <c r="H2499">
        <v>17718</v>
      </c>
      <c r="I2499">
        <v>6.27</v>
      </c>
      <c r="J2499">
        <v>453.57</v>
      </c>
      <c r="K2499" t="s">
        <v>159</v>
      </c>
    </row>
    <row r="2500" spans="1:11">
      <c r="A2500" t="str">
        <f>"301075"</f>
        <v>301075</v>
      </c>
      <c r="B2500" t="s">
        <v>2837</v>
      </c>
      <c r="C2500">
        <v>45</v>
      </c>
      <c r="D2500">
        <v>14.47</v>
      </c>
      <c r="E2500">
        <v>5.97</v>
      </c>
      <c r="F2500">
        <v>0.8</v>
      </c>
      <c r="G2500">
        <v>0.8</v>
      </c>
      <c r="H2500">
        <v>6361</v>
      </c>
      <c r="I2500">
        <v>7.54</v>
      </c>
      <c r="J2500" t="s">
        <v>14</v>
      </c>
      <c r="K2500" t="s">
        <v>109</v>
      </c>
    </row>
    <row r="2501" spans="1:11">
      <c r="A2501" t="str">
        <f>"301076"</f>
        <v>301076</v>
      </c>
      <c r="B2501" t="s">
        <v>2838</v>
      </c>
      <c r="C2501">
        <v>51.44</v>
      </c>
      <c r="D2501">
        <v>12.73</v>
      </c>
      <c r="E2501">
        <v>11.72</v>
      </c>
      <c r="F2501">
        <v>1.75</v>
      </c>
      <c r="G2501">
        <v>1.1</v>
      </c>
      <c r="H2501">
        <v>30300</v>
      </c>
      <c r="I2501">
        <v>6.99</v>
      </c>
      <c r="J2501">
        <v>119.23</v>
      </c>
      <c r="K2501" t="s">
        <v>511</v>
      </c>
    </row>
    <row r="2502" spans="1:11">
      <c r="A2502" t="str">
        <f>"301077"</f>
        <v>301077</v>
      </c>
      <c r="B2502" t="s">
        <v>2839</v>
      </c>
      <c r="C2502">
        <v>31.65</v>
      </c>
      <c r="D2502">
        <v>18.06</v>
      </c>
      <c r="E2502">
        <v>11.45</v>
      </c>
      <c r="F2502">
        <v>1.7</v>
      </c>
      <c r="G2502">
        <v>0.95</v>
      </c>
      <c r="H2502">
        <v>10579</v>
      </c>
      <c r="I2502">
        <v>4.93</v>
      </c>
      <c r="J2502">
        <v>39.23</v>
      </c>
      <c r="K2502" t="s">
        <v>511</v>
      </c>
    </row>
    <row r="2503" spans="1:11">
      <c r="A2503" t="str">
        <f>"301078"</f>
        <v>301078</v>
      </c>
      <c r="B2503" t="s">
        <v>2840</v>
      </c>
      <c r="C2503">
        <v>145.61</v>
      </c>
      <c r="D2503">
        <v>108.69</v>
      </c>
      <c r="E2503">
        <v>41.54</v>
      </c>
      <c r="F2503">
        <v>12.61</v>
      </c>
      <c r="G2503">
        <v>12.54</v>
      </c>
      <c r="H2503">
        <v>79004</v>
      </c>
      <c r="I2503">
        <v>3.53</v>
      </c>
      <c r="J2503">
        <v>52.51</v>
      </c>
      <c r="K2503" t="s">
        <v>477</v>
      </c>
    </row>
    <row r="2504" spans="1:11">
      <c r="A2504" t="str">
        <f>"301079"</f>
        <v>301079</v>
      </c>
      <c r="B2504" t="s">
        <v>2841</v>
      </c>
      <c r="C2504">
        <v>38.13</v>
      </c>
      <c r="D2504">
        <v>8.75</v>
      </c>
      <c r="E2504">
        <v>4.73</v>
      </c>
      <c r="F2504">
        <v>1.09</v>
      </c>
      <c r="G2504">
        <v>0.7</v>
      </c>
      <c r="H2504">
        <v>23429</v>
      </c>
      <c r="I2504">
        <v>12.64</v>
      </c>
      <c r="J2504">
        <v>1819.55</v>
      </c>
      <c r="K2504" t="s">
        <v>641</v>
      </c>
    </row>
    <row r="2505" spans="1:11">
      <c r="A2505" t="str">
        <f>"301080"</f>
        <v>301080</v>
      </c>
      <c r="B2505" t="s">
        <v>2842</v>
      </c>
      <c r="C2505">
        <v>75.55</v>
      </c>
      <c r="D2505">
        <v>29.3</v>
      </c>
      <c r="E2505">
        <v>26.42</v>
      </c>
      <c r="F2505">
        <v>1.67</v>
      </c>
      <c r="G2505">
        <v>1.26</v>
      </c>
      <c r="H2505">
        <v>10602</v>
      </c>
      <c r="I2505">
        <v>3.81</v>
      </c>
      <c r="J2505">
        <v>56.77</v>
      </c>
      <c r="K2505" t="s">
        <v>210</v>
      </c>
    </row>
    <row r="2506" spans="1:11">
      <c r="A2506" t="str">
        <f>"301081"</f>
        <v>301081</v>
      </c>
      <c r="B2506" t="s">
        <v>2843</v>
      </c>
      <c r="C2506">
        <v>22.93</v>
      </c>
      <c r="D2506">
        <v>23.82</v>
      </c>
      <c r="E2506">
        <v>11.14</v>
      </c>
      <c r="F2506">
        <v>2.27</v>
      </c>
      <c r="G2506">
        <v>2.18</v>
      </c>
      <c r="H2506">
        <v>8302</v>
      </c>
      <c r="I2506">
        <v>2.22</v>
      </c>
      <c r="J2506">
        <v>126.62</v>
      </c>
      <c r="K2506" t="s">
        <v>228</v>
      </c>
    </row>
    <row r="2507" spans="1:11">
      <c r="A2507" t="str">
        <f>"301082"</f>
        <v>301082</v>
      </c>
      <c r="B2507" t="s">
        <v>2844</v>
      </c>
      <c r="C2507">
        <v>41.16</v>
      </c>
      <c r="D2507">
        <v>38.45</v>
      </c>
      <c r="E2507">
        <v>10.35</v>
      </c>
      <c r="F2507">
        <v>2.26</v>
      </c>
      <c r="G2507">
        <v>2.09</v>
      </c>
      <c r="H2507">
        <v>22869</v>
      </c>
      <c r="I2507">
        <v>4.3</v>
      </c>
      <c r="J2507">
        <v>102.46</v>
      </c>
      <c r="K2507" t="s">
        <v>383</v>
      </c>
    </row>
    <row r="2508" spans="1:11">
      <c r="A2508" t="str">
        <f>"301083"</f>
        <v>301083</v>
      </c>
      <c r="B2508" t="s">
        <v>2845</v>
      </c>
      <c r="C2508">
        <v>17.34</v>
      </c>
      <c r="D2508">
        <v>10.38</v>
      </c>
      <c r="E2508">
        <v>8.35</v>
      </c>
      <c r="F2508">
        <v>1.78</v>
      </c>
      <c r="G2508">
        <v>0.86</v>
      </c>
      <c r="H2508">
        <v>13057</v>
      </c>
      <c r="I2508">
        <v>4.31</v>
      </c>
      <c r="J2508">
        <v>85.23</v>
      </c>
      <c r="K2508" t="s">
        <v>493</v>
      </c>
    </row>
    <row r="2509" spans="1:11">
      <c r="A2509" t="str">
        <f>"301085"</f>
        <v>301085</v>
      </c>
      <c r="B2509" t="s">
        <v>2846</v>
      </c>
      <c r="C2509">
        <v>35.43</v>
      </c>
      <c r="D2509">
        <v>18.01</v>
      </c>
      <c r="E2509">
        <v>10.73</v>
      </c>
      <c r="F2509">
        <v>0.87</v>
      </c>
      <c r="G2509">
        <v>0.59</v>
      </c>
      <c r="H2509">
        <v>14695</v>
      </c>
      <c r="I2509">
        <v>4.86</v>
      </c>
      <c r="J2509">
        <v>1445.46</v>
      </c>
      <c r="K2509" t="s">
        <v>57</v>
      </c>
    </row>
    <row r="2510" spans="1:11">
      <c r="A2510" t="str">
        <f>"301086"</f>
        <v>301086</v>
      </c>
      <c r="B2510" t="s">
        <v>2847</v>
      </c>
      <c r="C2510">
        <v>55.91</v>
      </c>
      <c r="D2510">
        <v>29.97</v>
      </c>
      <c r="E2510">
        <v>19.32</v>
      </c>
      <c r="F2510">
        <v>0.9</v>
      </c>
      <c r="G2510">
        <v>0.47</v>
      </c>
      <c r="H2510">
        <v>11653</v>
      </c>
      <c r="I2510">
        <v>5.5</v>
      </c>
      <c r="J2510">
        <v>97.63</v>
      </c>
      <c r="K2510" t="s">
        <v>41</v>
      </c>
    </row>
    <row r="2511" spans="1:11">
      <c r="A2511" t="str">
        <f>"301087"</f>
        <v>301087</v>
      </c>
      <c r="B2511" t="s">
        <v>2848</v>
      </c>
      <c r="C2511">
        <v>115.58</v>
      </c>
      <c r="D2511">
        <v>65.4</v>
      </c>
      <c r="E2511">
        <v>47.14</v>
      </c>
      <c r="F2511">
        <v>2.09</v>
      </c>
      <c r="G2511">
        <v>1.94</v>
      </c>
      <c r="H2511">
        <v>16000</v>
      </c>
      <c r="I2511">
        <v>2.64</v>
      </c>
      <c r="J2511">
        <v>35.82</v>
      </c>
      <c r="K2511" t="s">
        <v>1005</v>
      </c>
    </row>
    <row r="2512" spans="1:11">
      <c r="A2512" t="str">
        <f>"301088"</f>
        <v>301088</v>
      </c>
      <c r="B2512" t="s">
        <v>2849</v>
      </c>
      <c r="C2512">
        <v>33.85</v>
      </c>
      <c r="D2512">
        <v>25.69</v>
      </c>
      <c r="E2512">
        <v>25.1</v>
      </c>
      <c r="F2512">
        <v>2.28</v>
      </c>
      <c r="G2512">
        <v>1.88</v>
      </c>
      <c r="H2512">
        <v>16842</v>
      </c>
      <c r="I2512">
        <v>1.64</v>
      </c>
      <c r="J2512">
        <v>71.16</v>
      </c>
      <c r="K2512" t="s">
        <v>622</v>
      </c>
    </row>
    <row r="2513" spans="1:11">
      <c r="A2513" t="str">
        <f>"301089"</f>
        <v>301089</v>
      </c>
      <c r="B2513" t="s">
        <v>2850</v>
      </c>
      <c r="C2513">
        <v>27.94</v>
      </c>
      <c r="D2513">
        <v>16.89</v>
      </c>
      <c r="E2513">
        <v>15.22</v>
      </c>
      <c r="F2513">
        <v>1.27</v>
      </c>
      <c r="G2513">
        <v>0.91</v>
      </c>
      <c r="H2513">
        <v>18114</v>
      </c>
      <c r="I2513">
        <v>2.55</v>
      </c>
      <c r="J2513" t="s">
        <v>14</v>
      </c>
      <c r="K2513" t="s">
        <v>404</v>
      </c>
    </row>
    <row r="2514" spans="1:11">
      <c r="A2514" t="str">
        <f>"301090"</f>
        <v>301090</v>
      </c>
      <c r="B2514" t="s">
        <v>2851</v>
      </c>
      <c r="C2514">
        <v>106.79</v>
      </c>
      <c r="D2514">
        <v>84.97</v>
      </c>
      <c r="E2514">
        <v>63.64</v>
      </c>
      <c r="F2514">
        <v>14.72</v>
      </c>
      <c r="G2514">
        <v>14.71</v>
      </c>
      <c r="H2514">
        <v>23119</v>
      </c>
      <c r="I2514">
        <v>1.7</v>
      </c>
      <c r="J2514" t="s">
        <v>14</v>
      </c>
      <c r="K2514" t="s">
        <v>601</v>
      </c>
    </row>
    <row r="2515" spans="1:11">
      <c r="A2515" t="str">
        <f>"301091"</f>
        <v>301091</v>
      </c>
      <c r="B2515" t="s">
        <v>2852</v>
      </c>
      <c r="C2515">
        <v>154.07</v>
      </c>
      <c r="D2515">
        <v>34.23</v>
      </c>
      <c r="E2515">
        <v>23.67</v>
      </c>
      <c r="F2515">
        <v>5.27</v>
      </c>
      <c r="G2515">
        <v>5.27</v>
      </c>
      <c r="H2515">
        <v>31349</v>
      </c>
      <c r="I2515">
        <v>6.51</v>
      </c>
      <c r="J2515">
        <v>268.31</v>
      </c>
      <c r="K2515" t="s">
        <v>428</v>
      </c>
    </row>
    <row r="2516" spans="1:11">
      <c r="A2516" t="str">
        <f>"301092"</f>
        <v>301092</v>
      </c>
      <c r="B2516" t="s">
        <v>2853</v>
      </c>
      <c r="C2516">
        <v>23.56</v>
      </c>
      <c r="D2516">
        <v>22.21</v>
      </c>
      <c r="E2516">
        <v>19.39</v>
      </c>
      <c r="F2516">
        <v>1.35</v>
      </c>
      <c r="G2516">
        <v>0.61</v>
      </c>
      <c r="H2516">
        <v>11607</v>
      </c>
      <c r="I2516">
        <v>2.69</v>
      </c>
      <c r="J2516">
        <v>49.54</v>
      </c>
      <c r="K2516" t="s">
        <v>601</v>
      </c>
    </row>
    <row r="2517" spans="1:11">
      <c r="A2517" t="str">
        <f>"301093"</f>
        <v>301093</v>
      </c>
      <c r="B2517" t="s">
        <v>2854</v>
      </c>
      <c r="C2517">
        <v>109.23</v>
      </c>
      <c r="D2517">
        <v>25.18</v>
      </c>
      <c r="E2517">
        <v>21.74</v>
      </c>
      <c r="F2517">
        <v>1.64</v>
      </c>
      <c r="G2517">
        <v>1.57</v>
      </c>
      <c r="H2517">
        <v>13278</v>
      </c>
      <c r="I2517">
        <v>5.26</v>
      </c>
      <c r="J2517">
        <v>160.76</v>
      </c>
      <c r="K2517" t="s">
        <v>1173</v>
      </c>
    </row>
    <row r="2518" spans="1:11">
      <c r="A2518" t="str">
        <f>"301095"</f>
        <v>301095</v>
      </c>
      <c r="B2518" t="s">
        <v>2855</v>
      </c>
      <c r="C2518">
        <v>136.55</v>
      </c>
      <c r="D2518">
        <v>34.45</v>
      </c>
      <c r="E2518">
        <v>31.36</v>
      </c>
      <c r="F2518">
        <v>2</v>
      </c>
      <c r="G2518">
        <v>1.75</v>
      </c>
      <c r="H2518">
        <v>20559</v>
      </c>
      <c r="I2518">
        <v>5</v>
      </c>
      <c r="J2518">
        <v>317.53</v>
      </c>
      <c r="K2518" t="s">
        <v>691</v>
      </c>
    </row>
    <row r="2519" spans="1:11">
      <c r="A2519" t="str">
        <f>"301096"</f>
        <v>301096</v>
      </c>
      <c r="B2519" t="s">
        <v>2856</v>
      </c>
      <c r="C2519">
        <v>48.86</v>
      </c>
      <c r="D2519">
        <v>39.47</v>
      </c>
      <c r="E2519">
        <v>25.85</v>
      </c>
      <c r="F2519">
        <v>1.09</v>
      </c>
      <c r="G2519">
        <v>0.83</v>
      </c>
      <c r="H2519">
        <v>10081</v>
      </c>
      <c r="I2519">
        <v>2.49</v>
      </c>
      <c r="J2519">
        <v>789.5</v>
      </c>
      <c r="K2519" t="s">
        <v>1595</v>
      </c>
    </row>
    <row r="2520" spans="1:11">
      <c r="A2520" t="str">
        <f>"301097"</f>
        <v>301097</v>
      </c>
      <c r="B2520" t="s">
        <v>2857</v>
      </c>
      <c r="C2520">
        <v>16.59</v>
      </c>
      <c r="D2520">
        <v>20.7</v>
      </c>
      <c r="E2520">
        <v>11.82</v>
      </c>
      <c r="F2520">
        <v>0.59</v>
      </c>
      <c r="G2520">
        <v>0.29</v>
      </c>
      <c r="H2520">
        <v>5135</v>
      </c>
      <c r="I2520">
        <v>2.86</v>
      </c>
      <c r="J2520">
        <v>126.11</v>
      </c>
      <c r="K2520" t="s">
        <v>1173</v>
      </c>
    </row>
    <row r="2521" spans="1:11">
      <c r="A2521" t="str">
        <f>"301098"</f>
        <v>301098</v>
      </c>
      <c r="B2521" t="s">
        <v>2858</v>
      </c>
      <c r="C2521">
        <v>13.22</v>
      </c>
      <c r="D2521">
        <v>32.81</v>
      </c>
      <c r="E2521">
        <v>12.21</v>
      </c>
      <c r="F2521">
        <v>1.84</v>
      </c>
      <c r="G2521">
        <v>1.5</v>
      </c>
      <c r="H2521">
        <v>10438</v>
      </c>
      <c r="I2521">
        <v>1.36</v>
      </c>
      <c r="J2521" t="s">
        <v>14</v>
      </c>
      <c r="K2521" t="s">
        <v>26</v>
      </c>
    </row>
    <row r="2522" spans="1:11">
      <c r="A2522" t="str">
        <f>"301099"</f>
        <v>301099</v>
      </c>
      <c r="B2522" t="s">
        <v>2859</v>
      </c>
      <c r="C2522">
        <v>42.89</v>
      </c>
      <c r="D2522">
        <v>45.02</v>
      </c>
      <c r="E2522">
        <v>12.96</v>
      </c>
      <c r="F2522">
        <v>1.47</v>
      </c>
      <c r="G2522">
        <v>0.9</v>
      </c>
      <c r="H2522">
        <v>20000</v>
      </c>
      <c r="I2522">
        <v>5.41</v>
      </c>
      <c r="J2522">
        <v>63.49</v>
      </c>
      <c r="K2522" t="s">
        <v>82</v>
      </c>
    </row>
    <row r="2523" spans="1:11">
      <c r="A2523" t="str">
        <f>"301100"</f>
        <v>301100</v>
      </c>
      <c r="B2523" t="s">
        <v>2860</v>
      </c>
      <c r="C2523">
        <v>18.94</v>
      </c>
      <c r="D2523">
        <v>22.71</v>
      </c>
      <c r="E2523">
        <v>19.95</v>
      </c>
      <c r="F2523">
        <v>2</v>
      </c>
      <c r="G2523">
        <v>0.88</v>
      </c>
      <c r="H2523">
        <v>12230</v>
      </c>
      <c r="I2523">
        <v>2.17</v>
      </c>
      <c r="J2523" t="s">
        <v>14</v>
      </c>
      <c r="K2523" t="s">
        <v>1529</v>
      </c>
    </row>
    <row r="2524" spans="1:11">
      <c r="A2524" t="str">
        <f>"301101"</f>
        <v>301101</v>
      </c>
      <c r="B2524" t="s">
        <v>2861</v>
      </c>
      <c r="C2524">
        <v>89.69</v>
      </c>
      <c r="D2524">
        <v>20.01</v>
      </c>
      <c r="E2524">
        <v>17.18</v>
      </c>
      <c r="F2524">
        <v>2.02</v>
      </c>
      <c r="G2524">
        <v>1.91</v>
      </c>
      <c r="H2524">
        <v>20034</v>
      </c>
      <c r="I2524">
        <v>5.51</v>
      </c>
      <c r="J2524">
        <v>47.62</v>
      </c>
      <c r="K2524" t="s">
        <v>867</v>
      </c>
    </row>
    <row r="2525" spans="1:11">
      <c r="A2525" t="str">
        <f>"301102"</f>
        <v>301102</v>
      </c>
      <c r="B2525" t="s">
        <v>2862</v>
      </c>
      <c r="C2525">
        <v>56.43</v>
      </c>
      <c r="D2525">
        <v>40.71</v>
      </c>
      <c r="E2525">
        <v>30.07</v>
      </c>
      <c r="F2525">
        <v>4.06</v>
      </c>
      <c r="G2525">
        <v>4.06</v>
      </c>
      <c r="H2525">
        <v>14028</v>
      </c>
      <c r="I2525">
        <v>1.88</v>
      </c>
      <c r="J2525">
        <v>126.57</v>
      </c>
      <c r="K2525" t="s">
        <v>283</v>
      </c>
    </row>
    <row r="2526" spans="1:11">
      <c r="A2526" t="str">
        <f>"301103"</f>
        <v>301103</v>
      </c>
      <c r="B2526" t="s">
        <v>2863</v>
      </c>
      <c r="C2526">
        <v>26.1</v>
      </c>
      <c r="D2526">
        <v>22.54</v>
      </c>
      <c r="E2526">
        <v>19.1</v>
      </c>
      <c r="F2526">
        <v>1.58</v>
      </c>
      <c r="G2526">
        <v>1.22</v>
      </c>
      <c r="H2526">
        <v>9888</v>
      </c>
      <c r="I2526">
        <v>1.78</v>
      </c>
      <c r="J2526">
        <v>46.76</v>
      </c>
      <c r="K2526" t="s">
        <v>181</v>
      </c>
    </row>
    <row r="2527" spans="1:11">
      <c r="A2527" t="str">
        <f>"301105"</f>
        <v>301105</v>
      </c>
      <c r="B2527" t="s">
        <v>2864</v>
      </c>
      <c r="C2527">
        <v>8.71</v>
      </c>
      <c r="D2527">
        <v>9.36</v>
      </c>
      <c r="E2527">
        <v>8.35</v>
      </c>
      <c r="F2527">
        <v>0.5</v>
      </c>
      <c r="G2527">
        <v>0.16</v>
      </c>
      <c r="H2527">
        <v>4042</v>
      </c>
      <c r="I2527">
        <v>3.18</v>
      </c>
      <c r="J2527" t="s">
        <v>14</v>
      </c>
      <c r="K2527" t="s">
        <v>657</v>
      </c>
    </row>
    <row r="2528" spans="1:11">
      <c r="A2528" t="str">
        <f>"301106"</f>
        <v>301106</v>
      </c>
      <c r="B2528" t="s">
        <v>2865</v>
      </c>
      <c r="C2528">
        <v>31.65</v>
      </c>
      <c r="D2528">
        <v>16.36</v>
      </c>
      <c r="E2528">
        <v>12.79</v>
      </c>
      <c r="F2528">
        <v>1.02</v>
      </c>
      <c r="G2528">
        <v>1.02</v>
      </c>
      <c r="H2528">
        <v>8449</v>
      </c>
      <c r="I2528">
        <v>2.46</v>
      </c>
      <c r="J2528">
        <v>30.12</v>
      </c>
      <c r="K2528" t="s">
        <v>39</v>
      </c>
    </row>
    <row r="2529" spans="1:11">
      <c r="A2529" t="str">
        <f>"301107"</f>
        <v>301107</v>
      </c>
      <c r="B2529" t="s">
        <v>2866</v>
      </c>
      <c r="C2529">
        <v>17.17</v>
      </c>
      <c r="D2529">
        <v>12.39</v>
      </c>
      <c r="E2529">
        <v>9.51</v>
      </c>
      <c r="F2529">
        <v>1.02</v>
      </c>
      <c r="G2529">
        <v>0.6</v>
      </c>
      <c r="H2529">
        <v>8113</v>
      </c>
      <c r="I2529">
        <v>3.11</v>
      </c>
      <c r="J2529">
        <v>30.16</v>
      </c>
      <c r="K2529" t="s">
        <v>744</v>
      </c>
    </row>
    <row r="2530" spans="1:11">
      <c r="A2530" t="str">
        <f>"301108"</f>
        <v>301108</v>
      </c>
      <c r="B2530" t="s">
        <v>2867</v>
      </c>
      <c r="C2530">
        <v>23.2</v>
      </c>
      <c r="D2530">
        <v>22.41</v>
      </c>
      <c r="E2530">
        <v>18.79</v>
      </c>
      <c r="F2530">
        <v>1.13</v>
      </c>
      <c r="G2530">
        <v>0.65</v>
      </c>
      <c r="H2530">
        <v>7164</v>
      </c>
      <c r="I2530">
        <v>2.15</v>
      </c>
      <c r="J2530">
        <v>44.61</v>
      </c>
      <c r="K2530" t="s">
        <v>708</v>
      </c>
    </row>
    <row r="2531" spans="1:11">
      <c r="A2531" t="str">
        <f>"301109"</f>
        <v>301109</v>
      </c>
      <c r="B2531" t="s">
        <v>2868</v>
      </c>
      <c r="C2531">
        <v>34.52</v>
      </c>
      <c r="D2531">
        <v>146.73</v>
      </c>
      <c r="E2531">
        <v>76.43</v>
      </c>
      <c r="F2531">
        <v>7.89</v>
      </c>
      <c r="G2531">
        <v>2.31</v>
      </c>
      <c r="H2531">
        <v>24245</v>
      </c>
      <c r="I2531">
        <v>1.55</v>
      </c>
      <c r="J2531">
        <v>14.64</v>
      </c>
      <c r="K2531" t="s">
        <v>59</v>
      </c>
    </row>
    <row r="2532" spans="1:11">
      <c r="A2532" t="str">
        <f>"301110"</f>
        <v>301110</v>
      </c>
      <c r="B2532" t="s">
        <v>2869</v>
      </c>
      <c r="C2532">
        <v>62.18</v>
      </c>
      <c r="D2532">
        <v>17.59</v>
      </c>
      <c r="E2532">
        <v>14.58</v>
      </c>
      <c r="F2532">
        <v>0.93</v>
      </c>
      <c r="G2532">
        <v>0.65</v>
      </c>
      <c r="H2532">
        <v>9437</v>
      </c>
      <c r="I2532">
        <v>6.04</v>
      </c>
      <c r="J2532">
        <v>82.92</v>
      </c>
      <c r="K2532" t="s">
        <v>1050</v>
      </c>
    </row>
    <row r="2533" spans="1:11">
      <c r="A2533" t="str">
        <f>"301111"</f>
        <v>301111</v>
      </c>
      <c r="B2533" t="s">
        <v>2870</v>
      </c>
      <c r="C2533">
        <v>39.78</v>
      </c>
      <c r="D2533">
        <v>9.25</v>
      </c>
      <c r="E2533">
        <v>7.48</v>
      </c>
      <c r="F2533">
        <v>1.6</v>
      </c>
      <c r="G2533">
        <v>1.6</v>
      </c>
      <c r="H2533">
        <v>11433</v>
      </c>
      <c r="I2533">
        <v>5.32</v>
      </c>
      <c r="J2533" t="s">
        <v>14</v>
      </c>
      <c r="K2533" t="s">
        <v>155</v>
      </c>
    </row>
    <row r="2534" spans="1:11">
      <c r="A2534" t="str">
        <f>"301112"</f>
        <v>301112</v>
      </c>
      <c r="B2534" t="s">
        <v>2871</v>
      </c>
      <c r="C2534">
        <v>44.37</v>
      </c>
      <c r="D2534">
        <v>14.35</v>
      </c>
      <c r="E2534">
        <v>12.1</v>
      </c>
      <c r="F2534">
        <v>1.1</v>
      </c>
      <c r="G2534">
        <v>1.1</v>
      </c>
      <c r="H2534">
        <v>9855</v>
      </c>
      <c r="I2534">
        <v>3.67</v>
      </c>
      <c r="J2534">
        <v>925.97</v>
      </c>
      <c r="K2534" t="s">
        <v>493</v>
      </c>
    </row>
    <row r="2535" spans="1:11">
      <c r="A2535" t="str">
        <f>"301113"</f>
        <v>301113</v>
      </c>
      <c r="B2535" t="s">
        <v>2872</v>
      </c>
      <c r="C2535">
        <v>13.94</v>
      </c>
      <c r="D2535">
        <v>7.25</v>
      </c>
      <c r="E2535">
        <v>6.86</v>
      </c>
      <c r="F2535">
        <v>0.91</v>
      </c>
      <c r="G2535">
        <v>0.55</v>
      </c>
      <c r="H2535">
        <v>6034</v>
      </c>
      <c r="I2535">
        <v>3.35</v>
      </c>
      <c r="J2535">
        <v>970.56</v>
      </c>
      <c r="K2535" t="s">
        <v>625</v>
      </c>
    </row>
    <row r="2536" spans="1:11">
      <c r="A2536" t="str">
        <f>"301115"</f>
        <v>301115</v>
      </c>
      <c r="B2536" t="s">
        <v>2873</v>
      </c>
      <c r="C2536">
        <v>20.91</v>
      </c>
      <c r="D2536">
        <v>39.22</v>
      </c>
      <c r="E2536">
        <v>25.46</v>
      </c>
      <c r="F2536">
        <v>1.84</v>
      </c>
      <c r="G2536">
        <v>1.22</v>
      </c>
      <c r="H2536">
        <v>20191</v>
      </c>
      <c r="I2536">
        <v>1.25</v>
      </c>
      <c r="J2536">
        <v>67.47</v>
      </c>
      <c r="K2536" t="s">
        <v>1733</v>
      </c>
    </row>
    <row r="2537" spans="1:11">
      <c r="A2537" t="str">
        <f>"301116"</f>
        <v>301116</v>
      </c>
      <c r="B2537" t="s">
        <v>2874</v>
      </c>
      <c r="C2537">
        <v>50.2</v>
      </c>
      <c r="D2537">
        <v>50.72</v>
      </c>
      <c r="E2537">
        <v>14.75</v>
      </c>
      <c r="F2537">
        <v>4.49</v>
      </c>
      <c r="G2537">
        <v>4.49</v>
      </c>
      <c r="H2537">
        <v>12405</v>
      </c>
      <c r="I2537">
        <v>3.4</v>
      </c>
      <c r="J2537" t="s">
        <v>14</v>
      </c>
      <c r="K2537" t="s">
        <v>201</v>
      </c>
    </row>
    <row r="2538" spans="1:11">
      <c r="A2538" t="str">
        <f>"301117"</f>
        <v>301117</v>
      </c>
      <c r="B2538" t="s">
        <v>2875</v>
      </c>
      <c r="C2538">
        <v>67.12</v>
      </c>
      <c r="D2538">
        <v>14.9</v>
      </c>
      <c r="E2538">
        <v>13.05</v>
      </c>
      <c r="F2538">
        <v>1.29</v>
      </c>
      <c r="G2538">
        <v>0.79</v>
      </c>
      <c r="H2538">
        <v>17391</v>
      </c>
      <c r="I2538">
        <v>8.36</v>
      </c>
      <c r="J2538" t="s">
        <v>14</v>
      </c>
      <c r="K2538" t="s">
        <v>117</v>
      </c>
    </row>
    <row r="2539" spans="1:11">
      <c r="A2539" t="str">
        <f>"301118"</f>
        <v>301118</v>
      </c>
      <c r="B2539" t="s">
        <v>2876</v>
      </c>
      <c r="C2539">
        <v>27.05</v>
      </c>
      <c r="D2539">
        <v>26.65</v>
      </c>
      <c r="E2539">
        <v>13.4</v>
      </c>
      <c r="F2539">
        <v>1.1</v>
      </c>
      <c r="G2539">
        <v>1.05</v>
      </c>
      <c r="H2539">
        <v>12550</v>
      </c>
      <c r="I2539">
        <v>2.12</v>
      </c>
      <c r="J2539" t="s">
        <v>14</v>
      </c>
      <c r="K2539" t="s">
        <v>177</v>
      </c>
    </row>
    <row r="2540" spans="1:11">
      <c r="A2540" t="str">
        <f>"301119"</f>
        <v>301119</v>
      </c>
      <c r="B2540" t="s">
        <v>2877</v>
      </c>
      <c r="C2540">
        <v>46.26</v>
      </c>
      <c r="D2540">
        <v>14.8</v>
      </c>
      <c r="E2540">
        <v>10.2</v>
      </c>
      <c r="F2540">
        <v>1.04</v>
      </c>
      <c r="G2540">
        <v>0.84</v>
      </c>
      <c r="H2540">
        <v>7858</v>
      </c>
      <c r="I2540">
        <v>5.61</v>
      </c>
      <c r="J2540">
        <v>47.14</v>
      </c>
      <c r="K2540" t="s">
        <v>51</v>
      </c>
    </row>
    <row r="2541" spans="1:11">
      <c r="A2541" t="str">
        <f>"301120"</f>
        <v>301120</v>
      </c>
      <c r="B2541" t="s">
        <v>2878</v>
      </c>
      <c r="C2541">
        <v>46.09</v>
      </c>
      <c r="D2541">
        <v>16.83</v>
      </c>
      <c r="E2541">
        <v>15.42</v>
      </c>
      <c r="F2541">
        <v>3.71</v>
      </c>
      <c r="G2541">
        <v>2.19</v>
      </c>
      <c r="H2541">
        <v>26253</v>
      </c>
      <c r="I2541">
        <v>5.08</v>
      </c>
      <c r="J2541">
        <v>155.65</v>
      </c>
      <c r="K2541" t="s">
        <v>208</v>
      </c>
    </row>
    <row r="2542" spans="1:11">
      <c r="A2542" t="str">
        <f>"301121"</f>
        <v>301121</v>
      </c>
      <c r="B2542" t="s">
        <v>2879</v>
      </c>
      <c r="C2542">
        <v>20.24</v>
      </c>
      <c r="D2542">
        <v>31.94</v>
      </c>
      <c r="E2542">
        <v>16.62</v>
      </c>
      <c r="F2542">
        <v>0.99</v>
      </c>
      <c r="G2542">
        <v>0.51</v>
      </c>
      <c r="H2542">
        <v>12794</v>
      </c>
      <c r="I2542">
        <v>2.38</v>
      </c>
      <c r="J2542">
        <v>244.44</v>
      </c>
      <c r="K2542" t="s">
        <v>70</v>
      </c>
    </row>
    <row r="2543" spans="1:11">
      <c r="A2543" t="str">
        <f>"301122"</f>
        <v>301122</v>
      </c>
      <c r="B2543" t="s">
        <v>2880</v>
      </c>
      <c r="C2543">
        <v>21.78</v>
      </c>
      <c r="D2543">
        <v>19.3</v>
      </c>
      <c r="E2543">
        <v>17.88</v>
      </c>
      <c r="F2543">
        <v>1.22</v>
      </c>
      <c r="G2543">
        <v>0.76</v>
      </c>
      <c r="H2543">
        <v>7615</v>
      </c>
      <c r="I2543">
        <v>1.97</v>
      </c>
      <c r="J2543">
        <v>320.07</v>
      </c>
      <c r="K2543" t="s">
        <v>1173</v>
      </c>
    </row>
    <row r="2544" spans="1:11">
      <c r="A2544" t="str">
        <f>"301123"</f>
        <v>301123</v>
      </c>
      <c r="B2544" t="s">
        <v>2881</v>
      </c>
      <c r="C2544">
        <v>108.09</v>
      </c>
      <c r="D2544">
        <v>39.76</v>
      </c>
      <c r="E2544">
        <v>28.96</v>
      </c>
      <c r="F2544">
        <v>2.35</v>
      </c>
      <c r="G2544">
        <v>1.65</v>
      </c>
      <c r="H2544">
        <v>21037</v>
      </c>
      <c r="I2544">
        <v>5.28</v>
      </c>
      <c r="J2544">
        <v>401.82</v>
      </c>
      <c r="K2544" t="s">
        <v>41</v>
      </c>
    </row>
    <row r="2545" spans="1:11">
      <c r="A2545" t="str">
        <f>"301125"</f>
        <v>301125</v>
      </c>
      <c r="B2545" t="s">
        <v>2882</v>
      </c>
      <c r="C2545">
        <v>23.06</v>
      </c>
      <c r="D2545">
        <v>10.64</v>
      </c>
      <c r="E2545">
        <v>6.05</v>
      </c>
      <c r="F2545">
        <v>1.42</v>
      </c>
      <c r="G2545">
        <v>1.17</v>
      </c>
      <c r="H2545">
        <v>8142</v>
      </c>
      <c r="I2545">
        <v>4.61</v>
      </c>
      <c r="J2545">
        <v>1550.05</v>
      </c>
      <c r="K2545" t="s">
        <v>424</v>
      </c>
    </row>
    <row r="2546" spans="1:11">
      <c r="A2546" t="str">
        <f>"301126"</f>
        <v>301126</v>
      </c>
      <c r="B2546" t="s">
        <v>2883</v>
      </c>
      <c r="C2546">
        <v>19.18</v>
      </c>
      <c r="D2546">
        <v>67.97</v>
      </c>
      <c r="E2546">
        <v>17.45</v>
      </c>
      <c r="F2546">
        <v>2.05</v>
      </c>
      <c r="G2546">
        <v>1.38</v>
      </c>
      <c r="H2546">
        <v>16103</v>
      </c>
      <c r="I2546">
        <v>1.64</v>
      </c>
      <c r="J2546">
        <v>420.39</v>
      </c>
      <c r="K2546" t="s">
        <v>48</v>
      </c>
    </row>
    <row r="2547" spans="1:11">
      <c r="A2547" t="str">
        <f>"301127"</f>
        <v>301127</v>
      </c>
      <c r="B2547" t="s">
        <v>2884</v>
      </c>
      <c r="C2547">
        <v>120.58</v>
      </c>
      <c r="D2547">
        <v>91.7</v>
      </c>
      <c r="E2547">
        <v>33.06</v>
      </c>
      <c r="F2547">
        <v>6.74</v>
      </c>
      <c r="G2547">
        <v>6.65</v>
      </c>
      <c r="H2547">
        <v>15621</v>
      </c>
      <c r="I2547">
        <v>3.77</v>
      </c>
      <c r="J2547">
        <v>66.62</v>
      </c>
      <c r="K2547" t="s">
        <v>90</v>
      </c>
    </row>
    <row r="2548" spans="1:11">
      <c r="A2548" t="str">
        <f>"301128"</f>
        <v>301128</v>
      </c>
      <c r="B2548" t="s">
        <v>2885</v>
      </c>
      <c r="C2548">
        <v>83.63</v>
      </c>
      <c r="D2548">
        <v>21.87</v>
      </c>
      <c r="E2548">
        <v>8.9</v>
      </c>
      <c r="F2548">
        <v>1.03</v>
      </c>
      <c r="G2548">
        <v>0.88</v>
      </c>
      <c r="H2548">
        <v>18183</v>
      </c>
      <c r="I2548">
        <v>11.02</v>
      </c>
      <c r="J2548">
        <v>63.43</v>
      </c>
      <c r="K2548" t="s">
        <v>493</v>
      </c>
    </row>
    <row r="2549" spans="1:11">
      <c r="A2549" t="str">
        <f>"301129"</f>
        <v>301129</v>
      </c>
      <c r="B2549" t="s">
        <v>2886</v>
      </c>
      <c r="C2549">
        <v>18.27</v>
      </c>
      <c r="D2549">
        <v>21.2</v>
      </c>
      <c r="E2549">
        <v>16.85</v>
      </c>
      <c r="F2549">
        <v>1.36</v>
      </c>
      <c r="G2549">
        <v>0.66</v>
      </c>
      <c r="H2549">
        <v>11833</v>
      </c>
      <c r="I2549">
        <v>2.22</v>
      </c>
      <c r="J2549" t="s">
        <v>14</v>
      </c>
      <c r="K2549" t="s">
        <v>952</v>
      </c>
    </row>
    <row r="2550" spans="1:11">
      <c r="A2550" t="str">
        <f>"301130"</f>
        <v>301130</v>
      </c>
      <c r="B2550" t="s">
        <v>2887</v>
      </c>
      <c r="C2550">
        <v>17.9</v>
      </c>
      <c r="D2550">
        <v>10.53</v>
      </c>
      <c r="E2550">
        <v>9.17</v>
      </c>
      <c r="F2550">
        <v>0.76</v>
      </c>
      <c r="G2550">
        <v>0.58</v>
      </c>
      <c r="H2550">
        <v>7863</v>
      </c>
      <c r="I2550">
        <v>2.56</v>
      </c>
      <c r="J2550">
        <v>53.03</v>
      </c>
      <c r="K2550" t="s">
        <v>109</v>
      </c>
    </row>
    <row r="2551" spans="1:11">
      <c r="A2551" t="str">
        <f>"301131"</f>
        <v>301131</v>
      </c>
      <c r="B2551" t="s">
        <v>2888</v>
      </c>
      <c r="C2551">
        <v>14.99</v>
      </c>
      <c r="D2551">
        <v>19.45</v>
      </c>
      <c r="E2551">
        <v>8.8</v>
      </c>
      <c r="F2551">
        <v>0.48</v>
      </c>
      <c r="G2551">
        <v>0.31</v>
      </c>
      <c r="H2551">
        <v>8243</v>
      </c>
      <c r="I2551">
        <v>2.75</v>
      </c>
      <c r="J2551">
        <v>46.34</v>
      </c>
      <c r="K2551" t="s">
        <v>1113</v>
      </c>
    </row>
    <row r="2552" spans="1:11">
      <c r="A2552" t="str">
        <f>"301132"</f>
        <v>301132</v>
      </c>
      <c r="B2552" t="s">
        <v>2889</v>
      </c>
      <c r="C2552">
        <v>33.34</v>
      </c>
      <c r="D2552">
        <v>29.72</v>
      </c>
      <c r="E2552">
        <v>18.16</v>
      </c>
      <c r="F2552">
        <v>1.48</v>
      </c>
      <c r="G2552">
        <v>0.95</v>
      </c>
      <c r="H2552">
        <v>16302</v>
      </c>
      <c r="I2552">
        <v>2.87</v>
      </c>
      <c r="J2552">
        <v>38.3</v>
      </c>
      <c r="K2552" t="s">
        <v>472</v>
      </c>
    </row>
    <row r="2553" spans="1:11">
      <c r="A2553" t="str">
        <f>"301133"</f>
        <v>301133</v>
      </c>
      <c r="B2553" t="s">
        <v>2890</v>
      </c>
      <c r="C2553">
        <v>42.05</v>
      </c>
      <c r="D2553">
        <v>22.95</v>
      </c>
      <c r="E2553">
        <v>11.3</v>
      </c>
      <c r="F2553">
        <v>1.18</v>
      </c>
      <c r="G2553">
        <v>1.07</v>
      </c>
      <c r="H2553">
        <v>8999</v>
      </c>
      <c r="I2553">
        <v>4.12</v>
      </c>
      <c r="J2553">
        <v>132.77</v>
      </c>
      <c r="K2553" t="s">
        <v>356</v>
      </c>
    </row>
    <row r="2554" spans="1:11">
      <c r="A2554" t="str">
        <f>"301135"</f>
        <v>301135</v>
      </c>
      <c r="B2554" t="s">
        <v>2891</v>
      </c>
      <c r="C2554">
        <v>22.7</v>
      </c>
      <c r="D2554">
        <v>19.28</v>
      </c>
      <c r="E2554">
        <v>12.5</v>
      </c>
      <c r="F2554">
        <v>1.02</v>
      </c>
      <c r="G2554">
        <v>0.76</v>
      </c>
      <c r="H2554">
        <v>10349</v>
      </c>
      <c r="I2554">
        <v>2.42</v>
      </c>
      <c r="J2554">
        <v>97.14</v>
      </c>
      <c r="K2554" t="s">
        <v>82</v>
      </c>
    </row>
    <row r="2555" spans="1:11">
      <c r="A2555" t="str">
        <f>"301136"</f>
        <v>301136</v>
      </c>
      <c r="B2555" t="s">
        <v>2892</v>
      </c>
      <c r="C2555">
        <v>58.95</v>
      </c>
      <c r="D2555">
        <v>20.63</v>
      </c>
      <c r="E2555">
        <v>14.58</v>
      </c>
      <c r="F2555">
        <v>2.75</v>
      </c>
      <c r="G2555">
        <v>2.75</v>
      </c>
      <c r="H2555">
        <v>14213</v>
      </c>
      <c r="I2555">
        <v>4.04</v>
      </c>
      <c r="J2555">
        <v>615.53</v>
      </c>
      <c r="K2555" t="s">
        <v>428</v>
      </c>
    </row>
    <row r="2556" spans="1:11">
      <c r="A2556" t="str">
        <f>"301137"</f>
        <v>301137</v>
      </c>
      <c r="B2556" t="s">
        <v>2893</v>
      </c>
      <c r="C2556">
        <v>110.02</v>
      </c>
      <c r="D2556">
        <v>24.17</v>
      </c>
      <c r="E2556">
        <v>13.71</v>
      </c>
      <c r="F2556">
        <v>1.82</v>
      </c>
      <c r="G2556">
        <v>1.8</v>
      </c>
      <c r="H2556">
        <v>34600</v>
      </c>
      <c r="I2556">
        <v>8.1</v>
      </c>
      <c r="J2556">
        <v>319.16</v>
      </c>
      <c r="K2556" t="s">
        <v>63</v>
      </c>
    </row>
    <row r="2557" spans="1:11">
      <c r="A2557" t="str">
        <f>"301138"</f>
        <v>301138</v>
      </c>
      <c r="B2557" t="s">
        <v>2894</v>
      </c>
      <c r="C2557">
        <v>29.25</v>
      </c>
      <c r="D2557">
        <v>17.45</v>
      </c>
      <c r="E2557">
        <v>11.75</v>
      </c>
      <c r="F2557">
        <v>1.2</v>
      </c>
      <c r="G2557">
        <v>0.69</v>
      </c>
      <c r="H2557">
        <v>12489</v>
      </c>
      <c r="I2557">
        <v>4.36</v>
      </c>
      <c r="J2557">
        <v>54.26</v>
      </c>
      <c r="K2557" t="s">
        <v>657</v>
      </c>
    </row>
    <row r="2558" spans="1:11">
      <c r="A2558" t="str">
        <f>"301139"</f>
        <v>301139</v>
      </c>
      <c r="B2558" t="s">
        <v>2895</v>
      </c>
      <c r="C2558">
        <v>15.71</v>
      </c>
      <c r="D2558">
        <v>31.07</v>
      </c>
      <c r="E2558">
        <v>19.53</v>
      </c>
      <c r="F2558">
        <v>1.22</v>
      </c>
      <c r="G2558">
        <v>0.76</v>
      </c>
      <c r="H2558">
        <v>24245</v>
      </c>
      <c r="I2558">
        <v>1.28</v>
      </c>
      <c r="J2558">
        <v>106.69</v>
      </c>
      <c r="K2558" t="s">
        <v>520</v>
      </c>
    </row>
    <row r="2559" spans="1:11">
      <c r="A2559" t="str">
        <f>"301141"</f>
        <v>301141</v>
      </c>
      <c r="B2559" t="s">
        <v>2896</v>
      </c>
      <c r="C2559">
        <v>26.75</v>
      </c>
      <c r="D2559">
        <v>17.41</v>
      </c>
      <c r="E2559">
        <v>12.78</v>
      </c>
      <c r="F2559">
        <v>1.24</v>
      </c>
      <c r="G2559">
        <v>0.45</v>
      </c>
      <c r="H2559">
        <v>21633</v>
      </c>
      <c r="I2559">
        <v>5.83</v>
      </c>
      <c r="J2559">
        <v>165.87</v>
      </c>
      <c r="K2559" t="s">
        <v>442</v>
      </c>
    </row>
    <row r="2560" spans="1:11">
      <c r="A2560" t="str">
        <f>"301148"</f>
        <v>301148</v>
      </c>
      <c r="B2560" t="s">
        <v>2897</v>
      </c>
      <c r="C2560">
        <v>33.85</v>
      </c>
      <c r="D2560">
        <v>22.26</v>
      </c>
      <c r="E2560">
        <v>17.74</v>
      </c>
      <c r="F2560">
        <v>1.16</v>
      </c>
      <c r="G2560">
        <v>0.59</v>
      </c>
      <c r="H2560">
        <v>9880</v>
      </c>
      <c r="I2560">
        <v>3.78</v>
      </c>
      <c r="J2560">
        <v>84.72</v>
      </c>
      <c r="K2560" t="s">
        <v>90</v>
      </c>
    </row>
    <row r="2561" spans="1:11">
      <c r="A2561" t="str">
        <f>"301149"</f>
        <v>301149</v>
      </c>
      <c r="B2561" t="s">
        <v>2898</v>
      </c>
      <c r="C2561">
        <v>28.74</v>
      </c>
      <c r="D2561">
        <v>35.77</v>
      </c>
      <c r="E2561">
        <v>20.42</v>
      </c>
      <c r="F2561">
        <v>4.3</v>
      </c>
      <c r="G2561">
        <v>2.61</v>
      </c>
      <c r="H2561">
        <v>18879</v>
      </c>
      <c r="I2561">
        <v>2.32</v>
      </c>
      <c r="J2561">
        <v>35.34</v>
      </c>
      <c r="K2561" t="s">
        <v>511</v>
      </c>
    </row>
    <row r="2562" spans="1:11">
      <c r="A2562" t="str">
        <f>"301150"</f>
        <v>301150</v>
      </c>
      <c r="B2562" t="s">
        <v>2899</v>
      </c>
      <c r="C2562">
        <v>99.96</v>
      </c>
      <c r="D2562">
        <v>67.65</v>
      </c>
      <c r="E2562">
        <v>35.6</v>
      </c>
      <c r="F2562">
        <v>2.33</v>
      </c>
      <c r="G2562">
        <v>2.23</v>
      </c>
      <c r="H2562">
        <v>25664</v>
      </c>
      <c r="I2562">
        <v>2.94</v>
      </c>
      <c r="J2562">
        <v>203.01</v>
      </c>
      <c r="K2562" t="s">
        <v>70</v>
      </c>
    </row>
    <row r="2563" spans="1:11">
      <c r="A2563" t="str">
        <f>"301151"</f>
        <v>301151</v>
      </c>
      <c r="B2563" t="s">
        <v>2900</v>
      </c>
      <c r="C2563">
        <v>32.92</v>
      </c>
      <c r="D2563">
        <v>26.75</v>
      </c>
      <c r="E2563">
        <v>20.63</v>
      </c>
      <c r="F2563">
        <v>1.69</v>
      </c>
      <c r="G2563">
        <v>1.69</v>
      </c>
      <c r="H2563">
        <v>16201</v>
      </c>
      <c r="I2563">
        <v>1.6</v>
      </c>
      <c r="J2563">
        <v>89.61</v>
      </c>
      <c r="K2563" t="s">
        <v>424</v>
      </c>
    </row>
    <row r="2564" spans="1:11">
      <c r="A2564" t="str">
        <f>"301152"</f>
        <v>301152</v>
      </c>
      <c r="B2564" t="s">
        <v>2901</v>
      </c>
      <c r="C2564">
        <v>22.44</v>
      </c>
      <c r="D2564">
        <v>27.37</v>
      </c>
      <c r="E2564">
        <v>13.47</v>
      </c>
      <c r="F2564">
        <v>1.19</v>
      </c>
      <c r="G2564">
        <v>0.71</v>
      </c>
      <c r="H2564">
        <v>20038</v>
      </c>
      <c r="I2564">
        <v>2.79</v>
      </c>
      <c r="J2564" t="s">
        <v>14</v>
      </c>
      <c r="K2564" t="s">
        <v>24</v>
      </c>
    </row>
    <row r="2565" spans="1:11">
      <c r="A2565" t="str">
        <f>"301153"</f>
        <v>301153</v>
      </c>
      <c r="B2565" t="s">
        <v>2902</v>
      </c>
      <c r="C2565">
        <v>87.61</v>
      </c>
      <c r="D2565">
        <v>22.05</v>
      </c>
      <c r="E2565">
        <v>16.82</v>
      </c>
      <c r="F2565">
        <v>3.53</v>
      </c>
      <c r="G2565">
        <v>3.29</v>
      </c>
      <c r="H2565">
        <v>26052</v>
      </c>
      <c r="I2565">
        <v>5.58</v>
      </c>
      <c r="J2565" t="s">
        <v>14</v>
      </c>
      <c r="K2565" t="s">
        <v>117</v>
      </c>
    </row>
    <row r="2566" spans="1:11">
      <c r="A2566" t="str">
        <f>"301155"</f>
        <v>301155</v>
      </c>
      <c r="B2566" t="s">
        <v>2903</v>
      </c>
      <c r="C2566">
        <v>96.09</v>
      </c>
      <c r="D2566">
        <v>102.15</v>
      </c>
      <c r="E2566">
        <v>57.51</v>
      </c>
      <c r="F2566">
        <v>2.17</v>
      </c>
      <c r="G2566">
        <v>1.23</v>
      </c>
      <c r="H2566">
        <v>16948</v>
      </c>
      <c r="I2566">
        <v>2.94</v>
      </c>
      <c r="J2566">
        <v>36.64</v>
      </c>
      <c r="K2566" t="s">
        <v>456</v>
      </c>
    </row>
    <row r="2567" spans="1:11">
      <c r="A2567" t="str">
        <f>"301156"</f>
        <v>301156</v>
      </c>
      <c r="B2567" t="s">
        <v>2904</v>
      </c>
      <c r="C2567">
        <v>16.56</v>
      </c>
      <c r="D2567">
        <v>7.84</v>
      </c>
      <c r="E2567">
        <v>7.26</v>
      </c>
      <c r="F2567">
        <v>1.41</v>
      </c>
      <c r="G2567">
        <v>0.89</v>
      </c>
      <c r="H2567">
        <v>10420</v>
      </c>
      <c r="I2567">
        <v>3.6</v>
      </c>
      <c r="J2567">
        <v>47.89</v>
      </c>
      <c r="K2567" t="s">
        <v>752</v>
      </c>
    </row>
    <row r="2568" spans="1:11">
      <c r="A2568" t="str">
        <f>"301157"</f>
        <v>301157</v>
      </c>
      <c r="B2568" t="s">
        <v>2905</v>
      </c>
      <c r="C2568">
        <v>11.81</v>
      </c>
      <c r="D2568">
        <v>12.48</v>
      </c>
      <c r="E2568">
        <v>10.94</v>
      </c>
      <c r="F2568">
        <v>0.6</v>
      </c>
      <c r="G2568">
        <v>0.21</v>
      </c>
      <c r="H2568">
        <v>7993</v>
      </c>
      <c r="I2568">
        <v>3.14</v>
      </c>
      <c r="J2568">
        <v>135.15</v>
      </c>
      <c r="K2568" t="s">
        <v>1010</v>
      </c>
    </row>
    <row r="2569" spans="1:11">
      <c r="A2569" t="str">
        <f>"301158"</f>
        <v>301158</v>
      </c>
      <c r="B2569" t="s">
        <v>2906</v>
      </c>
      <c r="C2569">
        <v>36.62</v>
      </c>
      <c r="D2569">
        <v>19.07</v>
      </c>
      <c r="E2569">
        <v>13.92</v>
      </c>
      <c r="F2569">
        <v>1.5</v>
      </c>
      <c r="G2569">
        <v>1.47</v>
      </c>
      <c r="H2569">
        <v>19076</v>
      </c>
      <c r="I2569">
        <v>2.7</v>
      </c>
      <c r="J2569">
        <v>29.44</v>
      </c>
      <c r="K2569" t="s">
        <v>491</v>
      </c>
    </row>
    <row r="2570" spans="1:11">
      <c r="A2570" t="str">
        <f>"301159"</f>
        <v>301159</v>
      </c>
      <c r="B2570" t="s">
        <v>2907</v>
      </c>
      <c r="C2570">
        <v>32.76</v>
      </c>
      <c r="D2570">
        <v>7.84</v>
      </c>
      <c r="E2570">
        <v>5.83</v>
      </c>
      <c r="F2570">
        <v>0.77</v>
      </c>
      <c r="G2570">
        <v>0.53</v>
      </c>
      <c r="H2570">
        <v>10223</v>
      </c>
      <c r="I2570">
        <v>8.19</v>
      </c>
      <c r="J2570" t="s">
        <v>14</v>
      </c>
      <c r="K2570" t="s">
        <v>117</v>
      </c>
    </row>
    <row r="2571" spans="1:11">
      <c r="A2571" t="str">
        <f>"301160"</f>
        <v>301160</v>
      </c>
      <c r="B2571" t="s">
        <v>2908</v>
      </c>
      <c r="C2571">
        <v>52.84</v>
      </c>
      <c r="D2571">
        <v>22.49</v>
      </c>
      <c r="E2571">
        <v>17.4</v>
      </c>
      <c r="F2571">
        <v>1.12</v>
      </c>
      <c r="G2571">
        <v>0.72</v>
      </c>
      <c r="H2571">
        <v>11087</v>
      </c>
      <c r="I2571">
        <v>4.85</v>
      </c>
      <c r="J2571">
        <v>40.46</v>
      </c>
      <c r="K2571" t="s">
        <v>63</v>
      </c>
    </row>
    <row r="2572" spans="1:11">
      <c r="A2572" t="str">
        <f>"301161"</f>
        <v>301161</v>
      </c>
      <c r="B2572" t="s">
        <v>2909</v>
      </c>
      <c r="C2572">
        <v>29.21</v>
      </c>
      <c r="D2572">
        <v>12.48</v>
      </c>
      <c r="E2572">
        <v>9.22</v>
      </c>
      <c r="F2572">
        <v>1.2</v>
      </c>
      <c r="G2572">
        <v>0.77</v>
      </c>
      <c r="H2572">
        <v>14229</v>
      </c>
      <c r="I2572">
        <v>4.93</v>
      </c>
      <c r="J2572">
        <v>48.8</v>
      </c>
      <c r="K2572" t="s">
        <v>641</v>
      </c>
    </row>
    <row r="2573" spans="1:11">
      <c r="A2573" t="str">
        <f>"301162"</f>
        <v>301162</v>
      </c>
      <c r="B2573" t="s">
        <v>2910</v>
      </c>
      <c r="C2573">
        <v>55.61</v>
      </c>
      <c r="D2573">
        <v>23.72</v>
      </c>
      <c r="E2573">
        <v>15.29</v>
      </c>
      <c r="F2573">
        <v>1.33</v>
      </c>
      <c r="G2573">
        <v>0.85</v>
      </c>
      <c r="H2573">
        <v>7073</v>
      </c>
      <c r="I2573">
        <v>5.66</v>
      </c>
      <c r="J2573">
        <v>86.02</v>
      </c>
      <c r="K2573" t="s">
        <v>117</v>
      </c>
    </row>
    <row r="2574" spans="1:11">
      <c r="A2574" t="str">
        <f>"301163"</f>
        <v>301163</v>
      </c>
      <c r="B2574" t="s">
        <v>2911</v>
      </c>
      <c r="C2574">
        <v>15.65</v>
      </c>
      <c r="D2574">
        <v>14.84</v>
      </c>
      <c r="E2574">
        <v>11.36</v>
      </c>
      <c r="F2574">
        <v>0.82</v>
      </c>
      <c r="G2574">
        <v>0.55</v>
      </c>
      <c r="H2574">
        <v>7696</v>
      </c>
      <c r="I2574">
        <v>2.05</v>
      </c>
      <c r="J2574">
        <v>51.75</v>
      </c>
      <c r="K2574" t="s">
        <v>663</v>
      </c>
    </row>
    <row r="2575" spans="1:11">
      <c r="A2575" t="str">
        <f>"301165"</f>
        <v>301165</v>
      </c>
      <c r="B2575" t="s">
        <v>2912</v>
      </c>
      <c r="C2575">
        <v>705.09</v>
      </c>
      <c r="D2575">
        <v>93.88</v>
      </c>
      <c r="E2575">
        <v>49.61</v>
      </c>
      <c r="F2575">
        <v>7.95</v>
      </c>
      <c r="G2575">
        <v>7.95</v>
      </c>
      <c r="H2575">
        <v>34234</v>
      </c>
      <c r="I2575">
        <v>14.21</v>
      </c>
      <c r="J2575">
        <v>77.72</v>
      </c>
      <c r="K2575" t="s">
        <v>972</v>
      </c>
    </row>
    <row r="2576" spans="1:11">
      <c r="A2576" t="str">
        <f>"301166"</f>
        <v>301166</v>
      </c>
      <c r="B2576" t="s">
        <v>2913</v>
      </c>
      <c r="C2576">
        <v>18.86</v>
      </c>
      <c r="D2576">
        <v>22.24</v>
      </c>
      <c r="E2576">
        <v>20.26</v>
      </c>
      <c r="F2576">
        <v>0.87</v>
      </c>
      <c r="G2576">
        <v>0.57</v>
      </c>
      <c r="H2576">
        <v>9893</v>
      </c>
      <c r="I2576">
        <v>1.42</v>
      </c>
      <c r="J2576" t="s">
        <v>14</v>
      </c>
      <c r="K2576" t="s">
        <v>48</v>
      </c>
    </row>
    <row r="2577" spans="1:11">
      <c r="A2577" t="str">
        <f>"301167"</f>
        <v>301167</v>
      </c>
      <c r="B2577" t="s">
        <v>2914</v>
      </c>
      <c r="C2577">
        <v>12.07</v>
      </c>
      <c r="D2577">
        <v>13.98</v>
      </c>
      <c r="E2577">
        <v>9.43</v>
      </c>
      <c r="F2577">
        <v>1.12</v>
      </c>
      <c r="G2577">
        <v>0.71</v>
      </c>
      <c r="H2577">
        <v>9576</v>
      </c>
      <c r="I2577">
        <v>2.02</v>
      </c>
      <c r="J2577">
        <v>98.85</v>
      </c>
      <c r="K2577" t="s">
        <v>428</v>
      </c>
    </row>
    <row r="2578" spans="1:11">
      <c r="A2578" t="str">
        <f>"301168"</f>
        <v>301168</v>
      </c>
      <c r="B2578" t="s">
        <v>2915</v>
      </c>
      <c r="C2578">
        <v>44.44</v>
      </c>
      <c r="D2578">
        <v>34.95</v>
      </c>
      <c r="E2578">
        <v>21.62</v>
      </c>
      <c r="F2578">
        <v>1.2</v>
      </c>
      <c r="G2578">
        <v>0.95</v>
      </c>
      <c r="H2578">
        <v>7848</v>
      </c>
      <c r="I2578">
        <v>2.59</v>
      </c>
      <c r="J2578">
        <v>93.82</v>
      </c>
      <c r="K2578" t="s">
        <v>667</v>
      </c>
    </row>
    <row r="2579" spans="1:11">
      <c r="A2579" t="str">
        <f>"301169"</f>
        <v>301169</v>
      </c>
      <c r="B2579" t="s">
        <v>2916</v>
      </c>
      <c r="C2579">
        <v>46.22</v>
      </c>
      <c r="D2579">
        <v>6.43</v>
      </c>
      <c r="E2579">
        <v>4.38</v>
      </c>
      <c r="F2579">
        <v>0.72</v>
      </c>
      <c r="G2579">
        <v>0.72</v>
      </c>
      <c r="H2579">
        <v>8143</v>
      </c>
      <c r="I2579">
        <v>10.56</v>
      </c>
      <c r="J2579" t="s">
        <v>14</v>
      </c>
      <c r="K2579" t="s">
        <v>2514</v>
      </c>
    </row>
    <row r="2580" spans="1:11">
      <c r="A2580" t="str">
        <f>"301170"</f>
        <v>301170</v>
      </c>
      <c r="B2580" t="s">
        <v>2917</v>
      </c>
      <c r="C2580">
        <v>9.85</v>
      </c>
      <c r="D2580">
        <v>19.48</v>
      </c>
      <c r="E2580">
        <v>17.66</v>
      </c>
      <c r="F2580">
        <v>1</v>
      </c>
      <c r="G2580">
        <v>0.34</v>
      </c>
      <c r="H2580">
        <v>9299</v>
      </c>
      <c r="I2580">
        <v>1.66</v>
      </c>
      <c r="J2580">
        <v>27.49</v>
      </c>
      <c r="K2580" t="s">
        <v>51</v>
      </c>
    </row>
    <row r="2581" spans="1:11">
      <c r="A2581" t="str">
        <f>"301171"</f>
        <v>301171</v>
      </c>
      <c r="B2581" t="s">
        <v>2918</v>
      </c>
      <c r="C2581">
        <v>303.64</v>
      </c>
      <c r="D2581">
        <v>62.52</v>
      </c>
      <c r="E2581">
        <v>37.43</v>
      </c>
      <c r="F2581">
        <v>4.72</v>
      </c>
      <c r="G2581">
        <v>3.73</v>
      </c>
      <c r="H2581">
        <v>66508</v>
      </c>
      <c r="I2581">
        <v>10.25</v>
      </c>
      <c r="J2581">
        <v>141.37</v>
      </c>
      <c r="K2581" t="s">
        <v>333</v>
      </c>
    </row>
    <row r="2582" spans="1:11">
      <c r="A2582" t="str">
        <f>"301172"</f>
        <v>301172</v>
      </c>
      <c r="B2582" t="s">
        <v>2919</v>
      </c>
      <c r="C2582">
        <v>24.8</v>
      </c>
      <c r="D2582">
        <v>18.78</v>
      </c>
      <c r="E2582">
        <v>14.65</v>
      </c>
      <c r="F2582">
        <v>1.72</v>
      </c>
      <c r="G2582">
        <v>0.99</v>
      </c>
      <c r="H2582">
        <v>16527</v>
      </c>
      <c r="I2582">
        <v>2.96</v>
      </c>
      <c r="J2582">
        <v>189.47</v>
      </c>
      <c r="K2582" t="s">
        <v>117</v>
      </c>
    </row>
    <row r="2583" spans="1:11">
      <c r="A2583" t="str">
        <f>"301173"</f>
        <v>301173</v>
      </c>
      <c r="B2583" t="s">
        <v>2920</v>
      </c>
      <c r="C2583">
        <v>8.44</v>
      </c>
      <c r="D2583">
        <v>25.37</v>
      </c>
      <c r="E2583">
        <v>14.71</v>
      </c>
      <c r="F2583">
        <v>0.88</v>
      </c>
      <c r="G2583">
        <v>0.18</v>
      </c>
      <c r="H2583">
        <v>8711</v>
      </c>
      <c r="I2583">
        <v>2.84</v>
      </c>
      <c r="J2583">
        <v>27.06</v>
      </c>
      <c r="K2583" t="s">
        <v>356</v>
      </c>
    </row>
    <row r="2584" spans="1:11">
      <c r="A2584" t="str">
        <f>"301175"</f>
        <v>301175</v>
      </c>
      <c r="B2584" t="s">
        <v>2921</v>
      </c>
      <c r="C2584">
        <v>38.06</v>
      </c>
      <c r="D2584">
        <v>81.39</v>
      </c>
      <c r="E2584">
        <v>36.15</v>
      </c>
      <c r="F2584">
        <v>14.72</v>
      </c>
      <c r="G2584">
        <v>6.22</v>
      </c>
      <c r="H2584">
        <v>39936</v>
      </c>
      <c r="I2584">
        <v>2.49</v>
      </c>
      <c r="J2584">
        <v>22.63</v>
      </c>
      <c r="K2584" t="s">
        <v>59</v>
      </c>
    </row>
    <row r="2585" spans="1:11">
      <c r="A2585" t="str">
        <f>"301176"</f>
        <v>301176</v>
      </c>
      <c r="B2585" t="s">
        <v>2922</v>
      </c>
      <c r="C2585">
        <v>14.54</v>
      </c>
      <c r="D2585">
        <v>28.77</v>
      </c>
      <c r="E2585">
        <v>15.17</v>
      </c>
      <c r="F2585">
        <v>1.69</v>
      </c>
      <c r="G2585">
        <v>0.56</v>
      </c>
      <c r="H2585">
        <v>14605</v>
      </c>
      <c r="I2585">
        <v>2.87</v>
      </c>
      <c r="J2585" t="s">
        <v>14</v>
      </c>
      <c r="K2585" t="s">
        <v>472</v>
      </c>
    </row>
    <row r="2586" spans="1:11">
      <c r="A2586" t="str">
        <f>"301177"</f>
        <v>301177</v>
      </c>
      <c r="B2586" t="s">
        <v>2923</v>
      </c>
      <c r="C2586">
        <v>123.44</v>
      </c>
      <c r="D2586">
        <v>76.82</v>
      </c>
      <c r="E2586">
        <v>62.29</v>
      </c>
      <c r="F2586">
        <v>4</v>
      </c>
      <c r="G2586">
        <v>4</v>
      </c>
      <c r="H2586">
        <v>11695</v>
      </c>
      <c r="I2586">
        <v>1.98</v>
      </c>
      <c r="J2586">
        <v>90.35</v>
      </c>
      <c r="K2586" t="s">
        <v>35</v>
      </c>
    </row>
    <row r="2587" spans="1:11">
      <c r="A2587" t="str">
        <f>"301178"</f>
        <v>301178</v>
      </c>
      <c r="B2587" t="s">
        <v>2924</v>
      </c>
      <c r="C2587">
        <v>27.92</v>
      </c>
      <c r="D2587">
        <v>15.03</v>
      </c>
      <c r="E2587">
        <v>7.71</v>
      </c>
      <c r="F2587">
        <v>0.67</v>
      </c>
      <c r="G2587">
        <v>0.49</v>
      </c>
      <c r="H2587">
        <v>9434</v>
      </c>
      <c r="I2587">
        <v>4.89</v>
      </c>
      <c r="J2587">
        <v>675.27</v>
      </c>
      <c r="K2587" t="s">
        <v>117</v>
      </c>
    </row>
    <row r="2588" spans="1:11">
      <c r="A2588" t="str">
        <f>"301179"</f>
        <v>301179</v>
      </c>
      <c r="B2588" t="s">
        <v>2925</v>
      </c>
      <c r="C2588">
        <v>41.28</v>
      </c>
      <c r="D2588">
        <v>37.51</v>
      </c>
      <c r="E2588">
        <v>24.26</v>
      </c>
      <c r="F2588">
        <v>4.04</v>
      </c>
      <c r="G2588">
        <v>2.38</v>
      </c>
      <c r="H2588">
        <v>15274</v>
      </c>
      <c r="I2588">
        <v>2.9</v>
      </c>
      <c r="J2588">
        <v>90.81</v>
      </c>
      <c r="K2588" t="s">
        <v>127</v>
      </c>
    </row>
    <row r="2589" spans="1:11">
      <c r="A2589" t="str">
        <f>"301180"</f>
        <v>301180</v>
      </c>
      <c r="B2589" t="s">
        <v>2926</v>
      </c>
      <c r="C2589">
        <v>28.94</v>
      </c>
      <c r="D2589">
        <v>19.82</v>
      </c>
      <c r="E2589">
        <v>13.18</v>
      </c>
      <c r="F2589">
        <v>4</v>
      </c>
      <c r="G2589">
        <v>1.64</v>
      </c>
      <c r="H2589">
        <v>12662</v>
      </c>
      <c r="I2589">
        <v>5.35</v>
      </c>
      <c r="J2589">
        <v>547.73</v>
      </c>
      <c r="K2589" t="s">
        <v>41</v>
      </c>
    </row>
    <row r="2590" spans="1:11">
      <c r="A2590" t="str">
        <f>"301181"</f>
        <v>301181</v>
      </c>
      <c r="B2590" t="s">
        <v>2927</v>
      </c>
      <c r="C2590">
        <v>41.08</v>
      </c>
      <c r="D2590">
        <v>16.35</v>
      </c>
      <c r="E2590">
        <v>14.33</v>
      </c>
      <c r="F2590">
        <v>1.16</v>
      </c>
      <c r="G2590">
        <v>0.9</v>
      </c>
      <c r="H2590">
        <v>11696</v>
      </c>
      <c r="I2590">
        <v>3.67</v>
      </c>
      <c r="J2590">
        <v>43.64</v>
      </c>
      <c r="K2590" t="s">
        <v>517</v>
      </c>
    </row>
    <row r="2591" spans="1:11">
      <c r="A2591" t="str">
        <f>"301182"</f>
        <v>301182</v>
      </c>
      <c r="B2591" t="s">
        <v>2928</v>
      </c>
      <c r="C2591">
        <v>39.39</v>
      </c>
      <c r="D2591">
        <v>17.97</v>
      </c>
      <c r="E2591">
        <v>7.63</v>
      </c>
      <c r="F2591">
        <v>0.96</v>
      </c>
      <c r="G2591">
        <v>0.96</v>
      </c>
      <c r="H2591">
        <v>9258</v>
      </c>
      <c r="I2591">
        <v>5.16</v>
      </c>
      <c r="J2591" t="s">
        <v>14</v>
      </c>
      <c r="K2591" t="s">
        <v>41</v>
      </c>
    </row>
    <row r="2592" spans="1:11">
      <c r="A2592" t="str">
        <f>"301183"</f>
        <v>301183</v>
      </c>
      <c r="B2592" t="s">
        <v>2929</v>
      </c>
      <c r="C2592">
        <v>88.55</v>
      </c>
      <c r="D2592">
        <v>13.46</v>
      </c>
      <c r="E2592">
        <v>9.33</v>
      </c>
      <c r="F2592">
        <v>0.8</v>
      </c>
      <c r="G2592">
        <v>0.59</v>
      </c>
      <c r="H2592">
        <v>20751</v>
      </c>
      <c r="I2592">
        <v>12.94</v>
      </c>
      <c r="J2592">
        <v>113.2</v>
      </c>
      <c r="K2592" t="s">
        <v>66</v>
      </c>
    </row>
    <row r="2593" spans="1:11">
      <c r="A2593" t="str">
        <f>"301185"</f>
        <v>301185</v>
      </c>
      <c r="B2593" t="s">
        <v>2930</v>
      </c>
      <c r="C2593">
        <v>31.15</v>
      </c>
      <c r="D2593">
        <v>11.03</v>
      </c>
      <c r="E2593">
        <v>10.7</v>
      </c>
      <c r="F2593">
        <v>1.53</v>
      </c>
      <c r="G2593">
        <v>1.4</v>
      </c>
      <c r="H2593">
        <v>14436</v>
      </c>
      <c r="I2593">
        <v>3.19</v>
      </c>
      <c r="J2593">
        <v>57.58</v>
      </c>
      <c r="K2593" t="s">
        <v>117</v>
      </c>
    </row>
    <row r="2594" spans="1:11">
      <c r="A2594" t="str">
        <f>"301186"</f>
        <v>301186</v>
      </c>
      <c r="B2594" t="s">
        <v>2931</v>
      </c>
      <c r="C2594">
        <v>36.57</v>
      </c>
      <c r="D2594">
        <v>23.08</v>
      </c>
      <c r="E2594">
        <v>16.03</v>
      </c>
      <c r="F2594">
        <v>0.8</v>
      </c>
      <c r="G2594">
        <v>0.75</v>
      </c>
      <c r="H2594">
        <v>6945</v>
      </c>
      <c r="I2594">
        <v>2.45</v>
      </c>
      <c r="J2594">
        <v>26.55</v>
      </c>
      <c r="K2594" t="s">
        <v>493</v>
      </c>
    </row>
    <row r="2595" spans="1:11">
      <c r="A2595" t="str">
        <f>"301187"</f>
        <v>301187</v>
      </c>
      <c r="B2595" t="s">
        <v>2932</v>
      </c>
      <c r="C2595">
        <v>69.37</v>
      </c>
      <c r="D2595">
        <v>38.66</v>
      </c>
      <c r="E2595">
        <v>15.17</v>
      </c>
      <c r="F2595">
        <v>2.55</v>
      </c>
      <c r="G2595">
        <v>2.55</v>
      </c>
      <c r="H2595">
        <v>13352</v>
      </c>
      <c r="I2595">
        <v>4.57</v>
      </c>
      <c r="J2595">
        <v>39.89</v>
      </c>
      <c r="K2595" t="s">
        <v>2933</v>
      </c>
    </row>
    <row r="2596" spans="1:11">
      <c r="A2596" t="str">
        <f>"301188"</f>
        <v>301188</v>
      </c>
      <c r="B2596" t="s">
        <v>2934</v>
      </c>
      <c r="C2596">
        <v>44.59</v>
      </c>
      <c r="D2596">
        <v>25.61</v>
      </c>
      <c r="E2596">
        <v>16.04</v>
      </c>
      <c r="F2596">
        <v>2.39</v>
      </c>
      <c r="G2596">
        <v>2.39</v>
      </c>
      <c r="H2596">
        <v>17616</v>
      </c>
      <c r="I2596">
        <v>2.94</v>
      </c>
      <c r="J2596">
        <v>65.72</v>
      </c>
      <c r="K2596" t="s">
        <v>30</v>
      </c>
    </row>
    <row r="2597" spans="1:11">
      <c r="A2597" t="str">
        <f>"301189"</f>
        <v>301189</v>
      </c>
      <c r="B2597" t="s">
        <v>2935</v>
      </c>
      <c r="C2597">
        <v>49.61</v>
      </c>
      <c r="D2597">
        <v>29.18</v>
      </c>
      <c r="E2597">
        <v>21.02</v>
      </c>
      <c r="F2597">
        <v>1.16</v>
      </c>
      <c r="G2597">
        <v>1.12</v>
      </c>
      <c r="H2597">
        <v>17611</v>
      </c>
      <c r="I2597">
        <v>2.46</v>
      </c>
      <c r="J2597" t="s">
        <v>14</v>
      </c>
      <c r="K2597" t="s">
        <v>689</v>
      </c>
    </row>
    <row r="2598" spans="1:11">
      <c r="A2598" t="str">
        <f>"301190"</f>
        <v>301190</v>
      </c>
      <c r="B2598" t="s">
        <v>2936</v>
      </c>
      <c r="C2598">
        <v>35.19</v>
      </c>
      <c r="D2598">
        <v>23.33</v>
      </c>
      <c r="E2598">
        <v>19.55</v>
      </c>
      <c r="F2598">
        <v>2.15</v>
      </c>
      <c r="G2598">
        <v>1.59</v>
      </c>
      <c r="H2598">
        <v>9563</v>
      </c>
      <c r="I2598">
        <v>2.42</v>
      </c>
      <c r="J2598">
        <v>42.22</v>
      </c>
      <c r="K2598" t="s">
        <v>812</v>
      </c>
    </row>
    <row r="2599" spans="1:11">
      <c r="A2599" t="str">
        <f>"301191"</f>
        <v>301191</v>
      </c>
      <c r="B2599" t="s">
        <v>2937</v>
      </c>
      <c r="C2599">
        <v>62.27</v>
      </c>
      <c r="D2599">
        <v>30.03</v>
      </c>
      <c r="E2599">
        <v>16.62</v>
      </c>
      <c r="F2599">
        <v>0.69</v>
      </c>
      <c r="G2599">
        <v>0.52</v>
      </c>
      <c r="H2599">
        <v>12611</v>
      </c>
      <c r="I2599">
        <v>4.98</v>
      </c>
      <c r="J2599">
        <v>132.86</v>
      </c>
      <c r="K2599" t="s">
        <v>972</v>
      </c>
    </row>
    <row r="2600" spans="1:11">
      <c r="A2600" t="str">
        <f>"301192"</f>
        <v>301192</v>
      </c>
      <c r="B2600" t="s">
        <v>2938</v>
      </c>
      <c r="C2600">
        <v>14.15</v>
      </c>
      <c r="D2600">
        <v>8.49</v>
      </c>
      <c r="E2600">
        <v>6.2</v>
      </c>
      <c r="F2600">
        <v>1</v>
      </c>
      <c r="G2600">
        <v>0.48</v>
      </c>
      <c r="H2600">
        <v>4993</v>
      </c>
      <c r="I2600">
        <v>4.76</v>
      </c>
      <c r="J2600">
        <v>52.5</v>
      </c>
      <c r="K2600" t="s">
        <v>51</v>
      </c>
    </row>
    <row r="2601" spans="1:11">
      <c r="A2601" t="str">
        <f>"301193"</f>
        <v>301193</v>
      </c>
      <c r="B2601" t="s">
        <v>2939</v>
      </c>
      <c r="C2601">
        <v>31.52</v>
      </c>
      <c r="D2601">
        <v>53.28</v>
      </c>
      <c r="E2601">
        <v>16.75</v>
      </c>
      <c r="F2601">
        <v>1.95</v>
      </c>
      <c r="G2601">
        <v>1.38</v>
      </c>
      <c r="H2601">
        <v>6828</v>
      </c>
      <c r="I2601">
        <v>2.91</v>
      </c>
      <c r="J2601" t="s">
        <v>14</v>
      </c>
      <c r="K2601" t="s">
        <v>625</v>
      </c>
    </row>
    <row r="2602" spans="1:11">
      <c r="A2602" t="str">
        <f>"301195"</f>
        <v>301195</v>
      </c>
      <c r="B2602" t="s">
        <v>2940</v>
      </c>
      <c r="C2602">
        <v>32.41</v>
      </c>
      <c r="D2602">
        <v>27.89</v>
      </c>
      <c r="E2602">
        <v>24.12</v>
      </c>
      <c r="F2602">
        <v>1.32</v>
      </c>
      <c r="G2602">
        <v>0.88</v>
      </c>
      <c r="H2602">
        <v>11179</v>
      </c>
      <c r="I2602">
        <v>2.02</v>
      </c>
      <c r="J2602">
        <v>34.95</v>
      </c>
      <c r="K2602" t="s">
        <v>117</v>
      </c>
    </row>
    <row r="2603" spans="1:11">
      <c r="A2603" t="str">
        <f>"301196"</f>
        <v>301196</v>
      </c>
      <c r="B2603" t="s">
        <v>2941</v>
      </c>
      <c r="C2603">
        <v>62.56</v>
      </c>
      <c r="D2603">
        <v>42.3</v>
      </c>
      <c r="E2603">
        <v>33.1</v>
      </c>
      <c r="F2603">
        <v>1.25</v>
      </c>
      <c r="G2603">
        <v>0.82</v>
      </c>
      <c r="H2603">
        <v>17287</v>
      </c>
      <c r="I2603">
        <v>2.89</v>
      </c>
      <c r="J2603">
        <v>32.29</v>
      </c>
      <c r="K2603" t="s">
        <v>493</v>
      </c>
    </row>
    <row r="2604" spans="1:11">
      <c r="A2604" t="str">
        <f>"301197"</f>
        <v>301197</v>
      </c>
      <c r="B2604" t="s">
        <v>2942</v>
      </c>
      <c r="C2604">
        <v>17.58</v>
      </c>
      <c r="D2604">
        <v>17.02</v>
      </c>
      <c r="E2604">
        <v>12.85</v>
      </c>
      <c r="F2604">
        <v>1.21</v>
      </c>
      <c r="G2604">
        <v>0.82</v>
      </c>
      <c r="H2604">
        <v>11956</v>
      </c>
      <c r="I2604">
        <v>2.01</v>
      </c>
      <c r="J2604" t="s">
        <v>14</v>
      </c>
      <c r="K2604" t="s">
        <v>117</v>
      </c>
    </row>
    <row r="2605" spans="1:11">
      <c r="A2605" t="str">
        <f>"301198"</f>
        <v>301198</v>
      </c>
      <c r="B2605" t="s">
        <v>2943</v>
      </c>
      <c r="C2605">
        <v>24.03</v>
      </c>
      <c r="D2605">
        <v>11.93</v>
      </c>
      <c r="E2605">
        <v>9.14</v>
      </c>
      <c r="F2605">
        <v>1.69</v>
      </c>
      <c r="G2605">
        <v>1.56</v>
      </c>
      <c r="H2605">
        <v>8749</v>
      </c>
      <c r="I2605">
        <v>2.86</v>
      </c>
      <c r="J2605" t="s">
        <v>14</v>
      </c>
      <c r="K2605" t="s">
        <v>324</v>
      </c>
    </row>
    <row r="2606" spans="1:11">
      <c r="A2606" t="str">
        <f>"301199"</f>
        <v>301199</v>
      </c>
      <c r="B2606" t="s">
        <v>2944</v>
      </c>
      <c r="C2606">
        <v>15.87</v>
      </c>
      <c r="D2606">
        <v>30.5</v>
      </c>
      <c r="E2606">
        <v>19.26</v>
      </c>
      <c r="F2606">
        <v>1.87</v>
      </c>
      <c r="G2606">
        <v>0.64</v>
      </c>
      <c r="H2606">
        <v>13679</v>
      </c>
      <c r="I2606">
        <v>2.41</v>
      </c>
      <c r="J2606">
        <v>35.37</v>
      </c>
      <c r="K2606" t="s">
        <v>1527</v>
      </c>
    </row>
    <row r="2607" spans="1:11">
      <c r="A2607" t="str">
        <f>"301200"</f>
        <v>301200</v>
      </c>
      <c r="B2607" t="s">
        <v>2945</v>
      </c>
      <c r="C2607">
        <v>571.23</v>
      </c>
      <c r="D2607">
        <v>91.94</v>
      </c>
      <c r="E2607">
        <v>56.31</v>
      </c>
      <c r="F2607">
        <v>4.26</v>
      </c>
      <c r="G2607">
        <v>4.21</v>
      </c>
      <c r="H2607">
        <v>19043</v>
      </c>
      <c r="I2607">
        <v>10.24</v>
      </c>
      <c r="J2607">
        <v>87.98</v>
      </c>
      <c r="K2607" t="s">
        <v>493</v>
      </c>
    </row>
    <row r="2608" spans="1:11">
      <c r="A2608" t="str">
        <f>"301201"</f>
        <v>301201</v>
      </c>
      <c r="B2608" t="s">
        <v>2946</v>
      </c>
      <c r="C2608">
        <v>47.52</v>
      </c>
      <c r="D2608">
        <v>23.69</v>
      </c>
      <c r="E2608">
        <v>21.3</v>
      </c>
      <c r="F2608">
        <v>1.55</v>
      </c>
      <c r="G2608">
        <v>1.09</v>
      </c>
      <c r="H2608">
        <v>12654</v>
      </c>
      <c r="I2608">
        <v>3.18</v>
      </c>
      <c r="J2608">
        <v>302.87</v>
      </c>
      <c r="K2608" t="s">
        <v>1595</v>
      </c>
    </row>
    <row r="2609" spans="1:11">
      <c r="A2609" t="str">
        <f>"301202"</f>
        <v>301202</v>
      </c>
      <c r="B2609" t="s">
        <v>2947</v>
      </c>
      <c r="C2609">
        <v>16.03</v>
      </c>
      <c r="D2609">
        <v>18.28</v>
      </c>
      <c r="E2609">
        <v>11.91</v>
      </c>
      <c r="F2609">
        <v>1.36</v>
      </c>
      <c r="G2609">
        <v>0.37</v>
      </c>
      <c r="H2609">
        <v>12879</v>
      </c>
      <c r="I2609">
        <v>4.94</v>
      </c>
      <c r="J2609">
        <v>78.8</v>
      </c>
      <c r="K2609" t="s">
        <v>63</v>
      </c>
    </row>
    <row r="2610" spans="1:11">
      <c r="A2610" t="str">
        <f>"301203"</f>
        <v>301203</v>
      </c>
      <c r="B2610" t="s">
        <v>2948</v>
      </c>
      <c r="C2610">
        <v>15.09</v>
      </c>
      <c r="D2610">
        <v>14.95</v>
      </c>
      <c r="E2610">
        <v>14.25</v>
      </c>
      <c r="F2610">
        <v>0.8</v>
      </c>
      <c r="G2610">
        <v>0.44</v>
      </c>
      <c r="H2610">
        <v>7042</v>
      </c>
      <c r="I2610">
        <v>1.93</v>
      </c>
      <c r="J2610">
        <v>21.03</v>
      </c>
      <c r="K2610" t="s">
        <v>90</v>
      </c>
    </row>
    <row r="2611" spans="1:11">
      <c r="A2611" t="str">
        <f>"301205"</f>
        <v>301205</v>
      </c>
      <c r="B2611" t="s">
        <v>2949</v>
      </c>
      <c r="C2611">
        <v>125.1</v>
      </c>
      <c r="D2611">
        <v>27.61</v>
      </c>
      <c r="E2611">
        <v>15.86</v>
      </c>
      <c r="F2611">
        <v>1.3</v>
      </c>
      <c r="G2611">
        <v>0.68</v>
      </c>
      <c r="H2611">
        <v>24930</v>
      </c>
      <c r="I2611">
        <v>15.06</v>
      </c>
      <c r="J2611">
        <v>219</v>
      </c>
      <c r="K2611" t="s">
        <v>972</v>
      </c>
    </row>
    <row r="2612" spans="1:11">
      <c r="A2612" t="str">
        <f>"301206"</f>
        <v>301206</v>
      </c>
      <c r="B2612" t="s">
        <v>2950</v>
      </c>
      <c r="C2612">
        <v>35.38</v>
      </c>
      <c r="D2612">
        <v>44.82</v>
      </c>
      <c r="E2612">
        <v>43.15</v>
      </c>
      <c r="F2612">
        <v>2.02</v>
      </c>
      <c r="G2612">
        <v>1.3</v>
      </c>
      <c r="H2612">
        <v>15479</v>
      </c>
      <c r="I2612">
        <v>1.27</v>
      </c>
      <c r="J2612">
        <v>61.15</v>
      </c>
      <c r="K2612" t="s">
        <v>192</v>
      </c>
    </row>
    <row r="2613" spans="1:11">
      <c r="A2613" t="str">
        <f>"301207"</f>
        <v>301207</v>
      </c>
      <c r="B2613" t="s">
        <v>2951</v>
      </c>
      <c r="C2613">
        <v>121.03</v>
      </c>
      <c r="D2613">
        <v>71.79</v>
      </c>
      <c r="E2613">
        <v>56.75</v>
      </c>
      <c r="F2613">
        <v>6.01</v>
      </c>
      <c r="G2613">
        <v>6.01</v>
      </c>
      <c r="H2613">
        <v>22000</v>
      </c>
      <c r="I2613">
        <v>2.13</v>
      </c>
      <c r="J2613">
        <v>68.65</v>
      </c>
      <c r="K2613" t="s">
        <v>1921</v>
      </c>
    </row>
    <row r="2614" spans="1:11">
      <c r="A2614" t="str">
        <f>"301208"</f>
        <v>301208</v>
      </c>
      <c r="B2614" t="s">
        <v>2952</v>
      </c>
      <c r="C2614">
        <v>28.32</v>
      </c>
      <c r="D2614">
        <v>19</v>
      </c>
      <c r="E2614">
        <v>15.36</v>
      </c>
      <c r="F2614">
        <v>1.2</v>
      </c>
      <c r="G2614">
        <v>0.66</v>
      </c>
      <c r="H2614">
        <v>17785</v>
      </c>
      <c r="I2614">
        <v>3.35</v>
      </c>
      <c r="J2614">
        <v>119.63</v>
      </c>
      <c r="K2614" t="s">
        <v>117</v>
      </c>
    </row>
    <row r="2615" spans="1:11">
      <c r="A2615" t="str">
        <f>"301209"</f>
        <v>301209</v>
      </c>
      <c r="B2615" t="s">
        <v>2953</v>
      </c>
      <c r="C2615">
        <v>102.81</v>
      </c>
      <c r="D2615">
        <v>9.68</v>
      </c>
      <c r="E2615">
        <v>7.63</v>
      </c>
      <c r="F2615">
        <v>1.12</v>
      </c>
      <c r="G2615">
        <v>0.96</v>
      </c>
      <c r="H2615">
        <v>6153</v>
      </c>
      <c r="I2615">
        <v>15.77</v>
      </c>
      <c r="J2615">
        <v>190.36</v>
      </c>
      <c r="K2615" t="s">
        <v>246</v>
      </c>
    </row>
    <row r="2616" spans="1:11">
      <c r="A2616" t="str">
        <f>"301210"</f>
        <v>301210</v>
      </c>
      <c r="B2616" t="s">
        <v>2954</v>
      </c>
      <c r="C2616">
        <v>16.46</v>
      </c>
      <c r="D2616">
        <v>28.73</v>
      </c>
      <c r="E2616">
        <v>18.48</v>
      </c>
      <c r="F2616">
        <v>1.15</v>
      </c>
      <c r="G2616">
        <v>0.43</v>
      </c>
      <c r="H2616">
        <v>11875</v>
      </c>
      <c r="I2616">
        <v>2.35</v>
      </c>
      <c r="J2616">
        <v>96.71</v>
      </c>
      <c r="K2616" t="s">
        <v>70</v>
      </c>
    </row>
    <row r="2617" spans="1:11">
      <c r="A2617" t="str">
        <f>"301211"</f>
        <v>301211</v>
      </c>
      <c r="B2617" t="s">
        <v>2955</v>
      </c>
      <c r="C2617">
        <v>55.12</v>
      </c>
      <c r="D2617">
        <v>24.01</v>
      </c>
      <c r="E2617">
        <v>22.59</v>
      </c>
      <c r="F2617">
        <v>4.18</v>
      </c>
      <c r="G2617">
        <v>4.18</v>
      </c>
      <c r="H2617">
        <v>20598</v>
      </c>
      <c r="I2617">
        <v>2.44</v>
      </c>
      <c r="J2617">
        <v>197.5</v>
      </c>
      <c r="K2617" t="s">
        <v>404</v>
      </c>
    </row>
    <row r="2618" spans="1:11">
      <c r="A2618" t="str">
        <f>"301212"</f>
        <v>301212</v>
      </c>
      <c r="B2618" t="s">
        <v>2956</v>
      </c>
      <c r="C2618">
        <v>29.73</v>
      </c>
      <c r="D2618">
        <v>17.38</v>
      </c>
      <c r="E2618">
        <v>13.41</v>
      </c>
      <c r="F2618">
        <v>1.08</v>
      </c>
      <c r="G2618">
        <v>0.94</v>
      </c>
      <c r="H2618">
        <v>7270</v>
      </c>
      <c r="I2618">
        <v>2.55</v>
      </c>
      <c r="J2618">
        <v>206.9</v>
      </c>
      <c r="K2618" t="s">
        <v>511</v>
      </c>
    </row>
    <row r="2619" spans="1:11">
      <c r="A2619" t="str">
        <f>"301213"</f>
        <v>301213</v>
      </c>
      <c r="B2619" t="s">
        <v>2957</v>
      </c>
      <c r="C2619">
        <v>47.83</v>
      </c>
      <c r="D2619">
        <v>10.01</v>
      </c>
      <c r="E2619">
        <v>7.85</v>
      </c>
      <c r="F2619">
        <v>0.8</v>
      </c>
      <c r="G2619">
        <v>0.52</v>
      </c>
      <c r="H2619">
        <v>12088</v>
      </c>
      <c r="I2619">
        <v>9.43</v>
      </c>
      <c r="J2619">
        <v>7273.92</v>
      </c>
      <c r="K2619" t="s">
        <v>223</v>
      </c>
    </row>
    <row r="2620" spans="1:11">
      <c r="A2620" t="str">
        <f>"301215"</f>
        <v>301215</v>
      </c>
      <c r="B2620" t="s">
        <v>2958</v>
      </c>
      <c r="C2620">
        <v>92.83</v>
      </c>
      <c r="D2620">
        <v>35.39</v>
      </c>
      <c r="E2620">
        <v>29.19</v>
      </c>
      <c r="F2620">
        <v>13.24</v>
      </c>
      <c r="G2620">
        <v>13.22</v>
      </c>
      <c r="H2620">
        <v>28653</v>
      </c>
      <c r="I2620">
        <v>3.18</v>
      </c>
      <c r="J2620">
        <v>43.58</v>
      </c>
      <c r="K2620" t="s">
        <v>412</v>
      </c>
    </row>
    <row r="2621" spans="1:11">
      <c r="A2621" t="str">
        <f>"301216"</f>
        <v>301216</v>
      </c>
      <c r="B2621" t="s">
        <v>2959</v>
      </c>
      <c r="C2621">
        <v>112.3</v>
      </c>
      <c r="D2621">
        <v>176.25</v>
      </c>
      <c r="E2621">
        <v>60.03</v>
      </c>
      <c r="F2621">
        <v>5.8</v>
      </c>
      <c r="G2621">
        <v>5.48</v>
      </c>
      <c r="H2621">
        <v>29013</v>
      </c>
      <c r="I2621">
        <v>1.96</v>
      </c>
      <c r="J2621">
        <v>114.85</v>
      </c>
      <c r="K2621" t="s">
        <v>601</v>
      </c>
    </row>
    <row r="2622" spans="1:11">
      <c r="A2622" t="str">
        <f>"301217"</f>
        <v>301217</v>
      </c>
      <c r="B2622" t="s">
        <v>2960</v>
      </c>
      <c r="C2622">
        <v>280.79</v>
      </c>
      <c r="D2622">
        <v>75.09</v>
      </c>
      <c r="E2622">
        <v>54.11</v>
      </c>
      <c r="F2622">
        <v>8.29</v>
      </c>
      <c r="G2622">
        <v>8.29</v>
      </c>
      <c r="H2622">
        <v>63684</v>
      </c>
      <c r="I2622">
        <v>5.19</v>
      </c>
      <c r="J2622">
        <v>335.74</v>
      </c>
      <c r="K2622" t="s">
        <v>303</v>
      </c>
    </row>
    <row r="2623" spans="1:11">
      <c r="A2623" t="str">
        <f>"301218"</f>
        <v>301218</v>
      </c>
      <c r="B2623" t="s">
        <v>2961</v>
      </c>
      <c r="C2623">
        <v>20.59</v>
      </c>
      <c r="D2623">
        <v>16.28</v>
      </c>
      <c r="E2623">
        <v>9.18</v>
      </c>
      <c r="F2623">
        <v>1.14</v>
      </c>
      <c r="G2623">
        <v>0.7</v>
      </c>
      <c r="H2623">
        <v>13500</v>
      </c>
      <c r="I2623">
        <v>3.65</v>
      </c>
      <c r="J2623" t="s">
        <v>14</v>
      </c>
      <c r="K2623" t="s">
        <v>117</v>
      </c>
    </row>
    <row r="2624" spans="1:11">
      <c r="A2624" t="str">
        <f>"301219"</f>
        <v>301219</v>
      </c>
      <c r="B2624" t="s">
        <v>2962</v>
      </c>
      <c r="C2624">
        <v>148.36</v>
      </c>
      <c r="D2624">
        <v>122.33</v>
      </c>
      <c r="E2624">
        <v>93.57</v>
      </c>
      <c r="F2624">
        <v>2.95</v>
      </c>
      <c r="G2624">
        <v>2.05</v>
      </c>
      <c r="H2624">
        <v>28854</v>
      </c>
      <c r="I2624">
        <v>2.28</v>
      </c>
      <c r="J2624">
        <v>21.28</v>
      </c>
      <c r="K2624" t="s">
        <v>2399</v>
      </c>
    </row>
    <row r="2625" spans="1:11">
      <c r="A2625" t="str">
        <f>"301220"</f>
        <v>301220</v>
      </c>
      <c r="B2625" t="s">
        <v>2963</v>
      </c>
      <c r="C2625">
        <v>29.11</v>
      </c>
      <c r="D2625">
        <v>24.77</v>
      </c>
      <c r="E2625">
        <v>17.54</v>
      </c>
      <c r="F2625">
        <v>1.13</v>
      </c>
      <c r="G2625">
        <v>0.78</v>
      </c>
      <c r="H2625">
        <v>8800</v>
      </c>
      <c r="I2625">
        <v>2.4</v>
      </c>
      <c r="J2625">
        <v>26.15</v>
      </c>
      <c r="K2625" t="s">
        <v>511</v>
      </c>
    </row>
    <row r="2626" spans="1:11">
      <c r="A2626" t="str">
        <f>"301221"</f>
        <v>301221</v>
      </c>
      <c r="B2626" t="s">
        <v>2964</v>
      </c>
      <c r="C2626">
        <v>38.84</v>
      </c>
      <c r="D2626">
        <v>21.75</v>
      </c>
      <c r="E2626">
        <v>20.03</v>
      </c>
      <c r="F2626">
        <v>0.93</v>
      </c>
      <c r="G2626">
        <v>0.63</v>
      </c>
      <c r="H2626">
        <v>14448</v>
      </c>
      <c r="I2626">
        <v>2.86</v>
      </c>
      <c r="J2626">
        <v>96.07</v>
      </c>
      <c r="K2626" t="s">
        <v>530</v>
      </c>
    </row>
    <row r="2627" spans="1:11">
      <c r="A2627" t="str">
        <f>"301222"</f>
        <v>301222</v>
      </c>
      <c r="B2627" t="s">
        <v>2965</v>
      </c>
      <c r="C2627">
        <v>23.64</v>
      </c>
      <c r="D2627">
        <v>16.08</v>
      </c>
      <c r="E2627">
        <v>14.33</v>
      </c>
      <c r="F2627">
        <v>1</v>
      </c>
      <c r="G2627">
        <v>0.8</v>
      </c>
      <c r="H2627">
        <v>11429</v>
      </c>
      <c r="I2627">
        <v>2.07</v>
      </c>
      <c r="J2627">
        <v>36.36</v>
      </c>
      <c r="K2627" t="s">
        <v>1365</v>
      </c>
    </row>
    <row r="2628" spans="1:11">
      <c r="A2628" t="str">
        <f>"301223"</f>
        <v>301223</v>
      </c>
      <c r="B2628" t="s">
        <v>2966</v>
      </c>
      <c r="C2628">
        <v>21.03</v>
      </c>
      <c r="D2628">
        <v>44.41</v>
      </c>
      <c r="E2628">
        <v>29.69</v>
      </c>
      <c r="F2628">
        <v>1.93</v>
      </c>
      <c r="G2628">
        <v>1.12</v>
      </c>
      <c r="H2628">
        <v>17000</v>
      </c>
      <c r="I2628">
        <v>1.22</v>
      </c>
      <c r="J2628">
        <v>20.54</v>
      </c>
      <c r="K2628" t="s">
        <v>460</v>
      </c>
    </row>
    <row r="2629" spans="1:11">
      <c r="A2629" t="str">
        <f>"301225"</f>
        <v>301225</v>
      </c>
      <c r="B2629" t="s">
        <v>2967</v>
      </c>
      <c r="C2629">
        <v>44.58</v>
      </c>
      <c r="D2629">
        <v>19.9</v>
      </c>
      <c r="E2629">
        <v>15.34</v>
      </c>
      <c r="F2629">
        <v>1.03</v>
      </c>
      <c r="G2629">
        <v>0.3</v>
      </c>
      <c r="H2629">
        <v>8446</v>
      </c>
      <c r="I2629">
        <v>10.06</v>
      </c>
      <c r="J2629">
        <v>122.83</v>
      </c>
      <c r="K2629" t="s">
        <v>517</v>
      </c>
    </row>
    <row r="2630" spans="1:11">
      <c r="A2630" t="str">
        <f>"301226"</f>
        <v>301226</v>
      </c>
      <c r="B2630" t="s">
        <v>2968</v>
      </c>
      <c r="C2630">
        <v>36.07</v>
      </c>
      <c r="D2630">
        <v>10.51</v>
      </c>
      <c r="E2630">
        <v>9.12</v>
      </c>
      <c r="F2630">
        <v>1.09</v>
      </c>
      <c r="G2630">
        <v>1.09</v>
      </c>
      <c r="H2630">
        <v>11098</v>
      </c>
      <c r="I2630">
        <v>3.96</v>
      </c>
      <c r="J2630">
        <v>138.14</v>
      </c>
      <c r="K2630" t="s">
        <v>552</v>
      </c>
    </row>
    <row r="2631" spans="1:11">
      <c r="A2631" t="str">
        <f>"301227"</f>
        <v>301227</v>
      </c>
      <c r="B2631" t="s">
        <v>2969</v>
      </c>
      <c r="C2631">
        <v>12.35</v>
      </c>
      <c r="D2631">
        <v>21.74</v>
      </c>
      <c r="E2631">
        <v>16.4</v>
      </c>
      <c r="F2631">
        <v>0.95</v>
      </c>
      <c r="G2631">
        <v>0.34</v>
      </c>
      <c r="H2631">
        <v>4344</v>
      </c>
      <c r="I2631">
        <v>2.11</v>
      </c>
      <c r="J2631" t="s">
        <v>14</v>
      </c>
      <c r="K2631" t="s">
        <v>540</v>
      </c>
    </row>
    <row r="2632" spans="1:11">
      <c r="A2632" t="str">
        <f>"301228"</f>
        <v>301228</v>
      </c>
      <c r="B2632" t="s">
        <v>2970</v>
      </c>
      <c r="C2632">
        <v>50.76</v>
      </c>
      <c r="D2632">
        <v>11.06</v>
      </c>
      <c r="E2632">
        <v>6.9</v>
      </c>
      <c r="F2632">
        <v>1.2</v>
      </c>
      <c r="G2632">
        <v>1.19</v>
      </c>
      <c r="H2632">
        <v>6293</v>
      </c>
      <c r="I2632">
        <v>7.39</v>
      </c>
      <c r="J2632" t="s">
        <v>14</v>
      </c>
      <c r="K2632" t="s">
        <v>1733</v>
      </c>
    </row>
    <row r="2633" spans="1:11">
      <c r="A2633" t="str">
        <f>"301229"</f>
        <v>301229</v>
      </c>
      <c r="B2633" t="s">
        <v>2971</v>
      </c>
      <c r="C2633">
        <v>27.32</v>
      </c>
      <c r="D2633">
        <v>18.4</v>
      </c>
      <c r="E2633">
        <v>10.16</v>
      </c>
      <c r="F2633">
        <v>1.82</v>
      </c>
      <c r="G2633">
        <v>1.29</v>
      </c>
      <c r="H2633">
        <v>11985</v>
      </c>
      <c r="I2633">
        <v>3.52</v>
      </c>
      <c r="J2633">
        <v>91.25</v>
      </c>
      <c r="K2633" t="s">
        <v>517</v>
      </c>
    </row>
    <row r="2634" spans="1:11">
      <c r="A2634" t="str">
        <f>"301230"</f>
        <v>301230</v>
      </c>
      <c r="B2634" t="s">
        <v>2972</v>
      </c>
      <c r="C2634">
        <v>82.6</v>
      </c>
      <c r="D2634">
        <v>13.06</v>
      </c>
      <c r="E2634">
        <v>10.26</v>
      </c>
      <c r="F2634">
        <v>1.4</v>
      </c>
      <c r="G2634">
        <v>1.26</v>
      </c>
      <c r="H2634">
        <v>14019</v>
      </c>
      <c r="I2634">
        <v>8.94</v>
      </c>
      <c r="J2634">
        <v>198.12</v>
      </c>
      <c r="K2634" t="s">
        <v>1595</v>
      </c>
    </row>
    <row r="2635" spans="1:11">
      <c r="A2635" t="str">
        <f>"301231"</f>
        <v>301231</v>
      </c>
      <c r="B2635" t="s">
        <v>2973</v>
      </c>
      <c r="C2635">
        <v>26.09</v>
      </c>
      <c r="D2635">
        <v>9.59</v>
      </c>
      <c r="E2635">
        <v>8.41</v>
      </c>
      <c r="F2635">
        <v>0.84</v>
      </c>
      <c r="G2635">
        <v>0.54</v>
      </c>
      <c r="H2635">
        <v>9054</v>
      </c>
      <c r="I2635">
        <v>4.86</v>
      </c>
      <c r="J2635" t="s">
        <v>14</v>
      </c>
      <c r="K2635" t="s">
        <v>381</v>
      </c>
    </row>
    <row r="2636" spans="1:11">
      <c r="A2636" t="str">
        <f>"301232"</f>
        <v>301232</v>
      </c>
      <c r="B2636" t="s">
        <v>2974</v>
      </c>
      <c r="C2636">
        <v>84.78</v>
      </c>
      <c r="D2636">
        <v>43.16</v>
      </c>
      <c r="E2636">
        <v>14.11</v>
      </c>
      <c r="F2636">
        <v>0.75</v>
      </c>
      <c r="G2636">
        <v>0.45</v>
      </c>
      <c r="H2636">
        <v>13077</v>
      </c>
      <c r="I2636">
        <v>10.11</v>
      </c>
      <c r="J2636">
        <v>232.63</v>
      </c>
      <c r="K2636" t="s">
        <v>456</v>
      </c>
    </row>
    <row r="2637" spans="1:11">
      <c r="A2637" t="str">
        <f>"301233"</f>
        <v>301233</v>
      </c>
      <c r="B2637" t="s">
        <v>2975</v>
      </c>
      <c r="C2637">
        <v>15.55</v>
      </c>
      <c r="D2637">
        <v>10.71</v>
      </c>
      <c r="E2637">
        <v>9.66</v>
      </c>
      <c r="F2637">
        <v>0.51</v>
      </c>
      <c r="G2637">
        <v>0.28</v>
      </c>
      <c r="H2637">
        <v>7928</v>
      </c>
      <c r="I2637">
        <v>2.94</v>
      </c>
      <c r="J2637">
        <v>31.46</v>
      </c>
      <c r="K2637" t="s">
        <v>356</v>
      </c>
    </row>
    <row r="2638" spans="1:11">
      <c r="A2638" t="str">
        <f>"301234"</f>
        <v>301234</v>
      </c>
      <c r="B2638" t="s">
        <v>2976</v>
      </c>
      <c r="C2638">
        <v>16.68</v>
      </c>
      <c r="D2638">
        <v>8.67</v>
      </c>
      <c r="E2638">
        <v>7.61</v>
      </c>
      <c r="F2638">
        <v>0.68</v>
      </c>
      <c r="G2638">
        <v>0.4</v>
      </c>
      <c r="H2638">
        <v>5489</v>
      </c>
      <c r="I2638">
        <v>3.71</v>
      </c>
      <c r="J2638">
        <v>114.4</v>
      </c>
      <c r="K2638" t="s">
        <v>1173</v>
      </c>
    </row>
    <row r="2639" spans="1:11">
      <c r="A2639" t="str">
        <f>"301235"</f>
        <v>301235</v>
      </c>
      <c r="B2639" t="s">
        <v>2977</v>
      </c>
      <c r="C2639">
        <v>29.1</v>
      </c>
      <c r="D2639">
        <v>40.43</v>
      </c>
      <c r="E2639">
        <v>18.37</v>
      </c>
      <c r="F2639">
        <v>1.08</v>
      </c>
      <c r="G2639">
        <v>0.73</v>
      </c>
      <c r="H2639">
        <v>12715</v>
      </c>
      <c r="I2639">
        <v>2.37</v>
      </c>
      <c r="J2639">
        <v>52.87</v>
      </c>
      <c r="K2639" t="s">
        <v>170</v>
      </c>
    </row>
    <row r="2640" spans="1:11">
      <c r="A2640" t="str">
        <f>"301236"</f>
        <v>301236</v>
      </c>
      <c r="B2640" t="s">
        <v>2978</v>
      </c>
      <c r="C2640">
        <v>422.35</v>
      </c>
      <c r="D2640">
        <v>269.24</v>
      </c>
      <c r="E2640">
        <v>103.65</v>
      </c>
      <c r="F2640">
        <v>9.53</v>
      </c>
      <c r="G2640">
        <v>7.83</v>
      </c>
      <c r="H2640">
        <v>135424</v>
      </c>
      <c r="I2640">
        <v>4.96</v>
      </c>
      <c r="J2640">
        <v>389.78</v>
      </c>
      <c r="K2640" t="s">
        <v>117</v>
      </c>
    </row>
    <row r="2641" spans="1:11">
      <c r="A2641" t="str">
        <f>"301237"</f>
        <v>301237</v>
      </c>
      <c r="B2641" t="s">
        <v>2979</v>
      </c>
      <c r="C2641">
        <v>44.18</v>
      </c>
      <c r="D2641">
        <v>18.49</v>
      </c>
      <c r="E2641">
        <v>13.08</v>
      </c>
      <c r="F2641">
        <v>0.8</v>
      </c>
      <c r="G2641">
        <v>0.66</v>
      </c>
      <c r="H2641">
        <v>7366</v>
      </c>
      <c r="I2641">
        <v>4.1</v>
      </c>
      <c r="J2641" t="s">
        <v>14</v>
      </c>
      <c r="K2641" t="s">
        <v>496</v>
      </c>
    </row>
    <row r="2642" spans="1:11">
      <c r="A2642" t="str">
        <f>"301238"</f>
        <v>301238</v>
      </c>
      <c r="B2642" t="s">
        <v>2980</v>
      </c>
      <c r="C2642">
        <v>158.91</v>
      </c>
      <c r="D2642">
        <v>92.11</v>
      </c>
      <c r="E2642">
        <v>72.41</v>
      </c>
      <c r="F2642">
        <v>7.33</v>
      </c>
      <c r="G2642">
        <v>7.33</v>
      </c>
      <c r="H2642">
        <v>45614</v>
      </c>
      <c r="I2642">
        <v>2.19</v>
      </c>
      <c r="J2642">
        <v>101.15</v>
      </c>
      <c r="K2642" t="s">
        <v>24</v>
      </c>
    </row>
    <row r="2643" spans="1:11">
      <c r="A2643" t="str">
        <f>"301239"</f>
        <v>301239</v>
      </c>
      <c r="B2643" t="s">
        <v>2981</v>
      </c>
      <c r="C2643">
        <v>51.26</v>
      </c>
      <c r="D2643">
        <v>46.07</v>
      </c>
      <c r="E2643">
        <v>21.24</v>
      </c>
      <c r="F2643">
        <v>1.5</v>
      </c>
      <c r="G2643">
        <v>1.5</v>
      </c>
      <c r="H2643">
        <v>10438</v>
      </c>
      <c r="I2643">
        <v>2.41</v>
      </c>
      <c r="J2643">
        <v>235.15</v>
      </c>
      <c r="K2643" t="s">
        <v>181</v>
      </c>
    </row>
    <row r="2644" spans="1:11">
      <c r="A2644" t="str">
        <f>"301246"</f>
        <v>301246</v>
      </c>
      <c r="B2644" t="s">
        <v>2982</v>
      </c>
      <c r="C2644">
        <v>35.18</v>
      </c>
      <c r="D2644">
        <v>59.02</v>
      </c>
      <c r="E2644">
        <v>43.35</v>
      </c>
      <c r="F2644">
        <v>4</v>
      </c>
      <c r="G2644">
        <v>1.6</v>
      </c>
      <c r="H2644">
        <v>28012</v>
      </c>
      <c r="I2644">
        <v>2.03</v>
      </c>
      <c r="J2644" t="s">
        <v>14</v>
      </c>
      <c r="K2644" t="s">
        <v>404</v>
      </c>
    </row>
    <row r="2645" spans="1:11">
      <c r="A2645" t="str">
        <f>"301248"</f>
        <v>301248</v>
      </c>
      <c r="B2645" t="s">
        <v>2983</v>
      </c>
      <c r="C2645">
        <v>49.41</v>
      </c>
      <c r="D2645">
        <v>29.54</v>
      </c>
      <c r="E2645">
        <v>15.28</v>
      </c>
      <c r="F2645">
        <v>1.54</v>
      </c>
      <c r="G2645">
        <v>1.12</v>
      </c>
      <c r="H2645">
        <v>17122</v>
      </c>
      <c r="I2645">
        <v>4.43</v>
      </c>
      <c r="J2645">
        <v>222.69</v>
      </c>
      <c r="K2645" t="s">
        <v>117</v>
      </c>
    </row>
    <row r="2646" spans="1:11">
      <c r="A2646" t="str">
        <f>"301251"</f>
        <v>301251</v>
      </c>
      <c r="B2646" t="s">
        <v>2984</v>
      </c>
      <c r="C2646">
        <v>30.7</v>
      </c>
      <c r="D2646">
        <v>28.63</v>
      </c>
      <c r="E2646">
        <v>15.69</v>
      </c>
      <c r="F2646">
        <v>1.35</v>
      </c>
      <c r="G2646">
        <v>0.54</v>
      </c>
      <c r="H2646">
        <v>16896</v>
      </c>
      <c r="I2646">
        <v>4.88</v>
      </c>
      <c r="J2646">
        <v>82.28</v>
      </c>
      <c r="K2646" t="s">
        <v>472</v>
      </c>
    </row>
    <row r="2647" spans="1:11">
      <c r="A2647" t="str">
        <f>"301252"</f>
        <v>301252</v>
      </c>
      <c r="B2647" t="s">
        <v>2985</v>
      </c>
      <c r="C2647">
        <v>15.21</v>
      </c>
      <c r="D2647">
        <v>17.43</v>
      </c>
      <c r="E2647">
        <v>12.94</v>
      </c>
      <c r="F2647">
        <v>1.69</v>
      </c>
      <c r="G2647">
        <v>0.47</v>
      </c>
      <c r="H2647">
        <v>12729</v>
      </c>
      <c r="I2647">
        <v>4.18</v>
      </c>
      <c r="J2647">
        <v>46.11</v>
      </c>
      <c r="K2647" t="s">
        <v>203</v>
      </c>
    </row>
    <row r="2648" spans="1:11">
      <c r="A2648" t="str">
        <f>"301255"</f>
        <v>301255</v>
      </c>
      <c r="B2648" t="s">
        <v>2986</v>
      </c>
      <c r="C2648">
        <v>11.1</v>
      </c>
      <c r="D2648">
        <v>14.82</v>
      </c>
      <c r="E2648">
        <v>10.51</v>
      </c>
      <c r="F2648">
        <v>1.52</v>
      </c>
      <c r="G2648">
        <v>0.38</v>
      </c>
      <c r="H2648">
        <v>11827</v>
      </c>
      <c r="I2648">
        <v>4.22</v>
      </c>
      <c r="J2648">
        <v>100.43</v>
      </c>
      <c r="K2648" t="s">
        <v>424</v>
      </c>
    </row>
    <row r="2649" spans="1:11">
      <c r="A2649" t="str">
        <f>"301256"</f>
        <v>301256</v>
      </c>
      <c r="B2649" t="s">
        <v>2987</v>
      </c>
      <c r="C2649">
        <v>86.93</v>
      </c>
      <c r="D2649">
        <v>22.58</v>
      </c>
      <c r="E2649">
        <v>17.08</v>
      </c>
      <c r="F2649">
        <v>4.8</v>
      </c>
      <c r="G2649">
        <v>4.8</v>
      </c>
      <c r="H2649">
        <v>19234</v>
      </c>
      <c r="I2649">
        <v>5.09</v>
      </c>
      <c r="J2649">
        <v>122.77</v>
      </c>
      <c r="K2649" t="s">
        <v>348</v>
      </c>
    </row>
    <row r="2650" spans="1:11">
      <c r="A2650" t="str">
        <f>"301257"</f>
        <v>301257</v>
      </c>
      <c r="B2650" t="s">
        <v>2988</v>
      </c>
      <c r="C2650">
        <v>62.41</v>
      </c>
      <c r="D2650">
        <v>15.04</v>
      </c>
      <c r="E2650">
        <v>12.53</v>
      </c>
      <c r="F2650">
        <v>0.79</v>
      </c>
      <c r="G2650">
        <v>0.75</v>
      </c>
      <c r="H2650">
        <v>6759</v>
      </c>
      <c r="I2650">
        <v>5.23</v>
      </c>
      <c r="J2650">
        <v>56.19</v>
      </c>
      <c r="K2650" t="s">
        <v>1595</v>
      </c>
    </row>
    <row r="2651" spans="1:11">
      <c r="A2651" t="str">
        <f>"301258"</f>
        <v>301258</v>
      </c>
      <c r="B2651" t="s">
        <v>2989</v>
      </c>
      <c r="C2651">
        <v>30.44</v>
      </c>
      <c r="D2651">
        <v>21.54</v>
      </c>
      <c r="E2651">
        <v>19.12</v>
      </c>
      <c r="F2651">
        <v>0.92</v>
      </c>
      <c r="G2651">
        <v>0.89</v>
      </c>
      <c r="H2651">
        <v>9763</v>
      </c>
      <c r="I2651">
        <v>1.64</v>
      </c>
      <c r="J2651">
        <v>32.02</v>
      </c>
      <c r="K2651" t="s">
        <v>404</v>
      </c>
    </row>
    <row r="2652" spans="1:11">
      <c r="A2652" t="str">
        <f>"301259"</f>
        <v>301259</v>
      </c>
      <c r="B2652" t="s">
        <v>2990</v>
      </c>
      <c r="C2652">
        <v>35.86</v>
      </c>
      <c r="D2652">
        <v>16.34</v>
      </c>
      <c r="E2652">
        <v>8.27</v>
      </c>
      <c r="F2652">
        <v>1.56</v>
      </c>
      <c r="G2652">
        <v>0.99</v>
      </c>
      <c r="H2652">
        <v>15788</v>
      </c>
      <c r="I2652">
        <v>6.84</v>
      </c>
      <c r="J2652" t="s">
        <v>14</v>
      </c>
      <c r="K2652" t="s">
        <v>90</v>
      </c>
    </row>
    <row r="2653" spans="1:11">
      <c r="A2653" t="str">
        <f>"301260"</f>
        <v>301260</v>
      </c>
      <c r="B2653" t="s">
        <v>2991</v>
      </c>
      <c r="C2653">
        <v>35.88</v>
      </c>
      <c r="D2653">
        <v>104.24</v>
      </c>
      <c r="E2653">
        <v>44.6</v>
      </c>
      <c r="F2653">
        <v>4.82</v>
      </c>
      <c r="G2653">
        <v>2.04</v>
      </c>
      <c r="H2653">
        <v>25455</v>
      </c>
      <c r="I2653">
        <v>1.9</v>
      </c>
      <c r="J2653" t="s">
        <v>14</v>
      </c>
      <c r="K2653" t="s">
        <v>1556</v>
      </c>
    </row>
    <row r="2654" spans="1:11">
      <c r="A2654" t="str">
        <f>"301261"</f>
        <v>301261</v>
      </c>
      <c r="B2654" t="s">
        <v>2992</v>
      </c>
      <c r="C2654">
        <v>36.71</v>
      </c>
      <c r="D2654">
        <v>26.31</v>
      </c>
      <c r="E2654">
        <v>15.7</v>
      </c>
      <c r="F2654">
        <v>0.88</v>
      </c>
      <c r="G2654">
        <v>0.37</v>
      </c>
      <c r="H2654">
        <v>15251</v>
      </c>
      <c r="I2654">
        <v>5.48</v>
      </c>
      <c r="J2654">
        <v>82.59</v>
      </c>
      <c r="K2654" t="s">
        <v>424</v>
      </c>
    </row>
    <row r="2655" spans="1:11">
      <c r="A2655" t="str">
        <f>"301262"</f>
        <v>301262</v>
      </c>
      <c r="B2655" t="s">
        <v>2993</v>
      </c>
      <c r="C2655">
        <v>33.63</v>
      </c>
      <c r="D2655">
        <v>42.56</v>
      </c>
      <c r="E2655">
        <v>38.41</v>
      </c>
      <c r="F2655">
        <v>4.17</v>
      </c>
      <c r="G2655">
        <v>1.22</v>
      </c>
      <c r="H2655">
        <v>16771</v>
      </c>
      <c r="I2655">
        <v>2.99</v>
      </c>
      <c r="J2655">
        <v>27</v>
      </c>
      <c r="K2655" t="s">
        <v>113</v>
      </c>
    </row>
    <row r="2656" spans="1:11">
      <c r="A2656" t="str">
        <f>"301263"</f>
        <v>301263</v>
      </c>
      <c r="B2656" t="s">
        <v>2994</v>
      </c>
      <c r="C2656">
        <v>92.75</v>
      </c>
      <c r="D2656">
        <v>24.06</v>
      </c>
      <c r="E2656">
        <v>17.34</v>
      </c>
      <c r="F2656">
        <v>4.25</v>
      </c>
      <c r="G2656">
        <v>3.04</v>
      </c>
      <c r="H2656">
        <v>11961</v>
      </c>
      <c r="I2656">
        <v>7.5</v>
      </c>
      <c r="J2656">
        <v>310.43</v>
      </c>
      <c r="K2656" t="s">
        <v>48</v>
      </c>
    </row>
    <row r="2657" spans="1:11">
      <c r="A2657" t="str">
        <f>"301265"</f>
        <v>301265</v>
      </c>
      <c r="B2657" t="s">
        <v>2995</v>
      </c>
      <c r="C2657">
        <v>23.45</v>
      </c>
      <c r="D2657">
        <v>25.45</v>
      </c>
      <c r="E2657">
        <v>21.15</v>
      </c>
      <c r="F2657">
        <v>3.03</v>
      </c>
      <c r="G2657">
        <v>1.7</v>
      </c>
      <c r="H2657">
        <v>17241</v>
      </c>
      <c r="I2657">
        <v>1.98</v>
      </c>
      <c r="J2657">
        <v>57.76</v>
      </c>
      <c r="K2657" t="s">
        <v>59</v>
      </c>
    </row>
    <row r="2658" spans="1:11">
      <c r="A2658" t="str">
        <f>"301266"</f>
        <v>301266</v>
      </c>
      <c r="B2658" t="s">
        <v>2996</v>
      </c>
      <c r="C2658">
        <v>40.69</v>
      </c>
      <c r="D2658">
        <v>33.69</v>
      </c>
      <c r="E2658">
        <v>18.62</v>
      </c>
      <c r="F2658">
        <v>1.1</v>
      </c>
      <c r="G2658">
        <v>1.04</v>
      </c>
      <c r="H2658">
        <v>12757</v>
      </c>
      <c r="I2658">
        <v>2.38</v>
      </c>
      <c r="J2658">
        <v>60.98</v>
      </c>
      <c r="K2658" t="s">
        <v>667</v>
      </c>
    </row>
    <row r="2659" spans="1:11">
      <c r="A2659" t="str">
        <f>"301267"</f>
        <v>301267</v>
      </c>
      <c r="B2659" t="s">
        <v>2997</v>
      </c>
      <c r="C2659">
        <v>125.67</v>
      </c>
      <c r="D2659">
        <v>81.63</v>
      </c>
      <c r="E2659">
        <v>59.99</v>
      </c>
      <c r="F2659">
        <v>8.4</v>
      </c>
      <c r="G2659">
        <v>6.48</v>
      </c>
      <c r="H2659">
        <v>21229</v>
      </c>
      <c r="I2659">
        <v>2.71</v>
      </c>
      <c r="J2659">
        <v>28.16</v>
      </c>
      <c r="K2659" t="s">
        <v>181</v>
      </c>
    </row>
    <row r="2660" spans="1:11">
      <c r="A2660" t="str">
        <f>"301268"</f>
        <v>301268</v>
      </c>
      <c r="B2660" t="s">
        <v>2998</v>
      </c>
      <c r="C2660">
        <v>67.19</v>
      </c>
      <c r="D2660">
        <v>63.12</v>
      </c>
      <c r="E2660">
        <v>18.01</v>
      </c>
      <c r="F2660">
        <v>4</v>
      </c>
      <c r="G2660">
        <v>3.49</v>
      </c>
      <c r="H2660">
        <v>12753</v>
      </c>
      <c r="I2660">
        <v>4.59</v>
      </c>
      <c r="J2660" t="s">
        <v>14</v>
      </c>
      <c r="K2660" t="s">
        <v>63</v>
      </c>
    </row>
    <row r="2661" spans="1:11">
      <c r="A2661" t="str">
        <f>"301269"</f>
        <v>301269</v>
      </c>
      <c r="B2661" t="s">
        <v>2999</v>
      </c>
      <c r="C2661">
        <v>638</v>
      </c>
      <c r="D2661">
        <v>56.48</v>
      </c>
      <c r="E2661">
        <v>51.96</v>
      </c>
      <c r="F2661">
        <v>5.45</v>
      </c>
      <c r="G2661">
        <v>5.45</v>
      </c>
      <c r="H2661">
        <v>48790</v>
      </c>
      <c r="I2661">
        <v>12.28</v>
      </c>
      <c r="J2661">
        <v>5281.33</v>
      </c>
      <c r="K2661" t="s">
        <v>691</v>
      </c>
    </row>
    <row r="2662" spans="1:11">
      <c r="A2662" t="str">
        <f>"301270"</f>
        <v>301270</v>
      </c>
      <c r="B2662" t="s">
        <v>3000</v>
      </c>
      <c r="C2662">
        <v>46.04</v>
      </c>
      <c r="D2662">
        <v>10.3</v>
      </c>
      <c r="E2662">
        <v>9.75</v>
      </c>
      <c r="F2662">
        <v>1</v>
      </c>
      <c r="G2662">
        <v>0.94</v>
      </c>
      <c r="H2662">
        <v>11098</v>
      </c>
      <c r="I2662">
        <v>5</v>
      </c>
      <c r="J2662">
        <v>404</v>
      </c>
      <c r="K2662" t="s">
        <v>117</v>
      </c>
    </row>
    <row r="2663" spans="1:11">
      <c r="A2663" t="str">
        <f>"301272"</f>
        <v>301272</v>
      </c>
      <c r="B2663" t="s">
        <v>3001</v>
      </c>
      <c r="C2663">
        <v>13.08</v>
      </c>
      <c r="D2663">
        <v>12.54</v>
      </c>
      <c r="E2663">
        <v>10.13</v>
      </c>
      <c r="F2663">
        <v>0.59</v>
      </c>
      <c r="G2663">
        <v>0.31</v>
      </c>
      <c r="H2663">
        <v>6180</v>
      </c>
      <c r="I2663">
        <v>2.41</v>
      </c>
      <c r="J2663">
        <v>91.25</v>
      </c>
      <c r="K2663" t="s">
        <v>203</v>
      </c>
    </row>
    <row r="2664" spans="1:11">
      <c r="A2664" t="str">
        <f>"301273"</f>
        <v>301273</v>
      </c>
      <c r="B2664" t="s">
        <v>3002</v>
      </c>
      <c r="C2664">
        <v>15.13</v>
      </c>
      <c r="D2664">
        <v>12.11</v>
      </c>
      <c r="E2664">
        <v>9.22</v>
      </c>
      <c r="F2664">
        <v>0.72</v>
      </c>
      <c r="G2664">
        <v>0.55</v>
      </c>
      <c r="H2664">
        <v>5061</v>
      </c>
      <c r="I2664">
        <v>2.14</v>
      </c>
      <c r="J2664" t="s">
        <v>14</v>
      </c>
      <c r="K2664" t="s">
        <v>744</v>
      </c>
    </row>
    <row r="2665" spans="1:11">
      <c r="A2665" t="str">
        <f>"301275"</f>
        <v>301275</v>
      </c>
      <c r="B2665" t="s">
        <v>3003</v>
      </c>
      <c r="C2665">
        <v>24.21</v>
      </c>
      <c r="D2665">
        <v>60.13</v>
      </c>
      <c r="E2665">
        <v>40</v>
      </c>
      <c r="F2665">
        <v>4.22</v>
      </c>
      <c r="G2665">
        <v>0.34</v>
      </c>
      <c r="H2665">
        <v>15696</v>
      </c>
      <c r="I2665">
        <v>7.57</v>
      </c>
      <c r="J2665">
        <v>72.2</v>
      </c>
      <c r="K2665" t="s">
        <v>82</v>
      </c>
    </row>
    <row r="2666" spans="1:11">
      <c r="A2666" t="str">
        <f>"301276"</f>
        <v>301276</v>
      </c>
      <c r="B2666" t="s">
        <v>3004</v>
      </c>
      <c r="C2666">
        <v>12.89</v>
      </c>
      <c r="D2666">
        <v>25.74</v>
      </c>
      <c r="E2666">
        <v>20.84</v>
      </c>
      <c r="F2666">
        <v>1.3</v>
      </c>
      <c r="G2666">
        <v>0.46</v>
      </c>
      <c r="H2666">
        <v>9636</v>
      </c>
      <c r="I2666">
        <v>1.74</v>
      </c>
      <c r="J2666">
        <v>40.29</v>
      </c>
      <c r="K2666" t="s">
        <v>622</v>
      </c>
    </row>
    <row r="2667" spans="1:11">
      <c r="A2667" t="str">
        <f>"301277"</f>
        <v>301277</v>
      </c>
      <c r="B2667" t="s">
        <v>3005</v>
      </c>
      <c r="C2667">
        <v>50.26</v>
      </c>
      <c r="D2667">
        <v>17.45</v>
      </c>
      <c r="E2667">
        <v>15.22</v>
      </c>
      <c r="F2667">
        <v>3.92</v>
      </c>
      <c r="G2667">
        <v>3.92</v>
      </c>
      <c r="H2667">
        <v>17939</v>
      </c>
      <c r="I2667">
        <v>3.3</v>
      </c>
      <c r="J2667">
        <v>41.02</v>
      </c>
      <c r="K2667" t="s">
        <v>404</v>
      </c>
    </row>
    <row r="2668" spans="1:11">
      <c r="A2668" t="str">
        <f>"301278"</f>
        <v>301278</v>
      </c>
      <c r="B2668" t="s">
        <v>3006</v>
      </c>
      <c r="C2668">
        <v>18.29</v>
      </c>
      <c r="D2668">
        <v>21.62</v>
      </c>
      <c r="E2668">
        <v>14.23</v>
      </c>
      <c r="F2668">
        <v>0.9</v>
      </c>
      <c r="G2668">
        <v>0.51</v>
      </c>
      <c r="H2668">
        <v>13259</v>
      </c>
      <c r="I2668">
        <v>2.24</v>
      </c>
      <c r="J2668">
        <v>119.93</v>
      </c>
      <c r="K2668" t="s">
        <v>667</v>
      </c>
    </row>
    <row r="2669" spans="1:11">
      <c r="A2669" t="str">
        <f>"301279"</f>
        <v>301279</v>
      </c>
      <c r="B2669" t="s">
        <v>3007</v>
      </c>
      <c r="C2669">
        <v>33.67</v>
      </c>
      <c r="D2669">
        <v>17.53</v>
      </c>
      <c r="E2669">
        <v>13.47</v>
      </c>
      <c r="F2669">
        <v>1.3</v>
      </c>
      <c r="G2669">
        <v>0.98</v>
      </c>
      <c r="H2669">
        <v>8621</v>
      </c>
      <c r="I2669">
        <v>3.31</v>
      </c>
      <c r="J2669">
        <v>65.59</v>
      </c>
      <c r="K2669" t="s">
        <v>641</v>
      </c>
    </row>
    <row r="2670" spans="1:11">
      <c r="A2670" t="str">
        <f>"301280"</f>
        <v>301280</v>
      </c>
      <c r="B2670" t="s">
        <v>3008</v>
      </c>
      <c r="C2670">
        <v>23.72</v>
      </c>
      <c r="D2670">
        <v>27.92</v>
      </c>
      <c r="E2670">
        <v>18.66</v>
      </c>
      <c r="F2670">
        <v>1.37</v>
      </c>
      <c r="G2670">
        <v>0.4</v>
      </c>
      <c r="H2670">
        <v>8894</v>
      </c>
      <c r="I2670">
        <v>4.33</v>
      </c>
      <c r="J2670">
        <v>37.65</v>
      </c>
      <c r="K2670" t="s">
        <v>41</v>
      </c>
    </row>
    <row r="2671" spans="1:11">
      <c r="A2671" t="str">
        <f>"301281"</f>
        <v>301281</v>
      </c>
      <c r="B2671" t="s">
        <v>3009</v>
      </c>
      <c r="C2671">
        <v>21.87</v>
      </c>
      <c r="D2671">
        <v>16.06</v>
      </c>
      <c r="E2671">
        <v>13.71</v>
      </c>
      <c r="F2671">
        <v>1.08</v>
      </c>
      <c r="G2671">
        <v>0.69</v>
      </c>
      <c r="H2671">
        <v>11085</v>
      </c>
      <c r="I2671">
        <v>2.51</v>
      </c>
      <c r="J2671">
        <v>81.96</v>
      </c>
      <c r="K2671" t="s">
        <v>404</v>
      </c>
    </row>
    <row r="2672" spans="1:11">
      <c r="A2672" t="str">
        <f>"301282"</f>
        <v>301282</v>
      </c>
      <c r="B2672" t="s">
        <v>3010</v>
      </c>
      <c r="C2672">
        <v>23.69</v>
      </c>
      <c r="D2672">
        <v>30.93</v>
      </c>
      <c r="E2672">
        <v>17.11</v>
      </c>
      <c r="F2672">
        <v>1.51</v>
      </c>
      <c r="G2672">
        <v>0.8</v>
      </c>
      <c r="H2672">
        <v>15753</v>
      </c>
      <c r="I2672">
        <v>2.63</v>
      </c>
      <c r="J2672">
        <v>54.87</v>
      </c>
      <c r="K2672" t="s">
        <v>472</v>
      </c>
    </row>
    <row r="2673" spans="1:11">
      <c r="A2673" t="str">
        <f>"301283"</f>
        <v>301283</v>
      </c>
      <c r="B2673" t="s">
        <v>3011</v>
      </c>
      <c r="C2673">
        <v>22.58</v>
      </c>
      <c r="D2673">
        <v>24.89</v>
      </c>
      <c r="E2673">
        <v>16.37</v>
      </c>
      <c r="F2673">
        <v>0.8</v>
      </c>
      <c r="G2673">
        <v>0.46</v>
      </c>
      <c r="H2673">
        <v>6404</v>
      </c>
      <c r="I2673">
        <v>2.42</v>
      </c>
      <c r="J2673">
        <v>20.95</v>
      </c>
      <c r="K2673" t="s">
        <v>1454</v>
      </c>
    </row>
    <row r="2674" spans="1:11">
      <c r="A2674" t="str">
        <f>"301285"</f>
        <v>301285</v>
      </c>
      <c r="B2674" t="s">
        <v>3012</v>
      </c>
      <c r="C2674">
        <v>52.63</v>
      </c>
      <c r="D2674">
        <v>21.1</v>
      </c>
      <c r="E2674">
        <v>10.19</v>
      </c>
      <c r="F2674">
        <v>2.07</v>
      </c>
      <c r="G2674">
        <v>0.78</v>
      </c>
      <c r="H2674">
        <v>11434</v>
      </c>
      <c r="I2674">
        <v>13.6</v>
      </c>
      <c r="J2674" t="s">
        <v>14</v>
      </c>
      <c r="K2674" t="s">
        <v>41</v>
      </c>
    </row>
    <row r="2675" spans="1:11">
      <c r="A2675" t="str">
        <f>"301286"</f>
        <v>301286</v>
      </c>
      <c r="B2675" t="s">
        <v>3013</v>
      </c>
      <c r="C2675">
        <v>74.29</v>
      </c>
      <c r="D2675">
        <v>20.76</v>
      </c>
      <c r="E2675">
        <v>19.1</v>
      </c>
      <c r="F2675">
        <v>4</v>
      </c>
      <c r="G2675">
        <v>1.61</v>
      </c>
      <c r="H2675">
        <v>7809</v>
      </c>
      <c r="I2675">
        <v>9.65</v>
      </c>
      <c r="J2675">
        <v>76.42</v>
      </c>
      <c r="K2675" t="s">
        <v>511</v>
      </c>
    </row>
    <row r="2676" spans="1:11">
      <c r="A2676" t="str">
        <f>"301287"</f>
        <v>301287</v>
      </c>
      <c r="B2676" t="s">
        <v>3014</v>
      </c>
      <c r="C2676">
        <v>7.78</v>
      </c>
      <c r="D2676">
        <v>16.32</v>
      </c>
      <c r="E2676">
        <v>11.58</v>
      </c>
      <c r="F2676">
        <v>0.67</v>
      </c>
      <c r="G2676">
        <v>0.17</v>
      </c>
      <c r="H2676">
        <v>7984</v>
      </c>
      <c r="I2676">
        <v>2.63</v>
      </c>
      <c r="J2676">
        <v>40.28</v>
      </c>
      <c r="K2676" t="s">
        <v>637</v>
      </c>
    </row>
    <row r="2677" spans="1:11">
      <c r="A2677" t="str">
        <f>"301288"</f>
        <v>301288</v>
      </c>
      <c r="B2677" t="s">
        <v>3015</v>
      </c>
      <c r="C2677">
        <v>15.97</v>
      </c>
      <c r="D2677">
        <v>10.45</v>
      </c>
      <c r="E2677">
        <v>7.95</v>
      </c>
      <c r="F2677">
        <v>1.08</v>
      </c>
      <c r="G2677">
        <v>0.78</v>
      </c>
      <c r="H2677">
        <v>3289</v>
      </c>
      <c r="I2677">
        <v>2.78</v>
      </c>
      <c r="J2677" t="s">
        <v>14</v>
      </c>
      <c r="K2677" t="s">
        <v>228</v>
      </c>
    </row>
    <row r="2678" spans="1:11">
      <c r="A2678" t="str">
        <f>"301289"</f>
        <v>301289</v>
      </c>
      <c r="B2678" t="s">
        <v>3016</v>
      </c>
      <c r="C2678">
        <v>46.79</v>
      </c>
      <c r="D2678">
        <v>13.26</v>
      </c>
      <c r="E2678">
        <v>9.88</v>
      </c>
      <c r="F2678">
        <v>0.78</v>
      </c>
      <c r="G2678">
        <v>0.78</v>
      </c>
      <c r="H2678">
        <v>9972</v>
      </c>
      <c r="I2678">
        <v>4.76</v>
      </c>
      <c r="J2678">
        <v>53.46</v>
      </c>
      <c r="K2678" t="s">
        <v>1733</v>
      </c>
    </row>
    <row r="2679" spans="1:11">
      <c r="A2679" t="str">
        <f>"301290"</f>
        <v>301290</v>
      </c>
      <c r="B2679" t="s">
        <v>3017</v>
      </c>
      <c r="C2679">
        <v>18.33</v>
      </c>
      <c r="D2679">
        <v>24</v>
      </c>
      <c r="E2679">
        <v>21.32</v>
      </c>
      <c r="F2679">
        <v>1</v>
      </c>
      <c r="G2679">
        <v>0.68</v>
      </c>
      <c r="H2679">
        <v>9186</v>
      </c>
      <c r="I2679">
        <v>1.26</v>
      </c>
      <c r="J2679" t="s">
        <v>14</v>
      </c>
      <c r="K2679" t="s">
        <v>1173</v>
      </c>
    </row>
    <row r="2680" spans="1:11">
      <c r="A2680" t="str">
        <f>"301291"</f>
        <v>301291</v>
      </c>
      <c r="B2680" t="s">
        <v>3018</v>
      </c>
      <c r="C2680">
        <v>74.76</v>
      </c>
      <c r="D2680">
        <v>93.65</v>
      </c>
      <c r="E2680">
        <v>49.12</v>
      </c>
      <c r="F2680">
        <v>3.12</v>
      </c>
      <c r="G2680">
        <v>1.62</v>
      </c>
      <c r="H2680">
        <v>22698</v>
      </c>
      <c r="I2680">
        <v>2.94</v>
      </c>
      <c r="J2680">
        <v>23.16</v>
      </c>
      <c r="K2680" t="s">
        <v>208</v>
      </c>
    </row>
    <row r="2681" spans="1:11">
      <c r="A2681" t="str">
        <f>"301292"</f>
        <v>301292</v>
      </c>
      <c r="B2681" t="s">
        <v>3019</v>
      </c>
      <c r="C2681">
        <v>48.62</v>
      </c>
      <c r="D2681">
        <v>78.8</v>
      </c>
      <c r="E2681">
        <v>27.07</v>
      </c>
      <c r="F2681">
        <v>2.23</v>
      </c>
      <c r="G2681">
        <v>0.85</v>
      </c>
      <c r="H2681">
        <v>35819</v>
      </c>
      <c r="I2681">
        <v>4.7</v>
      </c>
      <c r="J2681" t="s">
        <v>14</v>
      </c>
      <c r="K2681" t="s">
        <v>24</v>
      </c>
    </row>
    <row r="2682" spans="1:11">
      <c r="A2682" t="str">
        <f>"301293"</f>
        <v>301293</v>
      </c>
      <c r="B2682" t="s">
        <v>3020</v>
      </c>
      <c r="C2682">
        <v>152.54</v>
      </c>
      <c r="D2682">
        <v>37.56</v>
      </c>
      <c r="E2682">
        <v>23.37</v>
      </c>
      <c r="F2682">
        <v>2.06</v>
      </c>
      <c r="G2682">
        <v>1.61</v>
      </c>
      <c r="H2682">
        <v>43482</v>
      </c>
      <c r="I2682">
        <v>8.35</v>
      </c>
      <c r="J2682">
        <v>175.09</v>
      </c>
      <c r="K2682" t="s">
        <v>181</v>
      </c>
    </row>
    <row r="2683" spans="1:11">
      <c r="A2683" t="str">
        <f>"301295"</f>
        <v>301295</v>
      </c>
      <c r="B2683" t="s">
        <v>3021</v>
      </c>
      <c r="C2683">
        <v>9.54</v>
      </c>
      <c r="D2683">
        <v>13.1</v>
      </c>
      <c r="E2683">
        <v>9.54</v>
      </c>
      <c r="F2683">
        <v>1.01</v>
      </c>
      <c r="G2683">
        <v>0.29</v>
      </c>
      <c r="H2683">
        <v>5915</v>
      </c>
      <c r="I2683">
        <v>3.43</v>
      </c>
      <c r="J2683">
        <v>119.74</v>
      </c>
      <c r="K2683" t="s">
        <v>208</v>
      </c>
    </row>
    <row r="2684" spans="1:11">
      <c r="A2684" t="str">
        <f>"301296"</f>
        <v>301296</v>
      </c>
      <c r="B2684" t="s">
        <v>3022</v>
      </c>
      <c r="C2684">
        <v>25.53</v>
      </c>
      <c r="D2684">
        <v>59.76</v>
      </c>
      <c r="E2684">
        <v>27.19</v>
      </c>
      <c r="F2684">
        <v>4.2</v>
      </c>
      <c r="G2684">
        <v>2.89</v>
      </c>
      <c r="H2684">
        <v>14681</v>
      </c>
      <c r="I2684">
        <v>1.37</v>
      </c>
      <c r="J2684">
        <v>40.94</v>
      </c>
      <c r="K2684" t="s">
        <v>460</v>
      </c>
    </row>
    <row r="2685" spans="1:11">
      <c r="A2685" t="str">
        <f>"301297"</f>
        <v>301297</v>
      </c>
      <c r="B2685" t="s">
        <v>3023</v>
      </c>
      <c r="C2685">
        <v>131.34</v>
      </c>
      <c r="D2685">
        <v>67.82</v>
      </c>
      <c r="E2685">
        <v>52.73</v>
      </c>
      <c r="F2685">
        <v>7.43</v>
      </c>
      <c r="G2685">
        <v>3.41</v>
      </c>
      <c r="H2685">
        <v>33970</v>
      </c>
      <c r="I2685">
        <v>5.46</v>
      </c>
      <c r="J2685">
        <v>101.85</v>
      </c>
      <c r="K2685" t="s">
        <v>1160</v>
      </c>
    </row>
    <row r="2686" spans="1:11">
      <c r="A2686" t="str">
        <f>"301298"</f>
        <v>301298</v>
      </c>
      <c r="B2686" t="s">
        <v>3024</v>
      </c>
      <c r="C2686">
        <v>17.59</v>
      </c>
      <c r="D2686">
        <v>12.86</v>
      </c>
      <c r="E2686">
        <v>9.4</v>
      </c>
      <c r="F2686">
        <v>1.47</v>
      </c>
      <c r="G2686">
        <v>1.08</v>
      </c>
      <c r="H2686">
        <v>10316</v>
      </c>
      <c r="I2686">
        <v>2.54</v>
      </c>
      <c r="J2686">
        <v>31.15</v>
      </c>
      <c r="K2686" t="s">
        <v>51</v>
      </c>
    </row>
    <row r="2687" spans="1:11">
      <c r="A2687" t="str">
        <f>"301299"</f>
        <v>301299</v>
      </c>
      <c r="B2687" t="s">
        <v>3025</v>
      </c>
      <c r="C2687">
        <v>41.02</v>
      </c>
      <c r="D2687">
        <v>9.81</v>
      </c>
      <c r="E2687">
        <v>5.94</v>
      </c>
      <c r="F2687">
        <v>0.6</v>
      </c>
      <c r="G2687">
        <v>0.6</v>
      </c>
      <c r="H2687">
        <v>11766</v>
      </c>
      <c r="I2687">
        <v>6.91</v>
      </c>
      <c r="J2687">
        <v>62.13</v>
      </c>
      <c r="K2687" t="s">
        <v>3026</v>
      </c>
    </row>
    <row r="2688" spans="1:11">
      <c r="A2688" t="str">
        <f>"301300"</f>
        <v>301300</v>
      </c>
      <c r="B2688" t="s">
        <v>3027</v>
      </c>
      <c r="C2688">
        <v>13.68</v>
      </c>
      <c r="D2688">
        <v>9.71</v>
      </c>
      <c r="E2688">
        <v>8.2</v>
      </c>
      <c r="F2688">
        <v>0.65</v>
      </c>
      <c r="G2688">
        <v>0.31</v>
      </c>
      <c r="H2688">
        <v>7290</v>
      </c>
      <c r="I2688">
        <v>3.5</v>
      </c>
      <c r="J2688">
        <v>33.05</v>
      </c>
      <c r="K2688" t="s">
        <v>348</v>
      </c>
    </row>
    <row r="2689" spans="1:11">
      <c r="A2689" t="str">
        <f>"301301"</f>
        <v>301301</v>
      </c>
      <c r="B2689" t="s">
        <v>3028</v>
      </c>
      <c r="C2689">
        <v>73.45</v>
      </c>
      <c r="D2689">
        <v>103.31</v>
      </c>
      <c r="E2689">
        <v>79.26</v>
      </c>
      <c r="F2689">
        <v>22.3</v>
      </c>
      <c r="G2689">
        <v>6.18</v>
      </c>
      <c r="H2689">
        <v>51300</v>
      </c>
      <c r="I2689">
        <v>3.35</v>
      </c>
      <c r="J2689">
        <v>32.53</v>
      </c>
      <c r="K2689" t="s">
        <v>404</v>
      </c>
    </row>
    <row r="2690" spans="1:11">
      <c r="A2690" t="str">
        <f>"301302"</f>
        <v>301302</v>
      </c>
      <c r="B2690" t="s">
        <v>3029</v>
      </c>
      <c r="C2690">
        <v>38.75</v>
      </c>
      <c r="D2690">
        <v>18.72</v>
      </c>
      <c r="E2690">
        <v>15.7</v>
      </c>
      <c r="F2690">
        <v>1.56</v>
      </c>
      <c r="G2690">
        <v>1.39</v>
      </c>
      <c r="H2690">
        <v>17483</v>
      </c>
      <c r="I2690">
        <v>2.77</v>
      </c>
      <c r="J2690" t="s">
        <v>14</v>
      </c>
      <c r="K2690" t="s">
        <v>223</v>
      </c>
    </row>
    <row r="2691" spans="1:11">
      <c r="A2691" t="str">
        <f>"301303"</f>
        <v>301303</v>
      </c>
      <c r="B2691" t="s">
        <v>3030</v>
      </c>
      <c r="C2691">
        <v>15.87</v>
      </c>
      <c r="D2691">
        <v>45.64</v>
      </c>
      <c r="E2691">
        <v>33.65</v>
      </c>
      <c r="F2691">
        <v>4.09</v>
      </c>
      <c r="G2691">
        <v>1.02</v>
      </c>
      <c r="H2691">
        <v>18395</v>
      </c>
      <c r="I2691">
        <v>1.9</v>
      </c>
      <c r="J2691">
        <v>19.14</v>
      </c>
      <c r="K2691" t="s">
        <v>952</v>
      </c>
    </row>
    <row r="2692" spans="1:11">
      <c r="A2692" t="str">
        <f>"301305"</f>
        <v>301305</v>
      </c>
      <c r="B2692" t="s">
        <v>3031</v>
      </c>
      <c r="C2692">
        <v>31.62</v>
      </c>
      <c r="D2692">
        <v>61.51</v>
      </c>
      <c r="E2692">
        <v>37.74</v>
      </c>
      <c r="F2692">
        <v>2.41</v>
      </c>
      <c r="G2692">
        <v>1.24</v>
      </c>
      <c r="H2692">
        <v>18893</v>
      </c>
      <c r="I2692">
        <v>1.63</v>
      </c>
      <c r="J2692">
        <v>18.56</v>
      </c>
      <c r="K2692" t="s">
        <v>59</v>
      </c>
    </row>
    <row r="2693" spans="1:11">
      <c r="A2693" t="str">
        <f>"301306"</f>
        <v>301306</v>
      </c>
      <c r="B2693" t="s">
        <v>3032</v>
      </c>
      <c r="C2693">
        <v>85.87</v>
      </c>
      <c r="D2693">
        <v>15.81</v>
      </c>
      <c r="E2693">
        <v>9.15</v>
      </c>
      <c r="F2693">
        <v>0.84</v>
      </c>
      <c r="G2693">
        <v>0.58</v>
      </c>
      <c r="H2693">
        <v>15326</v>
      </c>
      <c r="I2693">
        <v>13.58</v>
      </c>
      <c r="J2693" t="s">
        <v>14</v>
      </c>
      <c r="K2693" t="s">
        <v>1733</v>
      </c>
    </row>
    <row r="2694" spans="1:11">
      <c r="A2694" t="str">
        <f>"301307"</f>
        <v>301307</v>
      </c>
      <c r="B2694" t="s">
        <v>3033</v>
      </c>
      <c r="C2694">
        <v>36.93</v>
      </c>
      <c r="D2694">
        <v>75.68</v>
      </c>
      <c r="E2694">
        <v>28.58</v>
      </c>
      <c r="F2694">
        <v>2.11</v>
      </c>
      <c r="G2694">
        <v>1.09</v>
      </c>
      <c r="H2694">
        <v>17843</v>
      </c>
      <c r="I2694">
        <v>2.5</v>
      </c>
      <c r="J2694" t="s">
        <v>14</v>
      </c>
      <c r="K2694" t="s">
        <v>933</v>
      </c>
    </row>
    <row r="2695" spans="1:11">
      <c r="A2695" t="str">
        <f>"301308"</f>
        <v>301308</v>
      </c>
      <c r="B2695" t="s">
        <v>3034</v>
      </c>
      <c r="C2695">
        <v>781.35</v>
      </c>
      <c r="D2695">
        <v>195.01</v>
      </c>
      <c r="E2695">
        <v>75.27</v>
      </c>
      <c r="F2695">
        <v>4.19</v>
      </c>
      <c r="G2695">
        <v>2.74</v>
      </c>
      <c r="H2695">
        <v>43826</v>
      </c>
      <c r="I2695">
        <v>15.86</v>
      </c>
      <c r="J2695">
        <v>125.61</v>
      </c>
      <c r="K2695" t="s">
        <v>691</v>
      </c>
    </row>
    <row r="2696" spans="1:11">
      <c r="A2696" t="str">
        <f>"301309"</f>
        <v>301309</v>
      </c>
      <c r="B2696" t="s">
        <v>3035</v>
      </c>
      <c r="C2696">
        <v>7.44</v>
      </c>
      <c r="D2696">
        <v>18.02</v>
      </c>
      <c r="E2696">
        <v>16.12</v>
      </c>
      <c r="F2696">
        <v>1.01</v>
      </c>
      <c r="G2696">
        <v>0.26</v>
      </c>
      <c r="H2696">
        <v>10326</v>
      </c>
      <c r="I2696">
        <v>1.81</v>
      </c>
      <c r="J2696">
        <v>26.3</v>
      </c>
      <c r="K2696" t="s">
        <v>63</v>
      </c>
    </row>
    <row r="2697" spans="1:11">
      <c r="A2697" t="str">
        <f>"301310"</f>
        <v>301310</v>
      </c>
      <c r="B2697" t="s">
        <v>3036</v>
      </c>
      <c r="C2697">
        <v>20.33</v>
      </c>
      <c r="D2697">
        <v>49.2</v>
      </c>
      <c r="E2697">
        <v>22.85</v>
      </c>
      <c r="F2697">
        <v>1.37</v>
      </c>
      <c r="G2697">
        <v>0.5</v>
      </c>
      <c r="H2697">
        <v>9434</v>
      </c>
      <c r="I2697">
        <v>2.42</v>
      </c>
      <c r="J2697">
        <v>44.11</v>
      </c>
      <c r="K2697" t="s">
        <v>517</v>
      </c>
    </row>
    <row r="2698" spans="1:11">
      <c r="A2698" t="str">
        <f>"301311"</f>
        <v>301311</v>
      </c>
      <c r="B2698" t="s">
        <v>3037</v>
      </c>
      <c r="C2698">
        <v>46.7</v>
      </c>
      <c r="D2698">
        <v>41.88</v>
      </c>
      <c r="E2698">
        <v>17.89</v>
      </c>
      <c r="F2698">
        <v>2.4</v>
      </c>
      <c r="G2698">
        <v>2.4</v>
      </c>
      <c r="H2698">
        <v>16202</v>
      </c>
      <c r="I2698">
        <v>2.61</v>
      </c>
      <c r="J2698" t="s">
        <v>14</v>
      </c>
      <c r="K2698" t="s">
        <v>493</v>
      </c>
    </row>
    <row r="2699" spans="1:11">
      <c r="A2699" t="str">
        <f>"301312"</f>
        <v>301312</v>
      </c>
      <c r="B2699" t="s">
        <v>3038</v>
      </c>
      <c r="C2699">
        <v>32.77</v>
      </c>
      <c r="D2699">
        <v>15.26</v>
      </c>
      <c r="E2699">
        <v>12.33</v>
      </c>
      <c r="F2699">
        <v>1.21</v>
      </c>
      <c r="G2699">
        <v>0.61</v>
      </c>
      <c r="H2699">
        <v>15083</v>
      </c>
      <c r="I2699">
        <v>5.32</v>
      </c>
      <c r="J2699">
        <v>70.3</v>
      </c>
      <c r="K2699" t="s">
        <v>3039</v>
      </c>
    </row>
    <row r="2700" spans="1:11">
      <c r="A2700" t="str">
        <f>"301313"</f>
        <v>301313</v>
      </c>
      <c r="B2700" t="s">
        <v>3040</v>
      </c>
      <c r="C2700">
        <v>23.63</v>
      </c>
      <c r="D2700">
        <v>14.13</v>
      </c>
      <c r="E2700">
        <v>7.2</v>
      </c>
      <c r="F2700">
        <v>1.03</v>
      </c>
      <c r="G2700">
        <v>0.75</v>
      </c>
      <c r="H2700">
        <v>10346</v>
      </c>
      <c r="I2700">
        <v>4.5</v>
      </c>
      <c r="J2700" t="s">
        <v>14</v>
      </c>
      <c r="K2700" t="s">
        <v>2514</v>
      </c>
    </row>
    <row r="2701" spans="1:11">
      <c r="A2701" t="str">
        <f>"301314"</f>
        <v>301314</v>
      </c>
      <c r="B2701" t="s">
        <v>3041</v>
      </c>
      <c r="C2701">
        <v>7.53</v>
      </c>
      <c r="D2701">
        <v>11.84</v>
      </c>
      <c r="E2701">
        <v>10.47</v>
      </c>
      <c r="F2701">
        <v>0.55</v>
      </c>
      <c r="G2701">
        <v>0.16</v>
      </c>
      <c r="H2701">
        <v>6894</v>
      </c>
      <c r="I2701">
        <v>2.44</v>
      </c>
      <c r="J2701">
        <v>184.01</v>
      </c>
      <c r="K2701" t="s">
        <v>82</v>
      </c>
    </row>
    <row r="2702" spans="1:11">
      <c r="A2702" t="str">
        <f>"301315"</f>
        <v>301315</v>
      </c>
      <c r="B2702" t="s">
        <v>3042</v>
      </c>
      <c r="C2702">
        <v>26.54</v>
      </c>
      <c r="D2702">
        <v>10.49</v>
      </c>
      <c r="E2702">
        <v>10.17</v>
      </c>
      <c r="F2702">
        <v>0.88</v>
      </c>
      <c r="G2702">
        <v>0.37</v>
      </c>
      <c r="H2702">
        <v>18009</v>
      </c>
      <c r="I2702">
        <v>6.21</v>
      </c>
      <c r="J2702">
        <v>220.37</v>
      </c>
      <c r="K2702" t="s">
        <v>117</v>
      </c>
    </row>
    <row r="2703" spans="1:11">
      <c r="A2703" t="str">
        <f>"301316"</f>
        <v>301316</v>
      </c>
      <c r="B2703" t="s">
        <v>3043</v>
      </c>
      <c r="C2703">
        <v>204.29</v>
      </c>
      <c r="D2703">
        <v>20.44</v>
      </c>
      <c r="E2703">
        <v>11.01</v>
      </c>
      <c r="F2703">
        <v>4.04</v>
      </c>
      <c r="G2703">
        <v>4</v>
      </c>
      <c r="H2703">
        <v>30643</v>
      </c>
      <c r="I2703">
        <v>18.74</v>
      </c>
      <c r="J2703">
        <v>208.86</v>
      </c>
      <c r="K2703" t="s">
        <v>117</v>
      </c>
    </row>
    <row r="2704" spans="1:11">
      <c r="A2704" t="str">
        <f>"301317"</f>
        <v>301317</v>
      </c>
      <c r="B2704" t="s">
        <v>3044</v>
      </c>
      <c r="C2704">
        <v>15.51</v>
      </c>
      <c r="D2704">
        <v>23.52</v>
      </c>
      <c r="E2704">
        <v>13.45</v>
      </c>
      <c r="F2704">
        <v>1.57</v>
      </c>
      <c r="G2704">
        <v>0.45</v>
      </c>
      <c r="H2704">
        <v>11000</v>
      </c>
      <c r="I2704">
        <v>4.05</v>
      </c>
      <c r="J2704">
        <v>10.76</v>
      </c>
      <c r="K2704" t="s">
        <v>744</v>
      </c>
    </row>
    <row r="2705" spans="1:11">
      <c r="A2705" t="str">
        <f>"301318"</f>
        <v>301318</v>
      </c>
      <c r="B2705" t="s">
        <v>3045</v>
      </c>
      <c r="C2705">
        <v>22.77</v>
      </c>
      <c r="D2705">
        <v>20.69</v>
      </c>
      <c r="E2705">
        <v>18.76</v>
      </c>
      <c r="F2705">
        <v>1.35</v>
      </c>
      <c r="G2705">
        <v>0.76</v>
      </c>
      <c r="H2705">
        <v>12251</v>
      </c>
      <c r="I2705">
        <v>2.17</v>
      </c>
      <c r="J2705">
        <v>35.53</v>
      </c>
      <c r="K2705" t="s">
        <v>1022</v>
      </c>
    </row>
    <row r="2706" spans="1:11">
      <c r="A2706" t="str">
        <f>"301319"</f>
        <v>301319</v>
      </c>
      <c r="B2706" t="s">
        <v>3046</v>
      </c>
      <c r="C2706">
        <v>50.5</v>
      </c>
      <c r="D2706">
        <v>15.32</v>
      </c>
      <c r="E2706">
        <v>11.72</v>
      </c>
      <c r="F2706">
        <v>1.24</v>
      </c>
      <c r="G2706">
        <v>0.93</v>
      </c>
      <c r="H2706">
        <v>8374</v>
      </c>
      <c r="I2706">
        <v>5.73</v>
      </c>
      <c r="J2706">
        <v>72.48</v>
      </c>
      <c r="K2706" t="s">
        <v>82</v>
      </c>
    </row>
    <row r="2707" spans="1:11">
      <c r="A2707" t="str">
        <f>"301320"</f>
        <v>301320</v>
      </c>
      <c r="B2707" t="s">
        <v>3047</v>
      </c>
      <c r="C2707">
        <v>12.58</v>
      </c>
      <c r="D2707">
        <v>15.16</v>
      </c>
      <c r="E2707">
        <v>10.6</v>
      </c>
      <c r="F2707">
        <v>1.82</v>
      </c>
      <c r="G2707">
        <v>0.68</v>
      </c>
      <c r="H2707">
        <v>13506</v>
      </c>
      <c r="I2707">
        <v>3.17</v>
      </c>
      <c r="J2707">
        <v>139.5</v>
      </c>
      <c r="K2707" t="s">
        <v>663</v>
      </c>
    </row>
    <row r="2708" spans="1:11">
      <c r="A2708" t="str">
        <f>"301321"</f>
        <v>301321</v>
      </c>
      <c r="B2708" t="s">
        <v>3048</v>
      </c>
      <c r="C2708">
        <v>33.98</v>
      </c>
      <c r="D2708">
        <v>58.14</v>
      </c>
      <c r="E2708">
        <v>9.72</v>
      </c>
      <c r="F2708">
        <v>1.86</v>
      </c>
      <c r="G2708">
        <v>1.48</v>
      </c>
      <c r="H2708">
        <v>13656</v>
      </c>
      <c r="I2708">
        <v>4.42</v>
      </c>
      <c r="J2708" t="s">
        <v>14</v>
      </c>
      <c r="K2708" t="s">
        <v>39</v>
      </c>
    </row>
    <row r="2709" spans="1:11">
      <c r="A2709" t="str">
        <f>"301322"</f>
        <v>301322</v>
      </c>
      <c r="B2709" t="s">
        <v>3049</v>
      </c>
      <c r="C2709">
        <v>25.98</v>
      </c>
      <c r="D2709">
        <v>40.23</v>
      </c>
      <c r="E2709">
        <v>28.41</v>
      </c>
      <c r="F2709">
        <v>1.41</v>
      </c>
      <c r="G2709">
        <v>0.91</v>
      </c>
      <c r="H2709">
        <v>11851</v>
      </c>
      <c r="I2709">
        <v>1.43</v>
      </c>
      <c r="J2709">
        <v>43.23</v>
      </c>
      <c r="K2709" t="s">
        <v>870</v>
      </c>
    </row>
    <row r="2710" spans="1:11">
      <c r="A2710" t="str">
        <f>"301323"</f>
        <v>301323</v>
      </c>
      <c r="B2710" t="s">
        <v>3050</v>
      </c>
      <c r="C2710">
        <v>39.58</v>
      </c>
      <c r="D2710">
        <v>23.31</v>
      </c>
      <c r="E2710">
        <v>21.63</v>
      </c>
      <c r="F2710">
        <v>1.06</v>
      </c>
      <c r="G2710">
        <v>0.68</v>
      </c>
      <c r="H2710">
        <v>9834</v>
      </c>
      <c r="I2710">
        <v>2.84</v>
      </c>
      <c r="J2710">
        <v>44.35</v>
      </c>
      <c r="K2710" t="s">
        <v>705</v>
      </c>
    </row>
    <row r="2711" spans="1:11">
      <c r="A2711" t="str">
        <f>"301325"</f>
        <v>301325</v>
      </c>
      <c r="B2711" t="s">
        <v>3051</v>
      </c>
      <c r="C2711">
        <v>30.73</v>
      </c>
      <c r="D2711">
        <v>47.55</v>
      </c>
      <c r="E2711">
        <v>28.32</v>
      </c>
      <c r="F2711">
        <v>1.44</v>
      </c>
      <c r="G2711">
        <v>0.58</v>
      </c>
      <c r="H2711">
        <v>22362</v>
      </c>
      <c r="I2711">
        <v>2.7</v>
      </c>
      <c r="J2711" t="s">
        <v>14</v>
      </c>
      <c r="K2711" t="s">
        <v>493</v>
      </c>
    </row>
    <row r="2712" spans="1:11">
      <c r="A2712" t="str">
        <f>"301326"</f>
        <v>301326</v>
      </c>
      <c r="B2712" t="s">
        <v>3052</v>
      </c>
      <c r="C2712">
        <v>28.43</v>
      </c>
      <c r="D2712">
        <v>28.03</v>
      </c>
      <c r="E2712">
        <v>12.82</v>
      </c>
      <c r="F2712">
        <v>0.73</v>
      </c>
      <c r="G2712">
        <v>0.27</v>
      </c>
      <c r="H2712">
        <v>7464</v>
      </c>
      <c r="I2712">
        <v>5.9</v>
      </c>
      <c r="J2712" t="s">
        <v>14</v>
      </c>
      <c r="K2712" t="s">
        <v>41</v>
      </c>
    </row>
    <row r="2713" spans="1:11">
      <c r="A2713" t="str">
        <f>"301327"</f>
        <v>301327</v>
      </c>
      <c r="B2713" t="s">
        <v>3053</v>
      </c>
      <c r="C2713">
        <v>47.36</v>
      </c>
      <c r="D2713">
        <v>74.96</v>
      </c>
      <c r="E2713">
        <v>62.01</v>
      </c>
      <c r="F2713">
        <v>1.74</v>
      </c>
      <c r="G2713">
        <v>0.76</v>
      </c>
      <c r="H2713">
        <v>13431</v>
      </c>
      <c r="I2713">
        <v>1.75</v>
      </c>
      <c r="J2713">
        <v>56.98</v>
      </c>
      <c r="K2713" t="s">
        <v>70</v>
      </c>
    </row>
    <row r="2714" spans="1:11">
      <c r="A2714" t="str">
        <f>"301328"</f>
        <v>301328</v>
      </c>
      <c r="B2714" t="s">
        <v>3054</v>
      </c>
      <c r="C2714">
        <v>25.86</v>
      </c>
      <c r="D2714">
        <v>22.05</v>
      </c>
      <c r="E2714">
        <v>19.43</v>
      </c>
      <c r="F2714">
        <v>1.1</v>
      </c>
      <c r="G2714">
        <v>0.51</v>
      </c>
      <c r="H2714">
        <v>10372</v>
      </c>
      <c r="I2714">
        <v>2.9</v>
      </c>
      <c r="J2714">
        <v>51.72</v>
      </c>
      <c r="K2714" t="s">
        <v>82</v>
      </c>
    </row>
    <row r="2715" spans="1:11">
      <c r="A2715" t="str">
        <f>"301329"</f>
        <v>301329</v>
      </c>
      <c r="B2715" t="s">
        <v>3055</v>
      </c>
      <c r="C2715">
        <v>15.26</v>
      </c>
      <c r="D2715">
        <v>18.61</v>
      </c>
      <c r="E2715">
        <v>15.5</v>
      </c>
      <c r="F2715">
        <v>1.7</v>
      </c>
      <c r="G2715">
        <v>0.6</v>
      </c>
      <c r="H2715">
        <v>11603</v>
      </c>
      <c r="I2715">
        <v>2.8</v>
      </c>
      <c r="J2715">
        <v>66.14</v>
      </c>
      <c r="K2715" t="s">
        <v>41</v>
      </c>
    </row>
    <row r="2716" spans="1:11">
      <c r="A2716" t="str">
        <f>"301330"</f>
        <v>301330</v>
      </c>
      <c r="B2716" t="s">
        <v>3056</v>
      </c>
      <c r="C2716">
        <v>51</v>
      </c>
      <c r="D2716">
        <v>42.64</v>
      </c>
      <c r="E2716">
        <v>33.95</v>
      </c>
      <c r="F2716">
        <v>2.35</v>
      </c>
      <c r="G2716">
        <v>1.14</v>
      </c>
      <c r="H2716">
        <v>20333</v>
      </c>
      <c r="I2716">
        <v>3.1</v>
      </c>
      <c r="J2716">
        <v>61.64</v>
      </c>
      <c r="K2716" t="s">
        <v>1022</v>
      </c>
    </row>
    <row r="2717" spans="1:11">
      <c r="A2717" t="str">
        <f>"301331"</f>
        <v>301331</v>
      </c>
      <c r="B2717" t="s">
        <v>3057</v>
      </c>
      <c r="C2717">
        <v>29.57</v>
      </c>
      <c r="D2717">
        <v>14.97</v>
      </c>
      <c r="E2717">
        <v>10.84</v>
      </c>
      <c r="F2717">
        <v>1.03</v>
      </c>
      <c r="G2717">
        <v>1.03</v>
      </c>
      <c r="H2717">
        <v>6340</v>
      </c>
      <c r="I2717">
        <v>2.73</v>
      </c>
      <c r="J2717">
        <v>60.73</v>
      </c>
      <c r="K2717" t="s">
        <v>155</v>
      </c>
    </row>
    <row r="2718" spans="1:11">
      <c r="A2718" t="str">
        <f>"301332"</f>
        <v>301332</v>
      </c>
      <c r="B2718" t="s">
        <v>3058</v>
      </c>
      <c r="C2718">
        <v>25.8</v>
      </c>
      <c r="D2718">
        <v>45.22</v>
      </c>
      <c r="E2718">
        <v>29.16</v>
      </c>
      <c r="F2718">
        <v>4.62</v>
      </c>
      <c r="G2718">
        <v>2.65</v>
      </c>
      <c r="H2718">
        <v>22000</v>
      </c>
      <c r="I2718">
        <v>1.54</v>
      </c>
      <c r="J2718">
        <v>38</v>
      </c>
      <c r="K2718" t="s">
        <v>2933</v>
      </c>
    </row>
    <row r="2719" spans="1:11">
      <c r="A2719" t="str">
        <f>"301333"</f>
        <v>301333</v>
      </c>
      <c r="B2719" t="s">
        <v>3059</v>
      </c>
      <c r="C2719">
        <v>52.14</v>
      </c>
      <c r="D2719">
        <v>23.21</v>
      </c>
      <c r="E2719">
        <v>19.21</v>
      </c>
      <c r="F2719">
        <v>0.97</v>
      </c>
      <c r="G2719">
        <v>0.57</v>
      </c>
      <c r="H2719">
        <v>8734</v>
      </c>
      <c r="I2719">
        <v>4.59</v>
      </c>
      <c r="J2719">
        <v>69.13</v>
      </c>
      <c r="K2719" t="s">
        <v>1595</v>
      </c>
    </row>
    <row r="2720" spans="1:11">
      <c r="A2720" t="str">
        <f>"301335"</f>
        <v>301335</v>
      </c>
      <c r="B2720" t="s">
        <v>3060</v>
      </c>
      <c r="C2720">
        <v>16.2</v>
      </c>
      <c r="D2720">
        <v>31.46</v>
      </c>
      <c r="E2720">
        <v>19.3</v>
      </c>
      <c r="F2720">
        <v>1.27</v>
      </c>
      <c r="G2720">
        <v>0.51</v>
      </c>
      <c r="H2720">
        <v>15130</v>
      </c>
      <c r="I2720">
        <v>2.1</v>
      </c>
      <c r="J2720">
        <v>54.09</v>
      </c>
      <c r="K2720" t="s">
        <v>637</v>
      </c>
    </row>
    <row r="2721" spans="1:11">
      <c r="A2721" t="str">
        <f>"301336"</f>
        <v>301336</v>
      </c>
      <c r="B2721" t="s">
        <v>3061</v>
      </c>
      <c r="C2721">
        <v>17.45</v>
      </c>
      <c r="D2721">
        <v>9.33</v>
      </c>
      <c r="E2721">
        <v>8.29</v>
      </c>
      <c r="F2721">
        <v>0.4</v>
      </c>
      <c r="G2721">
        <v>0.3</v>
      </c>
      <c r="H2721">
        <v>8401</v>
      </c>
      <c r="I2721">
        <v>2.77</v>
      </c>
      <c r="J2721">
        <v>79.52</v>
      </c>
      <c r="K2721" t="s">
        <v>540</v>
      </c>
    </row>
    <row r="2722" spans="1:11">
      <c r="A2722" t="str">
        <f>"301337"</f>
        <v>301337</v>
      </c>
      <c r="B2722" t="s">
        <v>3062</v>
      </c>
      <c r="C2722">
        <v>12.23</v>
      </c>
      <c r="D2722">
        <v>12.44</v>
      </c>
      <c r="E2722">
        <v>10.97</v>
      </c>
      <c r="F2722">
        <v>1.04</v>
      </c>
      <c r="G2722">
        <v>0.37</v>
      </c>
      <c r="H2722">
        <v>14092</v>
      </c>
      <c r="I2722">
        <v>3.14</v>
      </c>
      <c r="J2722" t="s">
        <v>14</v>
      </c>
      <c r="K2722" t="s">
        <v>117</v>
      </c>
    </row>
    <row r="2723" spans="1:11">
      <c r="A2723" t="str">
        <f>"301338"</f>
        <v>301338</v>
      </c>
      <c r="B2723" t="s">
        <v>3063</v>
      </c>
      <c r="C2723">
        <v>51.49</v>
      </c>
      <c r="D2723">
        <v>26.96</v>
      </c>
      <c r="E2723">
        <v>15.66</v>
      </c>
      <c r="F2723">
        <v>1.06</v>
      </c>
      <c r="G2723">
        <v>0.59</v>
      </c>
      <c r="H2723">
        <v>11703</v>
      </c>
      <c r="I2723">
        <v>5.92</v>
      </c>
      <c r="J2723">
        <v>57.29</v>
      </c>
      <c r="K2723" t="s">
        <v>493</v>
      </c>
    </row>
    <row r="2724" spans="1:11">
      <c r="A2724" t="str">
        <f>"301339"</f>
        <v>301339</v>
      </c>
      <c r="B2724" t="s">
        <v>3064</v>
      </c>
      <c r="C2724">
        <v>26.39</v>
      </c>
      <c r="D2724">
        <v>58.64</v>
      </c>
      <c r="E2724">
        <v>27.79</v>
      </c>
      <c r="F2724">
        <v>5.8</v>
      </c>
      <c r="G2724">
        <v>1.68</v>
      </c>
      <c r="H2724">
        <v>19172</v>
      </c>
      <c r="I2724">
        <v>3.28</v>
      </c>
      <c r="J2724">
        <v>40.65</v>
      </c>
      <c r="K2724" t="s">
        <v>88</v>
      </c>
    </row>
    <row r="2725" spans="1:11">
      <c r="A2725" t="str">
        <f>"301345"</f>
        <v>301345</v>
      </c>
      <c r="B2725" t="s">
        <v>3065</v>
      </c>
      <c r="C2725">
        <v>64.86</v>
      </c>
      <c r="D2725">
        <v>52.45</v>
      </c>
      <c r="E2725">
        <v>34.16</v>
      </c>
      <c r="F2725">
        <v>1.09</v>
      </c>
      <c r="G2725">
        <v>0.29</v>
      </c>
      <c r="H2725">
        <v>9995</v>
      </c>
      <c r="I2725">
        <v>7.13</v>
      </c>
      <c r="J2725">
        <v>30.1</v>
      </c>
      <c r="K2725" t="s">
        <v>870</v>
      </c>
    </row>
    <row r="2726" spans="1:11">
      <c r="A2726" t="str">
        <f>"301348"</f>
        <v>301348</v>
      </c>
      <c r="B2726" t="s">
        <v>3066</v>
      </c>
      <c r="C2726">
        <v>39.14</v>
      </c>
      <c r="D2726">
        <v>20.02</v>
      </c>
      <c r="E2726">
        <v>14.88</v>
      </c>
      <c r="F2726">
        <v>2.4</v>
      </c>
      <c r="G2726">
        <v>1.55</v>
      </c>
      <c r="H2726">
        <v>33857</v>
      </c>
      <c r="I2726">
        <v>4.07</v>
      </c>
      <c r="J2726" t="s">
        <v>14</v>
      </c>
      <c r="K2726" t="s">
        <v>838</v>
      </c>
    </row>
    <row r="2727" spans="1:11">
      <c r="A2727" t="str">
        <f>"301349"</f>
        <v>301349</v>
      </c>
      <c r="B2727" t="s">
        <v>3067</v>
      </c>
      <c r="C2727">
        <v>24.21</v>
      </c>
      <c r="D2727">
        <v>33.17</v>
      </c>
      <c r="E2727">
        <v>27.27</v>
      </c>
      <c r="F2727">
        <v>1.02</v>
      </c>
      <c r="G2727">
        <v>0.49</v>
      </c>
      <c r="H2727">
        <v>13181</v>
      </c>
      <c r="I2727">
        <v>1.85</v>
      </c>
      <c r="J2727">
        <v>123.26</v>
      </c>
      <c r="K2727" t="s">
        <v>24</v>
      </c>
    </row>
    <row r="2728" spans="1:11">
      <c r="A2728" t="str">
        <f>"301353"</f>
        <v>301353</v>
      </c>
      <c r="B2728" t="s">
        <v>3068</v>
      </c>
      <c r="C2728">
        <v>8.8</v>
      </c>
      <c r="D2728">
        <v>15.23</v>
      </c>
      <c r="E2728">
        <v>12.95</v>
      </c>
      <c r="F2728">
        <v>0.98</v>
      </c>
      <c r="G2728">
        <v>0.32</v>
      </c>
      <c r="H2728">
        <v>8602</v>
      </c>
      <c r="I2728">
        <v>2.09</v>
      </c>
      <c r="J2728">
        <v>33.04</v>
      </c>
      <c r="K2728" t="s">
        <v>744</v>
      </c>
    </row>
    <row r="2729" spans="1:11">
      <c r="A2729" t="str">
        <f>"301355"</f>
        <v>301355</v>
      </c>
      <c r="B2729" t="s">
        <v>3069</v>
      </c>
      <c r="C2729">
        <v>13.8</v>
      </c>
      <c r="D2729">
        <v>27</v>
      </c>
      <c r="E2729">
        <v>15.08</v>
      </c>
      <c r="F2729">
        <v>1.95</v>
      </c>
      <c r="G2729">
        <v>1</v>
      </c>
      <c r="H2729">
        <v>13124</v>
      </c>
      <c r="I2729">
        <v>1.78</v>
      </c>
      <c r="J2729">
        <v>256.39</v>
      </c>
      <c r="K2729" t="s">
        <v>460</v>
      </c>
    </row>
    <row r="2730" spans="1:11">
      <c r="A2730" t="str">
        <f>"301356"</f>
        <v>301356</v>
      </c>
      <c r="B2730" t="s">
        <v>3070</v>
      </c>
      <c r="C2730">
        <v>12.39</v>
      </c>
      <c r="D2730">
        <v>32.63</v>
      </c>
      <c r="E2730">
        <v>30.01</v>
      </c>
      <c r="F2730">
        <v>2.16</v>
      </c>
      <c r="G2730">
        <v>0.55</v>
      </c>
      <c r="H2730">
        <v>14850</v>
      </c>
      <c r="I2730">
        <v>1.63</v>
      </c>
      <c r="J2730">
        <v>42.95</v>
      </c>
      <c r="K2730" t="s">
        <v>540</v>
      </c>
    </row>
    <row r="2731" spans="1:11">
      <c r="A2731" t="str">
        <f>"301357"</f>
        <v>301357</v>
      </c>
      <c r="B2731" t="s">
        <v>3071</v>
      </c>
      <c r="C2731">
        <v>34.51</v>
      </c>
      <c r="D2731">
        <v>12.48</v>
      </c>
      <c r="E2731">
        <v>11.38</v>
      </c>
      <c r="F2731">
        <v>0.95</v>
      </c>
      <c r="G2731">
        <v>0.24</v>
      </c>
      <c r="H2731">
        <v>27601</v>
      </c>
      <c r="I2731">
        <v>12.14</v>
      </c>
      <c r="J2731">
        <v>917.27</v>
      </c>
      <c r="K2731" t="s">
        <v>186</v>
      </c>
    </row>
    <row r="2732" spans="1:11">
      <c r="A2732" t="str">
        <f>"301358"</f>
        <v>301358</v>
      </c>
      <c r="B2732" t="s">
        <v>3072</v>
      </c>
      <c r="C2732">
        <v>235.38</v>
      </c>
      <c r="D2732">
        <v>369.92</v>
      </c>
      <c r="E2732">
        <v>122.79</v>
      </c>
      <c r="F2732">
        <v>7.61</v>
      </c>
      <c r="G2732">
        <v>3.86</v>
      </c>
      <c r="H2732">
        <v>32441</v>
      </c>
      <c r="I2732">
        <v>3.78</v>
      </c>
      <c r="J2732">
        <v>53.91</v>
      </c>
      <c r="K2732" t="s">
        <v>24</v>
      </c>
    </row>
    <row r="2733" spans="1:11">
      <c r="A2733" t="str">
        <f>"301359"</f>
        <v>301359</v>
      </c>
      <c r="B2733" t="s">
        <v>3073</v>
      </c>
      <c r="C2733">
        <v>13.6</v>
      </c>
      <c r="D2733">
        <v>9.11</v>
      </c>
      <c r="E2733">
        <v>8.44</v>
      </c>
      <c r="F2733">
        <v>1.2</v>
      </c>
      <c r="G2733">
        <v>0.68</v>
      </c>
      <c r="H2733">
        <v>8279</v>
      </c>
      <c r="I2733">
        <v>2.83</v>
      </c>
      <c r="J2733">
        <v>60.51</v>
      </c>
      <c r="K2733" t="s">
        <v>82</v>
      </c>
    </row>
    <row r="2734" spans="1:11">
      <c r="A2734" t="str">
        <f>"301360"</f>
        <v>301360</v>
      </c>
      <c r="B2734" t="s">
        <v>3074</v>
      </c>
      <c r="C2734">
        <v>20.86</v>
      </c>
      <c r="D2734">
        <v>15.59</v>
      </c>
      <c r="E2734">
        <v>11.56</v>
      </c>
      <c r="F2734">
        <v>0.53</v>
      </c>
      <c r="G2734">
        <v>0.25</v>
      </c>
      <c r="H2734">
        <v>6600</v>
      </c>
      <c r="I2734">
        <v>3.78</v>
      </c>
      <c r="J2734">
        <v>627.49</v>
      </c>
      <c r="K2734" t="s">
        <v>493</v>
      </c>
    </row>
    <row r="2735" spans="1:11">
      <c r="A2735" t="str">
        <f>"301361"</f>
        <v>301361</v>
      </c>
      <c r="B2735" t="s">
        <v>3075</v>
      </c>
      <c r="C2735">
        <v>10.9</v>
      </c>
      <c r="D2735">
        <v>12.66</v>
      </c>
      <c r="E2735">
        <v>12.09</v>
      </c>
      <c r="F2735">
        <v>1.16</v>
      </c>
      <c r="G2735">
        <v>0.3</v>
      </c>
      <c r="H2735">
        <v>12549</v>
      </c>
      <c r="I2735">
        <v>3.44</v>
      </c>
      <c r="J2735">
        <v>44.22</v>
      </c>
      <c r="K2735" t="s">
        <v>943</v>
      </c>
    </row>
    <row r="2736" spans="1:11">
      <c r="A2736" t="str">
        <f>"301362"</f>
        <v>301362</v>
      </c>
      <c r="B2736" t="s">
        <v>3076</v>
      </c>
      <c r="C2736">
        <v>13.36</v>
      </c>
      <c r="D2736">
        <v>29.53</v>
      </c>
      <c r="E2736">
        <v>24.92</v>
      </c>
      <c r="F2736">
        <v>1.05</v>
      </c>
      <c r="G2736">
        <v>0.3</v>
      </c>
      <c r="H2736">
        <v>6876</v>
      </c>
      <c r="I2736">
        <v>1.89</v>
      </c>
      <c r="J2736">
        <v>23.54</v>
      </c>
      <c r="K2736" t="s">
        <v>216</v>
      </c>
    </row>
    <row r="2737" spans="1:11">
      <c r="A2737" t="str">
        <f>"301363"</f>
        <v>301363</v>
      </c>
      <c r="B2737" t="s">
        <v>3077</v>
      </c>
      <c r="C2737">
        <v>133.72</v>
      </c>
      <c r="D2737">
        <v>41.79</v>
      </c>
      <c r="E2737">
        <v>37.02</v>
      </c>
      <c r="F2737">
        <v>5.69</v>
      </c>
      <c r="G2737">
        <v>3.73</v>
      </c>
      <c r="H2737">
        <v>15336</v>
      </c>
      <c r="I2737">
        <v>5.51</v>
      </c>
      <c r="J2737">
        <v>73.42</v>
      </c>
      <c r="K2737" t="s">
        <v>1836</v>
      </c>
    </row>
    <row r="2738" spans="1:11">
      <c r="A2738" t="str">
        <f>"301365"</f>
        <v>301365</v>
      </c>
      <c r="B2738" t="s">
        <v>3078</v>
      </c>
      <c r="C2738">
        <v>27.09</v>
      </c>
      <c r="D2738">
        <v>21.7</v>
      </c>
      <c r="E2738">
        <v>17.44</v>
      </c>
      <c r="F2738">
        <v>1.8</v>
      </c>
      <c r="G2738">
        <v>1.01</v>
      </c>
      <c r="H2738">
        <v>11948</v>
      </c>
      <c r="I2738">
        <v>2.76</v>
      </c>
      <c r="J2738">
        <v>52.4</v>
      </c>
      <c r="K2738" t="s">
        <v>428</v>
      </c>
    </row>
    <row r="2739" spans="1:11">
      <c r="A2739" t="str">
        <f>"301366"</f>
        <v>301366</v>
      </c>
      <c r="B2739" t="s">
        <v>3079</v>
      </c>
      <c r="C2739">
        <v>29.11</v>
      </c>
      <c r="D2739">
        <v>28.01</v>
      </c>
      <c r="E2739">
        <v>21.38</v>
      </c>
      <c r="F2739">
        <v>2.1</v>
      </c>
      <c r="G2739">
        <v>0.76</v>
      </c>
      <c r="H2739">
        <v>20414</v>
      </c>
      <c r="I2739">
        <v>3.74</v>
      </c>
      <c r="J2739">
        <v>349.17</v>
      </c>
      <c r="K2739" t="s">
        <v>472</v>
      </c>
    </row>
    <row r="2740" spans="1:11">
      <c r="A2740" t="str">
        <f>"301367"</f>
        <v>301367</v>
      </c>
      <c r="B2740" t="s">
        <v>3080</v>
      </c>
      <c r="C2740">
        <v>65.75</v>
      </c>
      <c r="D2740">
        <v>35.23</v>
      </c>
      <c r="E2740">
        <v>29.8</v>
      </c>
      <c r="F2740">
        <v>0.9</v>
      </c>
      <c r="G2740">
        <v>0.7</v>
      </c>
      <c r="H2740">
        <v>7971</v>
      </c>
      <c r="I2740">
        <v>2.83</v>
      </c>
      <c r="J2740">
        <v>35.09</v>
      </c>
      <c r="K2740" t="s">
        <v>1836</v>
      </c>
    </row>
    <row r="2741" spans="1:11">
      <c r="A2741" t="str">
        <f>"301368"</f>
        <v>301368</v>
      </c>
      <c r="B2741" t="s">
        <v>3081</v>
      </c>
      <c r="C2741">
        <v>44.04</v>
      </c>
      <c r="D2741">
        <v>14.98</v>
      </c>
      <c r="E2741">
        <v>9.7</v>
      </c>
      <c r="F2741">
        <v>1.2</v>
      </c>
      <c r="G2741">
        <v>0.64</v>
      </c>
      <c r="H2741">
        <v>23475</v>
      </c>
      <c r="I2741">
        <v>8.5</v>
      </c>
      <c r="J2741">
        <v>5961.02</v>
      </c>
      <c r="K2741" t="s">
        <v>424</v>
      </c>
    </row>
    <row r="2742" spans="1:11">
      <c r="A2742" t="str">
        <f>"301369"</f>
        <v>301369</v>
      </c>
      <c r="B2742" t="s">
        <v>3082</v>
      </c>
      <c r="C2742">
        <v>49.02</v>
      </c>
      <c r="D2742">
        <v>16.08</v>
      </c>
      <c r="E2742">
        <v>15.02</v>
      </c>
      <c r="F2742">
        <v>0.71</v>
      </c>
      <c r="G2742">
        <v>0.36</v>
      </c>
      <c r="H2742">
        <v>9624</v>
      </c>
      <c r="I2742">
        <v>6.33</v>
      </c>
      <c r="J2742">
        <v>493.52</v>
      </c>
      <c r="K2742" t="s">
        <v>1160</v>
      </c>
    </row>
    <row r="2743" spans="1:11">
      <c r="A2743" t="str">
        <f>"301370"</f>
        <v>301370</v>
      </c>
      <c r="B2743" t="s">
        <v>3083</v>
      </c>
      <c r="C2743">
        <v>40.31</v>
      </c>
      <c r="D2743">
        <v>63.2</v>
      </c>
      <c r="E2743">
        <v>25.06</v>
      </c>
      <c r="F2743">
        <v>4.71</v>
      </c>
      <c r="G2743">
        <v>3.24</v>
      </c>
      <c r="H2743">
        <v>18148</v>
      </c>
      <c r="I2743">
        <v>2.34</v>
      </c>
      <c r="J2743">
        <v>65.24</v>
      </c>
      <c r="K2743" t="s">
        <v>48</v>
      </c>
    </row>
    <row r="2744" spans="1:11">
      <c r="A2744" t="str">
        <f>"301371"</f>
        <v>301371</v>
      </c>
      <c r="B2744" t="s">
        <v>3084</v>
      </c>
      <c r="C2744">
        <v>19.03</v>
      </c>
      <c r="D2744">
        <v>57.96</v>
      </c>
      <c r="E2744">
        <v>55.87</v>
      </c>
      <c r="F2744">
        <v>5.2</v>
      </c>
      <c r="G2744">
        <v>0.78</v>
      </c>
      <c r="H2744">
        <v>16247</v>
      </c>
      <c r="I2744">
        <v>2.29</v>
      </c>
      <c r="J2744">
        <v>29.46</v>
      </c>
      <c r="K2744" t="s">
        <v>856</v>
      </c>
    </row>
    <row r="2745" spans="1:11">
      <c r="A2745" t="str">
        <f>"301372"</f>
        <v>301372</v>
      </c>
      <c r="B2745" t="s">
        <v>3085</v>
      </c>
      <c r="C2745">
        <v>11.07</v>
      </c>
      <c r="D2745">
        <v>14.31</v>
      </c>
      <c r="E2745">
        <v>7.89</v>
      </c>
      <c r="F2745">
        <v>0.69</v>
      </c>
      <c r="G2745">
        <v>0.41</v>
      </c>
      <c r="H2745">
        <v>9002</v>
      </c>
      <c r="I2745">
        <v>2.34</v>
      </c>
      <c r="J2745">
        <v>86.59</v>
      </c>
      <c r="K2745" t="s">
        <v>90</v>
      </c>
    </row>
    <row r="2746" spans="1:11">
      <c r="A2746" t="str">
        <f>"301373"</f>
        <v>301373</v>
      </c>
      <c r="B2746" t="s">
        <v>3086</v>
      </c>
      <c r="C2746">
        <v>12.9</v>
      </c>
      <c r="D2746">
        <v>18.38</v>
      </c>
      <c r="E2746">
        <v>16.49</v>
      </c>
      <c r="F2746">
        <v>1.08</v>
      </c>
      <c r="G2746">
        <v>0.38</v>
      </c>
      <c r="H2746">
        <v>9145</v>
      </c>
      <c r="I2746">
        <v>2.21</v>
      </c>
      <c r="J2746">
        <v>26.44</v>
      </c>
      <c r="K2746" t="s">
        <v>348</v>
      </c>
    </row>
    <row r="2747" spans="1:11">
      <c r="A2747" t="str">
        <f>"301376"</f>
        <v>301376</v>
      </c>
      <c r="B2747" t="s">
        <v>3087</v>
      </c>
      <c r="C2747">
        <v>37.16</v>
      </c>
      <c r="D2747">
        <v>64.38</v>
      </c>
      <c r="E2747">
        <v>34.1</v>
      </c>
      <c r="F2747">
        <v>4.02</v>
      </c>
      <c r="G2747">
        <v>1.94</v>
      </c>
      <c r="H2747">
        <v>10478</v>
      </c>
      <c r="I2747">
        <v>2.26</v>
      </c>
      <c r="J2747">
        <v>21.32</v>
      </c>
      <c r="K2747" t="s">
        <v>540</v>
      </c>
    </row>
    <row r="2748" spans="1:11">
      <c r="A2748" t="str">
        <f>"301377"</f>
        <v>301377</v>
      </c>
      <c r="B2748" t="s">
        <v>3088</v>
      </c>
      <c r="C2748">
        <v>114.6</v>
      </c>
      <c r="D2748">
        <v>40.56</v>
      </c>
      <c r="E2748">
        <v>26.57</v>
      </c>
      <c r="F2748">
        <v>4.1</v>
      </c>
      <c r="G2748">
        <v>0.71</v>
      </c>
      <c r="H2748">
        <v>16158</v>
      </c>
      <c r="I2748">
        <v>24.9</v>
      </c>
      <c r="J2748">
        <v>175.75</v>
      </c>
      <c r="K2748" t="s">
        <v>63</v>
      </c>
    </row>
    <row r="2749" spans="1:11">
      <c r="A2749" t="str">
        <f>"301378"</f>
        <v>301378</v>
      </c>
      <c r="B2749" t="s">
        <v>3089</v>
      </c>
      <c r="C2749">
        <v>25.06</v>
      </c>
      <c r="D2749">
        <v>15.89</v>
      </c>
      <c r="E2749">
        <v>13.05</v>
      </c>
      <c r="F2749">
        <v>0.97</v>
      </c>
      <c r="G2749">
        <v>0.46</v>
      </c>
      <c r="H2749">
        <v>13811</v>
      </c>
      <c r="I2749">
        <v>4.04</v>
      </c>
      <c r="J2749" t="s">
        <v>14</v>
      </c>
      <c r="K2749" t="s">
        <v>117</v>
      </c>
    </row>
    <row r="2750" spans="1:11">
      <c r="A2750" t="str">
        <f>"301379"</f>
        <v>301379</v>
      </c>
      <c r="B2750" t="s">
        <v>3090</v>
      </c>
      <c r="C2750">
        <v>35.59</v>
      </c>
      <c r="D2750">
        <v>21.58</v>
      </c>
      <c r="E2750">
        <v>14.13</v>
      </c>
      <c r="F2750">
        <v>1.98</v>
      </c>
      <c r="G2750">
        <v>1.27</v>
      </c>
      <c r="H2750">
        <v>17069</v>
      </c>
      <c r="I2750">
        <v>3.92</v>
      </c>
      <c r="J2750">
        <v>37.21</v>
      </c>
      <c r="K2750" t="s">
        <v>39</v>
      </c>
    </row>
    <row r="2751" spans="1:11">
      <c r="A2751" t="str">
        <f>"301380"</f>
        <v>301380</v>
      </c>
      <c r="B2751" t="s">
        <v>3091</v>
      </c>
      <c r="C2751">
        <v>34.71</v>
      </c>
      <c r="D2751">
        <v>13.26</v>
      </c>
      <c r="E2751">
        <v>7.28</v>
      </c>
      <c r="F2751">
        <v>1.01</v>
      </c>
      <c r="G2751">
        <v>0.81</v>
      </c>
      <c r="H2751">
        <v>13094</v>
      </c>
      <c r="I2751">
        <v>5.99</v>
      </c>
      <c r="J2751">
        <v>122.36</v>
      </c>
      <c r="K2751" t="s">
        <v>486</v>
      </c>
    </row>
    <row r="2752" spans="1:11">
      <c r="A2752" t="str">
        <f>"301381"</f>
        <v>301381</v>
      </c>
      <c r="B2752" t="s">
        <v>3092</v>
      </c>
      <c r="C2752">
        <v>47.17</v>
      </c>
      <c r="D2752">
        <v>48.26</v>
      </c>
      <c r="E2752">
        <v>26.62</v>
      </c>
      <c r="F2752">
        <v>4.03</v>
      </c>
      <c r="G2752">
        <v>1.95</v>
      </c>
      <c r="H2752">
        <v>15533</v>
      </c>
      <c r="I2752">
        <v>3.66</v>
      </c>
      <c r="J2752">
        <v>34.84</v>
      </c>
      <c r="K2752" t="s">
        <v>1102</v>
      </c>
    </row>
    <row r="2753" spans="1:11">
      <c r="A2753" t="str">
        <f>"301382"</f>
        <v>301382</v>
      </c>
      <c r="B2753" t="s">
        <v>3093</v>
      </c>
      <c r="C2753">
        <v>74.22</v>
      </c>
      <c r="D2753">
        <v>33.82</v>
      </c>
      <c r="E2753">
        <v>18.52</v>
      </c>
      <c r="F2753">
        <v>2.86</v>
      </c>
      <c r="G2753">
        <v>1.76</v>
      </c>
      <c r="H2753">
        <v>31507</v>
      </c>
      <c r="I2753">
        <v>6.49</v>
      </c>
      <c r="J2753">
        <v>67.08</v>
      </c>
      <c r="K2753" t="s">
        <v>333</v>
      </c>
    </row>
    <row r="2754" spans="1:11">
      <c r="A2754" t="str">
        <f>"301383"</f>
        <v>301383</v>
      </c>
      <c r="B2754" t="s">
        <v>3094</v>
      </c>
      <c r="C2754">
        <v>27.2</v>
      </c>
      <c r="D2754">
        <v>26.83</v>
      </c>
      <c r="E2754">
        <v>20.08</v>
      </c>
      <c r="F2754">
        <v>1.63</v>
      </c>
      <c r="G2754">
        <v>0.71</v>
      </c>
      <c r="H2754">
        <v>15873</v>
      </c>
      <c r="I2754">
        <v>3.13</v>
      </c>
      <c r="J2754" t="s">
        <v>14</v>
      </c>
      <c r="K2754" t="s">
        <v>41</v>
      </c>
    </row>
    <row r="2755" spans="1:11">
      <c r="A2755" t="str">
        <f>"301386"</f>
        <v>301386</v>
      </c>
      <c r="B2755" t="s">
        <v>3095</v>
      </c>
      <c r="C2755">
        <v>11.5</v>
      </c>
      <c r="D2755">
        <v>16.84</v>
      </c>
      <c r="E2755">
        <v>14.83</v>
      </c>
      <c r="F2755">
        <v>1.4</v>
      </c>
      <c r="G2755">
        <v>0.43</v>
      </c>
      <c r="H2755">
        <v>12191</v>
      </c>
      <c r="I2755">
        <v>2.53</v>
      </c>
      <c r="J2755">
        <v>39.44</v>
      </c>
      <c r="K2755" t="s">
        <v>943</v>
      </c>
    </row>
    <row r="2756" spans="1:11">
      <c r="A2756" t="str">
        <f>"301387"</f>
        <v>301387</v>
      </c>
      <c r="B2756" t="s">
        <v>3096</v>
      </c>
      <c r="C2756">
        <v>24.66</v>
      </c>
      <c r="D2756">
        <v>25.23</v>
      </c>
      <c r="E2756">
        <v>16.47</v>
      </c>
      <c r="F2756">
        <v>1.07</v>
      </c>
      <c r="G2756">
        <v>0.43</v>
      </c>
      <c r="H2756">
        <v>9545</v>
      </c>
      <c r="I2756">
        <v>3.75</v>
      </c>
      <c r="J2756">
        <v>164.25</v>
      </c>
      <c r="K2756" t="s">
        <v>41</v>
      </c>
    </row>
    <row r="2757" spans="1:11">
      <c r="A2757" t="str">
        <f>"301388"</f>
        <v>301388</v>
      </c>
      <c r="B2757" t="s">
        <v>3097</v>
      </c>
      <c r="C2757">
        <v>9.26</v>
      </c>
      <c r="D2757">
        <v>12.18</v>
      </c>
      <c r="E2757">
        <v>9.77</v>
      </c>
      <c r="F2757">
        <v>1.02</v>
      </c>
      <c r="G2757">
        <v>0.27</v>
      </c>
      <c r="H2757">
        <v>10616</v>
      </c>
      <c r="I2757">
        <v>3.55</v>
      </c>
      <c r="J2757">
        <v>145.67</v>
      </c>
      <c r="K2757" t="s">
        <v>943</v>
      </c>
    </row>
    <row r="2758" spans="1:11">
      <c r="A2758" t="str">
        <f>"301389"</f>
        <v>301389</v>
      </c>
      <c r="B2758" t="s">
        <v>3098</v>
      </c>
      <c r="C2758">
        <v>43.03</v>
      </c>
      <c r="D2758">
        <v>31.95</v>
      </c>
      <c r="E2758">
        <v>22.25</v>
      </c>
      <c r="F2758">
        <v>2.84</v>
      </c>
      <c r="G2758">
        <v>0.85</v>
      </c>
      <c r="H2758">
        <v>29265</v>
      </c>
      <c r="I2758">
        <v>6.48</v>
      </c>
      <c r="J2758">
        <v>132.39</v>
      </c>
      <c r="K2758" t="s">
        <v>41</v>
      </c>
    </row>
    <row r="2759" spans="1:11">
      <c r="A2759" t="str">
        <f>"301390"</f>
        <v>301390</v>
      </c>
      <c r="B2759" t="s">
        <v>3099</v>
      </c>
      <c r="C2759">
        <v>10.73</v>
      </c>
      <c r="D2759">
        <v>17.93</v>
      </c>
      <c r="E2759">
        <v>9.53</v>
      </c>
      <c r="F2759">
        <v>0.6</v>
      </c>
      <c r="G2759">
        <v>0.29</v>
      </c>
      <c r="H2759">
        <v>7013</v>
      </c>
      <c r="I2759">
        <v>2.32</v>
      </c>
      <c r="J2759">
        <v>105.94</v>
      </c>
      <c r="K2759" t="s">
        <v>55</v>
      </c>
    </row>
    <row r="2760" spans="1:11">
      <c r="A2760" t="str">
        <f>"301391"</f>
        <v>301391</v>
      </c>
      <c r="B2760" t="s">
        <v>3100</v>
      </c>
      <c r="C2760">
        <v>76.64</v>
      </c>
      <c r="D2760">
        <v>25.44</v>
      </c>
      <c r="E2760">
        <v>20.76</v>
      </c>
      <c r="F2760">
        <v>0.95</v>
      </c>
      <c r="G2760">
        <v>0.93</v>
      </c>
      <c r="H2760">
        <v>7272</v>
      </c>
      <c r="I2760">
        <v>3.78</v>
      </c>
      <c r="J2760">
        <v>439.56</v>
      </c>
      <c r="K2760" t="s">
        <v>88</v>
      </c>
    </row>
    <row r="2761" spans="1:11">
      <c r="A2761" t="str">
        <f>"301392"</f>
        <v>301392</v>
      </c>
      <c r="B2761" t="s">
        <v>3101</v>
      </c>
      <c r="C2761">
        <v>54.76</v>
      </c>
      <c r="D2761">
        <v>11.86</v>
      </c>
      <c r="E2761">
        <v>7.25</v>
      </c>
      <c r="F2761">
        <v>1</v>
      </c>
      <c r="G2761">
        <v>0.41</v>
      </c>
      <c r="H2761">
        <v>18298</v>
      </c>
      <c r="I2761">
        <v>18.51</v>
      </c>
      <c r="J2761">
        <v>570.23</v>
      </c>
      <c r="K2761" t="s">
        <v>493</v>
      </c>
    </row>
    <row r="2762" spans="1:11">
      <c r="A2762" t="str">
        <f>"301393"</f>
        <v>301393</v>
      </c>
      <c r="B2762" t="s">
        <v>3102</v>
      </c>
      <c r="C2762">
        <v>24.16</v>
      </c>
      <c r="D2762">
        <v>25.5</v>
      </c>
      <c r="E2762">
        <v>23.49</v>
      </c>
      <c r="F2762">
        <v>1.08</v>
      </c>
      <c r="G2762">
        <v>0.42</v>
      </c>
      <c r="H2762">
        <v>10024</v>
      </c>
      <c r="I2762">
        <v>2.64</v>
      </c>
      <c r="J2762">
        <v>46.83</v>
      </c>
      <c r="K2762" t="s">
        <v>1201</v>
      </c>
    </row>
    <row r="2763" spans="1:11">
      <c r="A2763" t="str">
        <f>"301395"</f>
        <v>301395</v>
      </c>
      <c r="B2763" t="s">
        <v>3103</v>
      </c>
      <c r="C2763">
        <v>18.35</v>
      </c>
      <c r="D2763">
        <v>20.18</v>
      </c>
      <c r="E2763">
        <v>15.42</v>
      </c>
      <c r="F2763">
        <v>2.43</v>
      </c>
      <c r="G2763">
        <v>1.37</v>
      </c>
      <c r="H2763">
        <v>13484</v>
      </c>
      <c r="I2763">
        <v>2.1</v>
      </c>
      <c r="J2763">
        <v>75.83</v>
      </c>
      <c r="K2763" t="s">
        <v>601</v>
      </c>
    </row>
    <row r="2764" spans="1:11">
      <c r="A2764" t="str">
        <f>"301396"</f>
        <v>301396</v>
      </c>
      <c r="B2764" t="s">
        <v>3104</v>
      </c>
      <c r="C2764">
        <v>66.24</v>
      </c>
      <c r="D2764">
        <v>46.64</v>
      </c>
      <c r="E2764">
        <v>12.89</v>
      </c>
      <c r="F2764">
        <v>1.54</v>
      </c>
      <c r="G2764">
        <v>0.76</v>
      </c>
      <c r="H2764">
        <v>32116</v>
      </c>
      <c r="I2764">
        <v>10.37</v>
      </c>
      <c r="J2764">
        <v>93.23</v>
      </c>
      <c r="K2764" t="s">
        <v>117</v>
      </c>
    </row>
    <row r="2765" spans="1:11">
      <c r="A2765" t="str">
        <f>"301397"</f>
        <v>301397</v>
      </c>
      <c r="B2765" t="s">
        <v>3105</v>
      </c>
      <c r="C2765">
        <v>23.92</v>
      </c>
      <c r="D2765">
        <v>26.19</v>
      </c>
      <c r="E2765">
        <v>19.6</v>
      </c>
      <c r="F2765">
        <v>1.56</v>
      </c>
      <c r="G2765">
        <v>0.71</v>
      </c>
      <c r="H2765">
        <v>13036</v>
      </c>
      <c r="I2765">
        <v>2.69</v>
      </c>
      <c r="J2765">
        <v>38.95</v>
      </c>
      <c r="K2765" t="s">
        <v>51</v>
      </c>
    </row>
    <row r="2766" spans="1:11">
      <c r="A2766" t="str">
        <f>"301398"</f>
        <v>301398</v>
      </c>
      <c r="B2766" t="s">
        <v>3106</v>
      </c>
      <c r="C2766">
        <v>23</v>
      </c>
      <c r="D2766">
        <v>12.99</v>
      </c>
      <c r="E2766">
        <v>11.22</v>
      </c>
      <c r="F2766">
        <v>1.12</v>
      </c>
      <c r="G2766">
        <v>0.37</v>
      </c>
      <c r="H2766">
        <v>15864</v>
      </c>
      <c r="I2766">
        <v>6.17</v>
      </c>
      <c r="J2766">
        <v>115.17</v>
      </c>
      <c r="K2766" t="s">
        <v>356</v>
      </c>
    </row>
    <row r="2767" spans="1:11">
      <c r="A2767" t="str">
        <f>"301399"</f>
        <v>301399</v>
      </c>
      <c r="B2767" t="s">
        <v>3107</v>
      </c>
      <c r="C2767">
        <v>11.11</v>
      </c>
      <c r="D2767">
        <v>15.52</v>
      </c>
      <c r="E2767">
        <v>13.11</v>
      </c>
      <c r="F2767">
        <v>1.85</v>
      </c>
      <c r="G2767">
        <v>0.55</v>
      </c>
      <c r="H2767">
        <v>13479</v>
      </c>
      <c r="I2767">
        <v>2.87</v>
      </c>
      <c r="J2767">
        <v>128.03</v>
      </c>
      <c r="K2767" t="s">
        <v>203</v>
      </c>
    </row>
    <row r="2768" spans="1:11">
      <c r="A2768" t="str">
        <f>"301408"</f>
        <v>301408</v>
      </c>
      <c r="B2768" t="s">
        <v>3108</v>
      </c>
      <c r="C2768">
        <v>44.39</v>
      </c>
      <c r="D2768">
        <v>53.69</v>
      </c>
      <c r="E2768">
        <v>20.96</v>
      </c>
      <c r="F2768">
        <v>4</v>
      </c>
      <c r="G2768">
        <v>1.49</v>
      </c>
      <c r="H2768">
        <v>20098</v>
      </c>
      <c r="I2768">
        <v>5.68</v>
      </c>
      <c r="J2768">
        <v>56.97</v>
      </c>
      <c r="K2768" t="s">
        <v>48</v>
      </c>
    </row>
    <row r="2769" spans="1:11">
      <c r="A2769" t="str">
        <f>"301413"</f>
        <v>301413</v>
      </c>
      <c r="B2769" t="s">
        <v>3109</v>
      </c>
      <c r="C2769">
        <v>79.78</v>
      </c>
      <c r="D2769">
        <v>21.59</v>
      </c>
      <c r="E2769">
        <v>12.51</v>
      </c>
      <c r="F2769">
        <v>0.98</v>
      </c>
      <c r="G2769">
        <v>0.59</v>
      </c>
      <c r="H2769">
        <v>24603</v>
      </c>
      <c r="I2769">
        <v>10.68</v>
      </c>
      <c r="J2769">
        <v>137.05</v>
      </c>
      <c r="K2769" t="s">
        <v>952</v>
      </c>
    </row>
    <row r="2770" spans="1:11">
      <c r="A2770" t="str">
        <f>"301418"</f>
        <v>301418</v>
      </c>
      <c r="B2770" t="s">
        <v>3110</v>
      </c>
      <c r="C2770">
        <v>11.29</v>
      </c>
      <c r="D2770">
        <v>18.44</v>
      </c>
      <c r="E2770">
        <v>16.18</v>
      </c>
      <c r="F2770">
        <v>0.73</v>
      </c>
      <c r="G2770">
        <v>0.29</v>
      </c>
      <c r="H2770">
        <v>8548</v>
      </c>
      <c r="I2770">
        <v>1.74</v>
      </c>
      <c r="J2770">
        <v>127.62</v>
      </c>
      <c r="K2770" t="s">
        <v>663</v>
      </c>
    </row>
    <row r="2771" spans="1:11">
      <c r="A2771" t="str">
        <f>"301419"</f>
        <v>301419</v>
      </c>
      <c r="B2771" t="s">
        <v>3111</v>
      </c>
      <c r="C2771">
        <v>14.99</v>
      </c>
      <c r="D2771">
        <v>10.43</v>
      </c>
      <c r="E2771">
        <v>9.49</v>
      </c>
      <c r="F2771">
        <v>1.2</v>
      </c>
      <c r="G2771">
        <v>0.42</v>
      </c>
      <c r="H2771">
        <v>12561</v>
      </c>
      <c r="I2771">
        <v>4.47</v>
      </c>
      <c r="J2771">
        <v>60.88</v>
      </c>
      <c r="K2771" t="s">
        <v>933</v>
      </c>
    </row>
    <row r="2772" spans="1:11">
      <c r="A2772" t="str">
        <f>"301421"</f>
        <v>301421</v>
      </c>
      <c r="B2772" t="s">
        <v>3112</v>
      </c>
      <c r="C2772">
        <v>48.44</v>
      </c>
      <c r="D2772">
        <v>13.71</v>
      </c>
      <c r="E2772">
        <v>11.94</v>
      </c>
      <c r="F2772">
        <v>1.16</v>
      </c>
      <c r="G2772">
        <v>0.46</v>
      </c>
      <c r="H2772">
        <v>44277</v>
      </c>
      <c r="I2772">
        <v>10.14</v>
      </c>
      <c r="J2772">
        <v>352.35</v>
      </c>
      <c r="K2772" t="s">
        <v>66</v>
      </c>
    </row>
    <row r="2773" spans="1:11">
      <c r="A2773" t="str">
        <f>"301428"</f>
        <v>301428</v>
      </c>
      <c r="B2773" t="s">
        <v>3113</v>
      </c>
      <c r="C2773">
        <v>23.84</v>
      </c>
      <c r="D2773">
        <v>27.35</v>
      </c>
      <c r="E2773">
        <v>12.72</v>
      </c>
      <c r="F2773">
        <v>0.99</v>
      </c>
      <c r="G2773">
        <v>0.61</v>
      </c>
      <c r="H2773">
        <v>14841</v>
      </c>
      <c r="I2773">
        <v>3.02</v>
      </c>
      <c r="J2773">
        <v>60.53</v>
      </c>
      <c r="K2773" t="s">
        <v>486</v>
      </c>
    </row>
    <row r="2774" spans="1:11">
      <c r="A2774" t="str">
        <f>"301429"</f>
        <v>301429</v>
      </c>
      <c r="B2774" t="s">
        <v>3114</v>
      </c>
      <c r="C2774">
        <v>8.63</v>
      </c>
      <c r="D2774">
        <v>15.83</v>
      </c>
      <c r="E2774">
        <v>13.61</v>
      </c>
      <c r="F2774">
        <v>1.18</v>
      </c>
      <c r="G2774">
        <v>0.44</v>
      </c>
      <c r="H2774">
        <v>7560</v>
      </c>
      <c r="I2774">
        <v>1.7</v>
      </c>
      <c r="J2774">
        <v>40.08</v>
      </c>
      <c r="K2774" t="s">
        <v>73</v>
      </c>
    </row>
    <row r="2775" spans="1:11">
      <c r="A2775" t="str">
        <f>"301439"</f>
        <v>301439</v>
      </c>
      <c r="B2775" t="s">
        <v>3115</v>
      </c>
      <c r="C2775">
        <v>28.71</v>
      </c>
      <c r="D2775">
        <v>49.59</v>
      </c>
      <c r="E2775">
        <v>29.61</v>
      </c>
      <c r="F2775">
        <v>3.89</v>
      </c>
      <c r="G2775">
        <v>1.83</v>
      </c>
      <c r="H2775">
        <v>24860</v>
      </c>
      <c r="I2775">
        <v>2.06</v>
      </c>
      <c r="J2775">
        <v>32.03</v>
      </c>
      <c r="K2775" t="s">
        <v>383</v>
      </c>
    </row>
    <row r="2776" spans="1:11">
      <c r="A2776" t="str">
        <f>"301446"</f>
        <v>301446</v>
      </c>
      <c r="B2776" t="s">
        <v>3116</v>
      </c>
      <c r="C2776">
        <v>12.27</v>
      </c>
      <c r="D2776">
        <v>14.2</v>
      </c>
      <c r="E2776">
        <v>11.8</v>
      </c>
      <c r="F2776">
        <v>1.04</v>
      </c>
      <c r="G2776">
        <v>0.32</v>
      </c>
      <c r="H2776">
        <v>9577</v>
      </c>
      <c r="I2776">
        <v>3.4</v>
      </c>
      <c r="J2776">
        <v>45.31</v>
      </c>
      <c r="K2776" t="s">
        <v>641</v>
      </c>
    </row>
    <row r="2777" spans="1:11">
      <c r="A2777" t="str">
        <f>"301448"</f>
        <v>301448</v>
      </c>
      <c r="B2777" t="s">
        <v>3117</v>
      </c>
      <c r="C2777">
        <v>22.48</v>
      </c>
      <c r="D2777">
        <v>8.71</v>
      </c>
      <c r="E2777">
        <v>6.78</v>
      </c>
      <c r="F2777">
        <v>1.05</v>
      </c>
      <c r="G2777">
        <v>0.48</v>
      </c>
      <c r="H2777">
        <v>6273</v>
      </c>
      <c r="I2777">
        <v>7.14</v>
      </c>
      <c r="J2777" t="s">
        <v>14</v>
      </c>
      <c r="K2777" t="s">
        <v>744</v>
      </c>
    </row>
    <row r="2778" spans="1:11">
      <c r="A2778" t="str">
        <f>"301449"</f>
        <v>301449</v>
      </c>
      <c r="B2778" t="s">
        <v>3118</v>
      </c>
      <c r="C2778">
        <v>12.07</v>
      </c>
      <c r="D2778">
        <v>7.69</v>
      </c>
      <c r="E2778">
        <v>6.14</v>
      </c>
      <c r="F2778">
        <v>0.65</v>
      </c>
      <c r="G2778">
        <v>0.14</v>
      </c>
      <c r="H2778">
        <v>20202</v>
      </c>
      <c r="I2778">
        <v>4.97</v>
      </c>
      <c r="J2778">
        <v>45.62</v>
      </c>
      <c r="K2778" t="s">
        <v>1733</v>
      </c>
    </row>
    <row r="2779" spans="1:11">
      <c r="A2779" t="str">
        <f>"301456"</f>
        <v>301456</v>
      </c>
      <c r="B2779" t="s">
        <v>3119</v>
      </c>
      <c r="C2779">
        <v>18.91</v>
      </c>
      <c r="D2779">
        <v>24.24</v>
      </c>
      <c r="E2779">
        <v>22.01</v>
      </c>
      <c r="F2779">
        <v>1.5</v>
      </c>
      <c r="G2779">
        <v>0.6</v>
      </c>
      <c r="H2779">
        <v>16141</v>
      </c>
      <c r="I2779">
        <v>2.14</v>
      </c>
      <c r="J2779">
        <v>58.19</v>
      </c>
      <c r="K2779" t="s">
        <v>456</v>
      </c>
    </row>
    <row r="2780" spans="1:11">
      <c r="A2780" t="str">
        <f>"301458"</f>
        <v>301458</v>
      </c>
      <c r="B2780" t="s">
        <v>3120</v>
      </c>
      <c r="C2780">
        <v>40.61</v>
      </c>
      <c r="D2780">
        <v>19.23</v>
      </c>
      <c r="E2780">
        <v>16.54</v>
      </c>
      <c r="F2780">
        <v>2.67</v>
      </c>
      <c r="G2780">
        <v>1.17</v>
      </c>
      <c r="H2780">
        <v>20076</v>
      </c>
      <c r="I2780">
        <v>5.57</v>
      </c>
      <c r="J2780">
        <v>60.56</v>
      </c>
      <c r="K2780" t="s">
        <v>310</v>
      </c>
    </row>
    <row r="2781" spans="1:11">
      <c r="A2781" t="str">
        <f>"301459"</f>
        <v>301459</v>
      </c>
      <c r="B2781" t="s">
        <v>3121</v>
      </c>
      <c r="C2781">
        <v>11.42</v>
      </c>
      <c r="D2781">
        <v>18.15</v>
      </c>
      <c r="E2781">
        <v>12.46</v>
      </c>
      <c r="F2781">
        <v>1.04</v>
      </c>
      <c r="G2781">
        <v>0.26</v>
      </c>
      <c r="H2781">
        <v>7396</v>
      </c>
      <c r="I2781">
        <v>3.66</v>
      </c>
      <c r="J2781">
        <v>40.22</v>
      </c>
      <c r="K2781" t="s">
        <v>51</v>
      </c>
    </row>
    <row r="2782" spans="1:11">
      <c r="A2782" t="str">
        <f>"301468"</f>
        <v>301468</v>
      </c>
      <c r="B2782" t="s">
        <v>3122</v>
      </c>
      <c r="C2782">
        <v>47.64</v>
      </c>
      <c r="D2782">
        <v>25.78</v>
      </c>
      <c r="E2782">
        <v>22.89</v>
      </c>
      <c r="F2782">
        <v>1.3</v>
      </c>
      <c r="G2782">
        <v>0.75</v>
      </c>
      <c r="H2782">
        <v>17924</v>
      </c>
      <c r="I2782">
        <v>3.66</v>
      </c>
      <c r="J2782">
        <v>148.95</v>
      </c>
      <c r="K2782" t="s">
        <v>493</v>
      </c>
    </row>
    <row r="2783" spans="1:11">
      <c r="A2783" t="str">
        <f>"301469"</f>
        <v>301469</v>
      </c>
      <c r="B2783" t="s">
        <v>3123</v>
      </c>
      <c r="C2783">
        <v>14.52</v>
      </c>
      <c r="D2783">
        <v>16.63</v>
      </c>
      <c r="E2783">
        <v>13.77</v>
      </c>
      <c r="F2783">
        <v>0.89</v>
      </c>
      <c r="G2783">
        <v>0.46</v>
      </c>
      <c r="H2783">
        <v>6481</v>
      </c>
      <c r="I2783">
        <v>2.05</v>
      </c>
      <c r="J2783">
        <v>38.55</v>
      </c>
      <c r="K2783" t="s">
        <v>765</v>
      </c>
    </row>
    <row r="2784" spans="1:11">
      <c r="A2784" t="str">
        <f>"301479"</f>
        <v>301479</v>
      </c>
      <c r="B2784" t="s">
        <v>3124</v>
      </c>
      <c r="C2784">
        <v>19.43</v>
      </c>
      <c r="D2784">
        <v>19.03</v>
      </c>
      <c r="E2784">
        <v>12.31</v>
      </c>
      <c r="F2784">
        <v>0.89</v>
      </c>
      <c r="G2784">
        <v>0.21</v>
      </c>
      <c r="H2784">
        <v>13257</v>
      </c>
      <c r="I2784">
        <v>6.69</v>
      </c>
      <c r="J2784">
        <v>43.6</v>
      </c>
      <c r="K2784" t="s">
        <v>66</v>
      </c>
    </row>
    <row r="2785" spans="1:11">
      <c r="A2785" t="str">
        <f>"301486"</f>
        <v>301486</v>
      </c>
      <c r="B2785" t="s">
        <v>3125</v>
      </c>
      <c r="C2785">
        <v>91.38</v>
      </c>
      <c r="D2785">
        <v>31.33</v>
      </c>
      <c r="E2785">
        <v>26.14</v>
      </c>
      <c r="F2785">
        <v>1.29</v>
      </c>
      <c r="G2785">
        <v>0.72</v>
      </c>
      <c r="H2785">
        <v>16507</v>
      </c>
      <c r="I2785">
        <v>6.21</v>
      </c>
      <c r="J2785">
        <v>74.57</v>
      </c>
      <c r="K2785" t="s">
        <v>41</v>
      </c>
    </row>
    <row r="2786" spans="1:11">
      <c r="A2786" t="str">
        <f>"301487"</f>
        <v>301487</v>
      </c>
      <c r="B2786" t="s">
        <v>3126</v>
      </c>
      <c r="C2786">
        <v>62.52</v>
      </c>
      <c r="D2786">
        <v>35.42</v>
      </c>
      <c r="E2786">
        <v>18.86</v>
      </c>
      <c r="F2786">
        <v>4.6</v>
      </c>
      <c r="G2786">
        <v>2.73</v>
      </c>
      <c r="H2786">
        <v>52672</v>
      </c>
      <c r="I2786">
        <v>5.59</v>
      </c>
      <c r="J2786">
        <v>1078.3</v>
      </c>
      <c r="K2786" t="s">
        <v>24</v>
      </c>
    </row>
    <row r="2787" spans="1:11">
      <c r="A2787" t="str">
        <f>"301488"</f>
        <v>301488</v>
      </c>
      <c r="B2787" t="s">
        <v>3127</v>
      </c>
      <c r="C2787">
        <v>37.72</v>
      </c>
      <c r="D2787">
        <v>26.19</v>
      </c>
      <c r="E2787">
        <v>13.36</v>
      </c>
      <c r="F2787">
        <v>0.92</v>
      </c>
      <c r="G2787">
        <v>0.23</v>
      </c>
      <c r="H2787">
        <v>20312</v>
      </c>
      <c r="I2787">
        <v>11.09</v>
      </c>
      <c r="J2787">
        <v>174.37</v>
      </c>
      <c r="K2787" t="s">
        <v>530</v>
      </c>
    </row>
    <row r="2788" spans="1:11">
      <c r="A2788" t="str">
        <f>"301489"</f>
        <v>301489</v>
      </c>
      <c r="B2788" t="s">
        <v>3128</v>
      </c>
      <c r="C2788">
        <v>82.88</v>
      </c>
      <c r="D2788">
        <v>16.17</v>
      </c>
      <c r="E2788">
        <v>10.84</v>
      </c>
      <c r="F2788">
        <v>0.81</v>
      </c>
      <c r="G2788">
        <v>0.48</v>
      </c>
      <c r="H2788">
        <v>20249</v>
      </c>
      <c r="I2788">
        <v>12.98</v>
      </c>
      <c r="J2788">
        <v>166.09</v>
      </c>
      <c r="K2788" t="s">
        <v>41</v>
      </c>
    </row>
    <row r="2789" spans="1:11">
      <c r="A2789" t="str">
        <f>"301491"</f>
        <v>301491</v>
      </c>
      <c r="B2789" t="s">
        <v>3129</v>
      </c>
      <c r="C2789">
        <v>15.86</v>
      </c>
      <c r="D2789">
        <v>28.99</v>
      </c>
      <c r="E2789">
        <v>20.91</v>
      </c>
      <c r="F2789">
        <v>1.29</v>
      </c>
      <c r="G2789">
        <v>0.27</v>
      </c>
      <c r="H2789">
        <v>22730</v>
      </c>
      <c r="I2789">
        <v>3.62</v>
      </c>
      <c r="J2789">
        <v>36.28</v>
      </c>
      <c r="K2789" t="s">
        <v>41</v>
      </c>
    </row>
    <row r="2790" spans="1:11">
      <c r="A2790" t="str">
        <f>"301498"</f>
        <v>301498</v>
      </c>
      <c r="B2790" t="s">
        <v>3130</v>
      </c>
      <c r="C2790">
        <v>122.92</v>
      </c>
      <c r="D2790">
        <v>55.1</v>
      </c>
      <c r="E2790">
        <v>44.75</v>
      </c>
      <c r="F2790">
        <v>4</v>
      </c>
      <c r="G2790">
        <v>1.79</v>
      </c>
      <c r="H2790">
        <v>19595</v>
      </c>
      <c r="I2790">
        <v>6.12</v>
      </c>
      <c r="J2790">
        <v>40.1</v>
      </c>
      <c r="K2790" t="s">
        <v>1663</v>
      </c>
    </row>
    <row r="2791" spans="1:11">
      <c r="A2791" t="str">
        <f>"301499"</f>
        <v>301499</v>
      </c>
      <c r="B2791" t="s">
        <v>3131</v>
      </c>
      <c r="C2791">
        <v>10.51</v>
      </c>
      <c r="D2791">
        <v>15.19</v>
      </c>
      <c r="E2791">
        <v>12.79</v>
      </c>
      <c r="F2791">
        <v>1.38</v>
      </c>
      <c r="G2791">
        <v>0.35</v>
      </c>
      <c r="H2791">
        <v>10396</v>
      </c>
      <c r="I2791">
        <v>3.29</v>
      </c>
      <c r="J2791">
        <v>90.47</v>
      </c>
      <c r="K2791" t="s">
        <v>530</v>
      </c>
    </row>
    <row r="2792" spans="1:11">
      <c r="A2792" t="str">
        <f>"301500"</f>
        <v>301500</v>
      </c>
      <c r="B2792" t="s">
        <v>3132</v>
      </c>
      <c r="C2792">
        <v>23.31</v>
      </c>
      <c r="D2792">
        <v>131</v>
      </c>
      <c r="E2792">
        <v>46.87</v>
      </c>
      <c r="F2792">
        <v>5.62</v>
      </c>
      <c r="G2792">
        <v>1.44</v>
      </c>
      <c r="H2792">
        <v>16678</v>
      </c>
      <c r="I2792">
        <v>1.94</v>
      </c>
      <c r="J2792">
        <v>34.04</v>
      </c>
      <c r="K2792" t="s">
        <v>59</v>
      </c>
    </row>
    <row r="2793" spans="1:11">
      <c r="A2793" t="str">
        <f>"301501"</f>
        <v>301501</v>
      </c>
      <c r="B2793" t="s">
        <v>3133</v>
      </c>
      <c r="C2793">
        <v>16.26</v>
      </c>
      <c r="D2793">
        <v>27.68</v>
      </c>
      <c r="E2793">
        <v>20.64</v>
      </c>
      <c r="F2793">
        <v>1.48</v>
      </c>
      <c r="G2793">
        <v>0.37</v>
      </c>
      <c r="H2793">
        <v>12019</v>
      </c>
      <c r="I2793">
        <v>3.15</v>
      </c>
      <c r="J2793">
        <v>26.39</v>
      </c>
      <c r="K2793" t="s">
        <v>625</v>
      </c>
    </row>
    <row r="2794" spans="1:11">
      <c r="A2794" t="str">
        <f>"301502"</f>
        <v>301502</v>
      </c>
      <c r="B2794" t="s">
        <v>3134</v>
      </c>
      <c r="C2794">
        <v>10.87</v>
      </c>
      <c r="D2794">
        <v>10.85</v>
      </c>
      <c r="E2794">
        <v>8.31</v>
      </c>
      <c r="F2794">
        <v>0.57</v>
      </c>
      <c r="G2794">
        <v>0.24</v>
      </c>
      <c r="H2794">
        <v>5462</v>
      </c>
      <c r="I2794">
        <v>3.17</v>
      </c>
      <c r="J2794">
        <v>80.24</v>
      </c>
      <c r="K2794" t="s">
        <v>552</v>
      </c>
    </row>
    <row r="2795" spans="1:11">
      <c r="A2795" t="str">
        <f>"301503"</f>
        <v>301503</v>
      </c>
      <c r="B2795" t="s">
        <v>3135</v>
      </c>
      <c r="C2795">
        <v>12.44</v>
      </c>
      <c r="D2795">
        <v>17.32</v>
      </c>
      <c r="E2795">
        <v>10.66</v>
      </c>
      <c r="F2795">
        <v>0.8</v>
      </c>
      <c r="G2795">
        <v>0.32</v>
      </c>
      <c r="H2795">
        <v>8402</v>
      </c>
      <c r="I2795">
        <v>2.87</v>
      </c>
      <c r="J2795">
        <v>29.81</v>
      </c>
      <c r="K2795" t="s">
        <v>88</v>
      </c>
    </row>
    <row r="2796" spans="1:11">
      <c r="A2796" t="str">
        <f>"301505"</f>
        <v>301505</v>
      </c>
      <c r="B2796" t="s">
        <v>3136</v>
      </c>
      <c r="C2796">
        <v>18.96</v>
      </c>
      <c r="D2796">
        <v>13.36</v>
      </c>
      <c r="E2796">
        <v>9.59</v>
      </c>
      <c r="F2796">
        <v>1.14</v>
      </c>
      <c r="G2796">
        <v>0.75</v>
      </c>
      <c r="H2796">
        <v>9495</v>
      </c>
      <c r="I2796">
        <v>3.02</v>
      </c>
      <c r="J2796">
        <v>249.39</v>
      </c>
      <c r="K2796" t="s">
        <v>428</v>
      </c>
    </row>
    <row r="2797" spans="1:11">
      <c r="A2797" t="str">
        <f>"301507"</f>
        <v>301507</v>
      </c>
      <c r="B2797" t="s">
        <v>3137</v>
      </c>
      <c r="C2797">
        <v>18.62</v>
      </c>
      <c r="D2797">
        <v>20.28</v>
      </c>
      <c r="E2797">
        <v>16.2</v>
      </c>
      <c r="F2797">
        <v>3.57</v>
      </c>
      <c r="G2797">
        <v>1.1</v>
      </c>
      <c r="H2797">
        <v>19684</v>
      </c>
      <c r="I2797">
        <v>3.72</v>
      </c>
      <c r="J2797">
        <v>39.5</v>
      </c>
      <c r="K2797" t="s">
        <v>109</v>
      </c>
    </row>
    <row r="2798" spans="1:11">
      <c r="A2798" t="str">
        <f>"301508"</f>
        <v>301508</v>
      </c>
      <c r="B2798" t="s">
        <v>3138</v>
      </c>
      <c r="C2798">
        <v>19.13</v>
      </c>
      <c r="D2798">
        <v>29.06</v>
      </c>
      <c r="E2798">
        <v>20.03</v>
      </c>
      <c r="F2798">
        <v>2.26</v>
      </c>
      <c r="G2798">
        <v>0.59</v>
      </c>
      <c r="H2798">
        <v>15486</v>
      </c>
      <c r="I2798">
        <v>3.67</v>
      </c>
      <c r="J2798">
        <v>49.05</v>
      </c>
      <c r="K2798" t="s">
        <v>1733</v>
      </c>
    </row>
    <row r="2799" spans="1:11">
      <c r="A2799" t="str">
        <f>"301509"</f>
        <v>301509</v>
      </c>
      <c r="B2799" t="s">
        <v>3139</v>
      </c>
      <c r="C2799">
        <v>21.49</v>
      </c>
      <c r="D2799">
        <v>23.26</v>
      </c>
      <c r="E2799">
        <v>22.04</v>
      </c>
      <c r="F2799">
        <v>1.2</v>
      </c>
      <c r="G2799">
        <v>0.57</v>
      </c>
      <c r="H2799">
        <v>14538</v>
      </c>
      <c r="I2799">
        <v>2.07</v>
      </c>
      <c r="J2799">
        <v>33.08</v>
      </c>
      <c r="K2799" t="s">
        <v>1595</v>
      </c>
    </row>
    <row r="2800" spans="1:11">
      <c r="A2800" t="str">
        <f>"301510"</f>
        <v>301510</v>
      </c>
      <c r="B2800" t="s">
        <v>3140</v>
      </c>
      <c r="C2800">
        <v>103.71</v>
      </c>
      <c r="D2800">
        <v>16.09</v>
      </c>
      <c r="E2800">
        <v>14.09</v>
      </c>
      <c r="F2800">
        <v>4</v>
      </c>
      <c r="G2800">
        <v>2.79</v>
      </c>
      <c r="H2800">
        <v>26635</v>
      </c>
      <c r="I2800">
        <v>10.55</v>
      </c>
      <c r="J2800">
        <v>249.8</v>
      </c>
      <c r="K2800" t="s">
        <v>663</v>
      </c>
    </row>
    <row r="2801" spans="1:11">
      <c r="A2801" t="str">
        <f>"301511"</f>
        <v>301511</v>
      </c>
      <c r="B2801" t="s">
        <v>3141</v>
      </c>
      <c r="C2801">
        <v>115.06</v>
      </c>
      <c r="D2801">
        <v>188.96</v>
      </c>
      <c r="E2801">
        <v>40.63</v>
      </c>
      <c r="F2801">
        <v>6.3</v>
      </c>
      <c r="G2801">
        <v>3.75</v>
      </c>
      <c r="H2801">
        <v>59751</v>
      </c>
      <c r="I2801">
        <v>4.77</v>
      </c>
      <c r="J2801">
        <v>218.08</v>
      </c>
      <c r="K2801" t="s">
        <v>70</v>
      </c>
    </row>
    <row r="2802" spans="1:11">
      <c r="A2802" t="str">
        <f>"301512"</f>
        <v>301512</v>
      </c>
      <c r="B2802" t="s">
        <v>3142</v>
      </c>
      <c r="C2802">
        <v>11.9</v>
      </c>
      <c r="D2802">
        <v>13.26</v>
      </c>
      <c r="E2802">
        <v>10.09</v>
      </c>
      <c r="F2802">
        <v>0.53</v>
      </c>
      <c r="G2802">
        <v>0.25</v>
      </c>
      <c r="H2802">
        <v>8125</v>
      </c>
      <c r="I2802">
        <v>2.54</v>
      </c>
      <c r="J2802" t="s">
        <v>14</v>
      </c>
      <c r="K2802" t="s">
        <v>3039</v>
      </c>
    </row>
    <row r="2803" spans="1:11">
      <c r="A2803" t="str">
        <f>"301515"</f>
        <v>301515</v>
      </c>
      <c r="B2803" t="s">
        <v>3143</v>
      </c>
      <c r="C2803">
        <v>16.49</v>
      </c>
      <c r="D2803">
        <v>20.61</v>
      </c>
      <c r="E2803">
        <v>12.18</v>
      </c>
      <c r="F2803">
        <v>1</v>
      </c>
      <c r="G2803">
        <v>0.63</v>
      </c>
      <c r="H2803">
        <v>11673</v>
      </c>
      <c r="I2803">
        <v>2.15</v>
      </c>
      <c r="J2803" t="s">
        <v>14</v>
      </c>
      <c r="K2803" t="s">
        <v>1836</v>
      </c>
    </row>
    <row r="2804" spans="1:11">
      <c r="A2804" t="str">
        <f>"301516"</f>
        <v>301516</v>
      </c>
      <c r="B2804" t="s">
        <v>3144</v>
      </c>
      <c r="C2804">
        <v>11.66</v>
      </c>
      <c r="D2804">
        <v>17.02</v>
      </c>
      <c r="E2804">
        <v>12.91</v>
      </c>
      <c r="F2804">
        <v>2.81</v>
      </c>
      <c r="G2804">
        <v>0.7</v>
      </c>
      <c r="H2804">
        <v>15815</v>
      </c>
      <c r="I2804">
        <v>3.61</v>
      </c>
      <c r="J2804" t="s">
        <v>14</v>
      </c>
      <c r="K2804" t="s">
        <v>1010</v>
      </c>
    </row>
    <row r="2805" spans="1:11">
      <c r="A2805" t="str">
        <f>"301517"</f>
        <v>301517</v>
      </c>
      <c r="B2805" t="s">
        <v>3145</v>
      </c>
      <c r="C2805">
        <v>87.93</v>
      </c>
      <c r="D2805">
        <v>21.77</v>
      </c>
      <c r="E2805">
        <v>13.4</v>
      </c>
      <c r="F2805">
        <v>1.51</v>
      </c>
      <c r="G2805">
        <v>0.98</v>
      </c>
      <c r="H2805">
        <v>27698</v>
      </c>
      <c r="I2805">
        <v>10.11</v>
      </c>
      <c r="J2805" t="s">
        <v>14</v>
      </c>
      <c r="K2805" t="s">
        <v>223</v>
      </c>
    </row>
    <row r="2806" spans="1:11">
      <c r="A2806" t="str">
        <f>"301518"</f>
        <v>301518</v>
      </c>
      <c r="B2806" t="s">
        <v>3146</v>
      </c>
      <c r="C2806">
        <v>23.86</v>
      </c>
      <c r="D2806">
        <v>26.28</v>
      </c>
      <c r="E2806">
        <v>14.72</v>
      </c>
      <c r="F2806">
        <v>1.4</v>
      </c>
      <c r="G2806">
        <v>0.53</v>
      </c>
      <c r="H2806">
        <v>11981</v>
      </c>
      <c r="I2806">
        <v>4.25</v>
      </c>
      <c r="J2806">
        <v>61.64</v>
      </c>
      <c r="K2806" t="s">
        <v>511</v>
      </c>
    </row>
    <row r="2807" spans="1:11">
      <c r="A2807" t="str">
        <f>"301519"</f>
        <v>301519</v>
      </c>
      <c r="B2807" t="s">
        <v>3147</v>
      </c>
      <c r="C2807">
        <v>10.64</v>
      </c>
      <c r="D2807">
        <v>31.82</v>
      </c>
      <c r="E2807">
        <v>14.15</v>
      </c>
      <c r="F2807">
        <v>1.62</v>
      </c>
      <c r="G2807">
        <v>0.75</v>
      </c>
      <c r="H2807">
        <v>11471</v>
      </c>
      <c r="I2807">
        <v>1.64</v>
      </c>
      <c r="J2807" t="s">
        <v>14</v>
      </c>
      <c r="K2807" t="s">
        <v>228</v>
      </c>
    </row>
    <row r="2808" spans="1:11">
      <c r="A2808" t="str">
        <f>"301520"</f>
        <v>301520</v>
      </c>
      <c r="B2808" t="s">
        <v>3148</v>
      </c>
      <c r="C2808">
        <v>10.14</v>
      </c>
      <c r="D2808">
        <v>15.91</v>
      </c>
      <c r="E2808">
        <v>15.13</v>
      </c>
      <c r="F2808">
        <v>0.67</v>
      </c>
      <c r="G2808">
        <v>0.22</v>
      </c>
      <c r="H2808">
        <v>7686</v>
      </c>
      <c r="I2808">
        <v>1.99</v>
      </c>
      <c r="J2808">
        <v>68.3</v>
      </c>
      <c r="K2808" t="s">
        <v>1595</v>
      </c>
    </row>
    <row r="2809" spans="1:11">
      <c r="A2809" t="str">
        <f>"301522"</f>
        <v>301522</v>
      </c>
      <c r="B2809" t="s">
        <v>3149</v>
      </c>
      <c r="C2809">
        <v>121.07</v>
      </c>
      <c r="D2809">
        <v>38.39</v>
      </c>
      <c r="E2809">
        <v>18.92</v>
      </c>
      <c r="F2809">
        <v>3.72</v>
      </c>
      <c r="G2809">
        <v>2.81</v>
      </c>
      <c r="H2809">
        <v>25516</v>
      </c>
      <c r="I2809">
        <v>8.46</v>
      </c>
      <c r="J2809">
        <v>156.68</v>
      </c>
      <c r="K2809" t="s">
        <v>307</v>
      </c>
    </row>
    <row r="2810" spans="1:11">
      <c r="A2810" t="str">
        <f>"301525"</f>
        <v>301525</v>
      </c>
      <c r="B2810" t="s">
        <v>3150</v>
      </c>
      <c r="C2810">
        <v>43.53</v>
      </c>
      <c r="D2810">
        <v>39.2</v>
      </c>
      <c r="E2810">
        <v>32.61</v>
      </c>
      <c r="F2810">
        <v>0.94</v>
      </c>
      <c r="G2810">
        <v>0.49</v>
      </c>
      <c r="H2810">
        <v>10200</v>
      </c>
      <c r="I2810">
        <v>2.55</v>
      </c>
      <c r="J2810">
        <v>46.5</v>
      </c>
      <c r="K2810" t="s">
        <v>134</v>
      </c>
    </row>
    <row r="2811" spans="1:11">
      <c r="A2811" t="str">
        <f>"301526"</f>
        <v>301526</v>
      </c>
      <c r="B2811" t="s">
        <v>3151</v>
      </c>
      <c r="C2811">
        <v>101.82</v>
      </c>
      <c r="D2811">
        <v>217.8</v>
      </c>
      <c r="E2811">
        <v>82.12</v>
      </c>
      <c r="F2811">
        <v>37.71</v>
      </c>
      <c r="G2811">
        <v>14.04</v>
      </c>
      <c r="H2811">
        <v>75115</v>
      </c>
      <c r="I2811">
        <v>3.33</v>
      </c>
      <c r="J2811">
        <v>75.13</v>
      </c>
      <c r="K2811" t="s">
        <v>842</v>
      </c>
    </row>
    <row r="2812" spans="1:11">
      <c r="A2812" t="str">
        <f>"301528"</f>
        <v>301528</v>
      </c>
      <c r="B2812" t="s">
        <v>3152</v>
      </c>
      <c r="C2812">
        <v>22.05</v>
      </c>
      <c r="D2812">
        <v>15.86</v>
      </c>
      <c r="E2812">
        <v>15.29</v>
      </c>
      <c r="F2812">
        <v>0.62</v>
      </c>
      <c r="G2812">
        <v>0.32</v>
      </c>
      <c r="H2812">
        <v>6847</v>
      </c>
      <c r="I2812">
        <v>2.8</v>
      </c>
      <c r="J2812">
        <v>88.66</v>
      </c>
      <c r="K2812" t="s">
        <v>952</v>
      </c>
    </row>
    <row r="2813" spans="1:11">
      <c r="A2813" t="str">
        <f>"301529"</f>
        <v>301529</v>
      </c>
      <c r="B2813" t="s">
        <v>3153</v>
      </c>
      <c r="C2813">
        <v>56.91</v>
      </c>
      <c r="D2813">
        <v>22.84</v>
      </c>
      <c r="E2813">
        <v>13.66</v>
      </c>
      <c r="F2813">
        <v>0.85</v>
      </c>
      <c r="G2813">
        <v>0.45</v>
      </c>
      <c r="H2813">
        <v>7243</v>
      </c>
      <c r="I2813">
        <v>7.81</v>
      </c>
      <c r="J2813">
        <v>75.05</v>
      </c>
      <c r="K2813" t="s">
        <v>356</v>
      </c>
    </row>
    <row r="2814" spans="1:11">
      <c r="A2814" t="str">
        <f>"301533"</f>
        <v>301533</v>
      </c>
      <c r="B2814" t="s">
        <v>3154</v>
      </c>
      <c r="C2814">
        <v>11.62</v>
      </c>
      <c r="D2814">
        <v>13.79</v>
      </c>
      <c r="E2814">
        <v>11.33</v>
      </c>
      <c r="F2814">
        <v>0.98</v>
      </c>
      <c r="G2814">
        <v>0.28</v>
      </c>
      <c r="H2814">
        <v>9087</v>
      </c>
      <c r="I2814">
        <v>3.55</v>
      </c>
      <c r="J2814">
        <v>83.23</v>
      </c>
      <c r="K2814" t="s">
        <v>1556</v>
      </c>
    </row>
    <row r="2815" spans="1:11">
      <c r="A2815" t="str">
        <f>"301535"</f>
        <v>301535</v>
      </c>
      <c r="B2815" t="s">
        <v>3155</v>
      </c>
      <c r="C2815">
        <v>15.26</v>
      </c>
      <c r="D2815">
        <v>14.72</v>
      </c>
      <c r="E2815">
        <v>11.52</v>
      </c>
      <c r="F2815">
        <v>4.25</v>
      </c>
      <c r="G2815">
        <v>0.64</v>
      </c>
      <c r="H2815">
        <v>11873</v>
      </c>
      <c r="I2815">
        <v>8.83</v>
      </c>
      <c r="J2815">
        <v>96.64</v>
      </c>
      <c r="K2815" t="s">
        <v>517</v>
      </c>
    </row>
    <row r="2816" spans="1:11">
      <c r="A2816" t="str">
        <f>"301536"</f>
        <v>301536</v>
      </c>
      <c r="B2816" t="s">
        <v>3156</v>
      </c>
      <c r="C2816">
        <v>121.75</v>
      </c>
      <c r="D2816">
        <v>46.58</v>
      </c>
      <c r="E2816">
        <v>31.24</v>
      </c>
      <c r="F2816">
        <v>4.22</v>
      </c>
      <c r="G2816">
        <v>1.87</v>
      </c>
      <c r="H2816">
        <v>31950</v>
      </c>
      <c r="I2816">
        <v>8.78</v>
      </c>
      <c r="J2816">
        <v>101.75</v>
      </c>
      <c r="K2816" t="s">
        <v>691</v>
      </c>
    </row>
    <row r="2817" spans="1:11">
      <c r="A2817" t="str">
        <f>"301538"</f>
        <v>301538</v>
      </c>
      <c r="B2817" t="s">
        <v>3157</v>
      </c>
      <c r="C2817">
        <v>26.32</v>
      </c>
      <c r="D2817">
        <v>16.06</v>
      </c>
      <c r="E2817">
        <v>13.73</v>
      </c>
      <c r="F2817">
        <v>0.78</v>
      </c>
      <c r="G2817">
        <v>0.31</v>
      </c>
      <c r="H2817">
        <v>8587</v>
      </c>
      <c r="I2817">
        <v>4.82</v>
      </c>
      <c r="J2817">
        <v>36.14</v>
      </c>
      <c r="K2817" t="s">
        <v>1113</v>
      </c>
    </row>
    <row r="2818" spans="1:11">
      <c r="A2818" t="str">
        <f>"301539"</f>
        <v>301539</v>
      </c>
      <c r="B2818" t="s">
        <v>3158</v>
      </c>
      <c r="C2818">
        <v>16.06</v>
      </c>
      <c r="D2818">
        <v>18.84</v>
      </c>
      <c r="E2818">
        <v>8.16</v>
      </c>
      <c r="F2818">
        <v>1.48</v>
      </c>
      <c r="G2818">
        <v>0.75</v>
      </c>
      <c r="H2818">
        <v>9701</v>
      </c>
      <c r="I2818">
        <v>3.88</v>
      </c>
      <c r="J2818">
        <v>54.47</v>
      </c>
      <c r="K2818" t="s">
        <v>263</v>
      </c>
    </row>
    <row r="2819" spans="1:11">
      <c r="A2819" t="str">
        <f>"301548"</f>
        <v>301548</v>
      </c>
      <c r="B2819" t="s">
        <v>3159</v>
      </c>
      <c r="C2819">
        <v>17.3</v>
      </c>
      <c r="D2819">
        <v>17.71</v>
      </c>
      <c r="E2819">
        <v>15.1</v>
      </c>
      <c r="F2819">
        <v>0.87</v>
      </c>
      <c r="G2819">
        <v>0.26</v>
      </c>
      <c r="H2819">
        <v>10000</v>
      </c>
      <c r="I2819">
        <v>3.8</v>
      </c>
      <c r="J2819">
        <v>42.16</v>
      </c>
      <c r="K2819" t="s">
        <v>424</v>
      </c>
    </row>
    <row r="2820" spans="1:11">
      <c r="A2820" t="str">
        <f>"301550"</f>
        <v>301550</v>
      </c>
      <c r="B2820" t="s">
        <v>3160</v>
      </c>
      <c r="C2820">
        <v>253.24</v>
      </c>
      <c r="D2820">
        <v>22.4</v>
      </c>
      <c r="E2820">
        <v>18.35</v>
      </c>
      <c r="F2820">
        <v>2.31</v>
      </c>
      <c r="G2820">
        <v>1.41</v>
      </c>
      <c r="H2820">
        <v>14708</v>
      </c>
      <c r="I2820">
        <v>22.63</v>
      </c>
      <c r="J2820">
        <v>222.69</v>
      </c>
      <c r="K2820" t="s">
        <v>263</v>
      </c>
    </row>
    <row r="2821" spans="1:11">
      <c r="A2821" t="str">
        <f>"301551"</f>
        <v>301551</v>
      </c>
      <c r="B2821" t="s">
        <v>3161</v>
      </c>
      <c r="C2821">
        <v>56.41</v>
      </c>
      <c r="D2821">
        <v>27.27</v>
      </c>
      <c r="E2821">
        <v>25.58</v>
      </c>
      <c r="F2821">
        <v>4</v>
      </c>
      <c r="G2821">
        <v>1.55</v>
      </c>
      <c r="H2821">
        <v>28614</v>
      </c>
      <c r="I2821">
        <v>5.71</v>
      </c>
      <c r="J2821">
        <v>50.44</v>
      </c>
      <c r="K2821" t="s">
        <v>113</v>
      </c>
    </row>
    <row r="2822" spans="1:11">
      <c r="A2822" t="str">
        <f>"301552"</f>
        <v>301552</v>
      </c>
      <c r="B2822" t="s">
        <v>3162</v>
      </c>
      <c r="C2822">
        <v>9.3</v>
      </c>
      <c r="D2822">
        <v>14.15</v>
      </c>
      <c r="E2822">
        <v>11.51</v>
      </c>
      <c r="F2822">
        <v>0.95</v>
      </c>
      <c r="G2822">
        <v>0.24</v>
      </c>
      <c r="H2822">
        <v>7274</v>
      </c>
      <c r="I2822">
        <v>3.23</v>
      </c>
      <c r="J2822">
        <v>22.76</v>
      </c>
      <c r="K2822" t="s">
        <v>356</v>
      </c>
    </row>
    <row r="2823" spans="1:11">
      <c r="A2823" t="str">
        <f>"301555"</f>
        <v>301555</v>
      </c>
      <c r="B2823" t="s">
        <v>3163</v>
      </c>
      <c r="C2823">
        <v>17.29</v>
      </c>
      <c r="D2823">
        <v>27.93</v>
      </c>
      <c r="E2823">
        <v>11.23</v>
      </c>
      <c r="F2823">
        <v>0.92</v>
      </c>
      <c r="G2823">
        <v>0.48</v>
      </c>
      <c r="H2823">
        <v>10206</v>
      </c>
      <c r="I2823">
        <v>2.94</v>
      </c>
      <c r="J2823">
        <v>41.03</v>
      </c>
      <c r="K2823" t="s">
        <v>601</v>
      </c>
    </row>
    <row r="2824" spans="1:11">
      <c r="A2824" t="str">
        <f>"301556"</f>
        <v>301556</v>
      </c>
      <c r="B2824" t="s">
        <v>3164</v>
      </c>
      <c r="C2824">
        <v>43.94</v>
      </c>
      <c r="D2824">
        <v>11.98</v>
      </c>
      <c r="E2824">
        <v>9.88</v>
      </c>
      <c r="F2824">
        <v>0.85</v>
      </c>
      <c r="G2824">
        <v>0.29</v>
      </c>
      <c r="H2824">
        <v>11825</v>
      </c>
      <c r="I2824">
        <v>12.87</v>
      </c>
      <c r="J2824">
        <v>104.43</v>
      </c>
      <c r="K2824" t="s">
        <v>117</v>
      </c>
    </row>
    <row r="2825" spans="1:11">
      <c r="A2825" t="str">
        <f>"301557"</f>
        <v>301557</v>
      </c>
      <c r="B2825" t="s">
        <v>3165</v>
      </c>
      <c r="C2825">
        <v>13.89</v>
      </c>
      <c r="D2825">
        <v>19.66</v>
      </c>
      <c r="E2825">
        <v>10.11</v>
      </c>
      <c r="F2825">
        <v>0.44</v>
      </c>
      <c r="G2825">
        <v>0.11</v>
      </c>
      <c r="H2825">
        <v>6704</v>
      </c>
      <c r="I2825">
        <v>5.49</v>
      </c>
      <c r="J2825">
        <v>73.2</v>
      </c>
      <c r="K2825" t="s">
        <v>456</v>
      </c>
    </row>
    <row r="2826" spans="1:11">
      <c r="A2826" t="str">
        <f>"301558"</f>
        <v>301558</v>
      </c>
      <c r="B2826" t="s">
        <v>3166</v>
      </c>
      <c r="C2826">
        <v>20.94</v>
      </c>
      <c r="D2826">
        <v>15.07</v>
      </c>
      <c r="E2826">
        <v>13.56</v>
      </c>
      <c r="F2826">
        <v>7.89</v>
      </c>
      <c r="G2826">
        <v>2.19</v>
      </c>
      <c r="H2826">
        <v>27460</v>
      </c>
      <c r="I2826">
        <v>5.56</v>
      </c>
      <c r="J2826">
        <v>177.42</v>
      </c>
      <c r="K2826" t="s">
        <v>1102</v>
      </c>
    </row>
    <row r="2827" spans="1:11">
      <c r="A2827" t="str">
        <f>"301559"</f>
        <v>301559</v>
      </c>
      <c r="B2827" t="s">
        <v>3167</v>
      </c>
      <c r="C2827">
        <v>15.8</v>
      </c>
      <c r="D2827">
        <v>53.18</v>
      </c>
      <c r="E2827">
        <v>45.54</v>
      </c>
      <c r="F2827">
        <v>6</v>
      </c>
      <c r="G2827">
        <v>0.9</v>
      </c>
      <c r="H2827">
        <v>26562</v>
      </c>
      <c r="I2827">
        <v>2.31</v>
      </c>
      <c r="J2827">
        <v>79.37</v>
      </c>
      <c r="K2827" t="s">
        <v>63</v>
      </c>
    </row>
    <row r="2828" spans="1:11">
      <c r="A2828" t="str">
        <f>"301560"</f>
        <v>301560</v>
      </c>
      <c r="B2828" t="s">
        <v>3168</v>
      </c>
      <c r="C2828">
        <v>8.47</v>
      </c>
      <c r="D2828">
        <v>18.26</v>
      </c>
      <c r="E2828">
        <v>9.81</v>
      </c>
      <c r="F2828">
        <v>1.22</v>
      </c>
      <c r="G2828">
        <v>0.24</v>
      </c>
      <c r="H2828">
        <v>9957</v>
      </c>
      <c r="I2828">
        <v>4.32</v>
      </c>
      <c r="J2828">
        <v>51.75</v>
      </c>
      <c r="K2828" t="s">
        <v>51</v>
      </c>
    </row>
    <row r="2829" spans="1:11">
      <c r="A2829" t="str">
        <f>"301563"</f>
        <v>301563</v>
      </c>
      <c r="B2829" t="s">
        <v>3169</v>
      </c>
      <c r="C2829">
        <v>24.02</v>
      </c>
      <c r="D2829">
        <v>17.81</v>
      </c>
      <c r="E2829">
        <v>12</v>
      </c>
      <c r="F2829">
        <v>0.65</v>
      </c>
      <c r="G2829">
        <v>0.14</v>
      </c>
      <c r="H2829">
        <v>26436</v>
      </c>
      <c r="I2829">
        <v>9.35</v>
      </c>
      <c r="J2829">
        <v>103.24</v>
      </c>
      <c r="K2829" t="s">
        <v>82</v>
      </c>
    </row>
    <row r="2830" spans="1:11">
      <c r="A2830" t="str">
        <f>"301565"</f>
        <v>301565</v>
      </c>
      <c r="B2830" t="s">
        <v>3170</v>
      </c>
      <c r="C2830">
        <v>32.05</v>
      </c>
      <c r="D2830">
        <v>38.21</v>
      </c>
      <c r="E2830">
        <v>24.08</v>
      </c>
      <c r="F2830">
        <v>4</v>
      </c>
      <c r="G2830">
        <v>1.28</v>
      </c>
      <c r="H2830">
        <v>19673</v>
      </c>
      <c r="I2830">
        <v>4.16</v>
      </c>
      <c r="J2830">
        <v>112.43</v>
      </c>
      <c r="K2830" t="s">
        <v>496</v>
      </c>
    </row>
    <row r="2831" spans="1:11">
      <c r="A2831" t="str">
        <f>"301566"</f>
        <v>301566</v>
      </c>
      <c r="B2831" t="s">
        <v>3171</v>
      </c>
      <c r="C2831">
        <v>44.99</v>
      </c>
      <c r="D2831">
        <v>15.13</v>
      </c>
      <c r="E2831">
        <v>14.39</v>
      </c>
      <c r="F2831">
        <v>4</v>
      </c>
      <c r="G2831">
        <v>2.08</v>
      </c>
      <c r="H2831">
        <v>24239</v>
      </c>
      <c r="I2831">
        <v>6.03</v>
      </c>
      <c r="J2831">
        <v>51.49</v>
      </c>
      <c r="K2831" t="s">
        <v>310</v>
      </c>
    </row>
    <row r="2832" spans="1:11">
      <c r="A2832" t="str">
        <f>"301567"</f>
        <v>301567</v>
      </c>
      <c r="B2832" t="s">
        <v>3172</v>
      </c>
      <c r="C2832">
        <v>11.17</v>
      </c>
      <c r="D2832">
        <v>9.18</v>
      </c>
      <c r="E2832">
        <v>7.48</v>
      </c>
      <c r="F2832">
        <v>0.72</v>
      </c>
      <c r="G2832">
        <v>0.21</v>
      </c>
      <c r="H2832">
        <v>12407</v>
      </c>
      <c r="I2832">
        <v>5.06</v>
      </c>
      <c r="J2832">
        <v>161.06</v>
      </c>
      <c r="K2832" t="s">
        <v>41</v>
      </c>
    </row>
    <row r="2833" spans="1:11">
      <c r="A2833" t="str">
        <f>"301568"</f>
        <v>301568</v>
      </c>
      <c r="B2833" t="s">
        <v>3173</v>
      </c>
      <c r="C2833">
        <v>23.78</v>
      </c>
      <c r="D2833">
        <v>11.55</v>
      </c>
      <c r="E2833">
        <v>10.09</v>
      </c>
      <c r="F2833">
        <v>1.03</v>
      </c>
      <c r="G2833">
        <v>0.48</v>
      </c>
      <c r="H2833">
        <v>13782</v>
      </c>
      <c r="I2833">
        <v>5.11</v>
      </c>
      <c r="J2833">
        <v>49.72</v>
      </c>
      <c r="K2833" t="s">
        <v>493</v>
      </c>
    </row>
    <row r="2834" spans="1:11">
      <c r="A2834" t="str">
        <f>"301571"</f>
        <v>301571</v>
      </c>
      <c r="B2834" t="s">
        <v>3174</v>
      </c>
      <c r="C2834">
        <v>72.29</v>
      </c>
      <c r="D2834">
        <v>30.1</v>
      </c>
      <c r="E2834">
        <v>19.62</v>
      </c>
      <c r="F2834">
        <v>1.79</v>
      </c>
      <c r="G2834">
        <v>1.19</v>
      </c>
      <c r="H2834">
        <v>15024</v>
      </c>
      <c r="I2834">
        <v>5.55</v>
      </c>
      <c r="J2834">
        <v>64.82</v>
      </c>
      <c r="K2834" t="s">
        <v>82</v>
      </c>
    </row>
    <row r="2835" spans="1:11">
      <c r="A2835" t="str">
        <f>"301575"</f>
        <v>301575</v>
      </c>
      <c r="B2835" t="s">
        <v>3175</v>
      </c>
      <c r="C2835">
        <v>8.55</v>
      </c>
      <c r="D2835">
        <v>19.15</v>
      </c>
      <c r="E2835">
        <v>13.73</v>
      </c>
      <c r="F2835">
        <v>0.87</v>
      </c>
      <c r="G2835">
        <v>0.17</v>
      </c>
      <c r="H2835">
        <v>16329</v>
      </c>
      <c r="I2835">
        <v>3.26</v>
      </c>
      <c r="J2835">
        <v>34.86</v>
      </c>
      <c r="K2835" t="s">
        <v>625</v>
      </c>
    </row>
    <row r="2836" spans="1:11">
      <c r="A2836" t="str">
        <f>"301577"</f>
        <v>301577</v>
      </c>
      <c r="B2836" t="s">
        <v>3176</v>
      </c>
      <c r="C2836">
        <v>11.3</v>
      </c>
      <c r="D2836">
        <v>11.07</v>
      </c>
      <c r="E2836">
        <v>7.63</v>
      </c>
      <c r="F2836">
        <v>0.45</v>
      </c>
      <c r="G2836">
        <v>0.19</v>
      </c>
      <c r="H2836">
        <v>8099</v>
      </c>
      <c r="I2836">
        <v>3.54</v>
      </c>
      <c r="J2836">
        <v>177.88</v>
      </c>
      <c r="K2836" t="s">
        <v>82</v>
      </c>
    </row>
    <row r="2837" spans="1:11">
      <c r="A2837" t="str">
        <f>"301578"</f>
        <v>301578</v>
      </c>
      <c r="B2837" t="s">
        <v>3177</v>
      </c>
      <c r="C2837">
        <v>8.25</v>
      </c>
      <c r="D2837">
        <v>13.98</v>
      </c>
      <c r="E2837">
        <v>9.31</v>
      </c>
      <c r="F2837">
        <v>0.81</v>
      </c>
      <c r="G2837">
        <v>0.23</v>
      </c>
      <c r="H2837">
        <v>8475</v>
      </c>
      <c r="I2837">
        <v>3.12</v>
      </c>
      <c r="J2837">
        <v>101.51</v>
      </c>
      <c r="K2837" t="s">
        <v>82</v>
      </c>
    </row>
    <row r="2838" spans="1:11">
      <c r="A2838" t="str">
        <f>"301580"</f>
        <v>301580</v>
      </c>
      <c r="B2838" t="s">
        <v>3178</v>
      </c>
      <c r="C2838">
        <v>35.5</v>
      </c>
      <c r="D2838">
        <v>23.77</v>
      </c>
      <c r="E2838">
        <v>20.85</v>
      </c>
      <c r="F2838">
        <v>1.07</v>
      </c>
      <c r="G2838">
        <v>0.72</v>
      </c>
      <c r="H2838">
        <v>9851</v>
      </c>
      <c r="I2838">
        <v>2.52</v>
      </c>
      <c r="J2838">
        <v>27.84</v>
      </c>
      <c r="K2838" t="s">
        <v>1173</v>
      </c>
    </row>
    <row r="2839" spans="1:11">
      <c r="A2839" t="str">
        <f>"301581"</f>
        <v>301581</v>
      </c>
      <c r="B2839" t="s">
        <v>3179</v>
      </c>
      <c r="C2839">
        <v>23.9</v>
      </c>
      <c r="D2839">
        <v>11.92</v>
      </c>
      <c r="E2839">
        <v>10.04</v>
      </c>
      <c r="F2839">
        <v>0.8</v>
      </c>
      <c r="G2839">
        <v>0.49</v>
      </c>
      <c r="H2839">
        <v>9773</v>
      </c>
      <c r="I2839">
        <v>3.89</v>
      </c>
      <c r="J2839">
        <v>58.62</v>
      </c>
      <c r="K2839" t="s">
        <v>884</v>
      </c>
    </row>
    <row r="2840" spans="1:11">
      <c r="A2840" t="str">
        <f>"301584"</f>
        <v>301584</v>
      </c>
      <c r="B2840" t="s">
        <v>3180</v>
      </c>
      <c r="C2840">
        <v>16.13</v>
      </c>
      <c r="D2840">
        <v>146.86</v>
      </c>
      <c r="E2840">
        <v>20.77</v>
      </c>
      <c r="F2840">
        <v>4.21</v>
      </c>
      <c r="G2840">
        <v>0.5</v>
      </c>
      <c r="H2840">
        <v>25870</v>
      </c>
      <c r="I2840">
        <v>6.49</v>
      </c>
      <c r="J2840">
        <v>43.98</v>
      </c>
      <c r="K2840" t="s">
        <v>48</v>
      </c>
    </row>
    <row r="2841" spans="1:11">
      <c r="A2841" t="str">
        <f>"301585"</f>
        <v>301585</v>
      </c>
      <c r="B2841" t="s">
        <v>3181</v>
      </c>
      <c r="C2841">
        <v>21.28</v>
      </c>
      <c r="D2841">
        <v>11.59</v>
      </c>
      <c r="E2841">
        <v>9.65</v>
      </c>
      <c r="F2841">
        <v>1.04</v>
      </c>
      <c r="G2841">
        <v>0.68</v>
      </c>
      <c r="H2841">
        <v>10560</v>
      </c>
      <c r="I2841">
        <v>3.37</v>
      </c>
      <c r="J2841">
        <v>51.33</v>
      </c>
      <c r="K2841" t="s">
        <v>812</v>
      </c>
    </row>
    <row r="2842" spans="1:11">
      <c r="A2842" t="str">
        <f>"301586"</f>
        <v>301586</v>
      </c>
      <c r="B2842" t="s">
        <v>3182</v>
      </c>
      <c r="C2842">
        <v>28.41</v>
      </c>
      <c r="D2842">
        <v>16.69</v>
      </c>
      <c r="E2842">
        <v>12.77</v>
      </c>
      <c r="F2842">
        <v>0.83</v>
      </c>
      <c r="G2842">
        <v>0.53</v>
      </c>
      <c r="H2842">
        <v>10034</v>
      </c>
      <c r="I2842">
        <v>3.49</v>
      </c>
      <c r="J2842">
        <v>78.69</v>
      </c>
      <c r="K2842" t="s">
        <v>353</v>
      </c>
    </row>
    <row r="2843" spans="1:11">
      <c r="A2843" t="str">
        <f>"301587"</f>
        <v>301587</v>
      </c>
      <c r="B2843" t="s">
        <v>3183</v>
      </c>
      <c r="C2843">
        <v>17.79</v>
      </c>
      <c r="D2843">
        <v>23.46</v>
      </c>
      <c r="E2843">
        <v>19.98</v>
      </c>
      <c r="F2843">
        <v>1.47</v>
      </c>
      <c r="G2843">
        <v>0.73</v>
      </c>
      <c r="H2843">
        <v>13015</v>
      </c>
      <c r="I2843">
        <v>1.79</v>
      </c>
      <c r="J2843">
        <v>106.49</v>
      </c>
      <c r="K2843" t="s">
        <v>70</v>
      </c>
    </row>
    <row r="2844" spans="1:11">
      <c r="A2844" t="str">
        <f>"301588"</f>
        <v>301588</v>
      </c>
      <c r="B2844" t="s">
        <v>3184</v>
      </c>
      <c r="C2844">
        <v>14.62</v>
      </c>
      <c r="D2844">
        <v>17.81</v>
      </c>
      <c r="E2844">
        <v>9.35</v>
      </c>
      <c r="F2844">
        <v>1.19</v>
      </c>
      <c r="G2844">
        <v>0.73</v>
      </c>
      <c r="H2844">
        <v>7728</v>
      </c>
      <c r="I2844">
        <v>2.53</v>
      </c>
      <c r="J2844">
        <v>62.57</v>
      </c>
      <c r="K2844" t="s">
        <v>540</v>
      </c>
    </row>
    <row r="2845" spans="1:11">
      <c r="A2845" t="str">
        <f>"301589"</f>
        <v>301589</v>
      </c>
      <c r="B2845" t="s">
        <v>3185</v>
      </c>
      <c r="C2845">
        <v>65.69</v>
      </c>
      <c r="D2845">
        <v>56.69</v>
      </c>
      <c r="E2845">
        <v>38.29</v>
      </c>
      <c r="F2845">
        <v>0.92</v>
      </c>
      <c r="G2845">
        <v>0.34</v>
      </c>
      <c r="H2845">
        <v>9589</v>
      </c>
      <c r="I2845">
        <v>4.6</v>
      </c>
      <c r="J2845">
        <v>29.68</v>
      </c>
      <c r="K2845" t="s">
        <v>88</v>
      </c>
    </row>
    <row r="2846" spans="1:11">
      <c r="A2846" t="str">
        <f>"301590"</f>
        <v>301590</v>
      </c>
      <c r="B2846" t="s">
        <v>3186</v>
      </c>
      <c r="C2846">
        <v>16.58</v>
      </c>
      <c r="D2846">
        <v>26.38</v>
      </c>
      <c r="E2846">
        <v>19.44</v>
      </c>
      <c r="F2846">
        <v>0.42</v>
      </c>
      <c r="G2846">
        <v>0.09</v>
      </c>
      <c r="H2846">
        <v>11356</v>
      </c>
      <c r="I2846">
        <v>4.16</v>
      </c>
      <c r="J2846">
        <v>49.09</v>
      </c>
      <c r="K2846" t="s">
        <v>1010</v>
      </c>
    </row>
    <row r="2847" spans="1:11">
      <c r="A2847" t="str">
        <f>"301591"</f>
        <v>301591</v>
      </c>
      <c r="B2847" t="s">
        <v>3187</v>
      </c>
      <c r="C2847">
        <v>14.71</v>
      </c>
      <c r="D2847">
        <v>9.82</v>
      </c>
      <c r="E2847">
        <v>8.96</v>
      </c>
      <c r="F2847">
        <v>0.84</v>
      </c>
      <c r="G2847">
        <v>0.34</v>
      </c>
      <c r="H2847">
        <v>10331</v>
      </c>
      <c r="I2847">
        <v>4.07</v>
      </c>
      <c r="J2847">
        <v>46.28</v>
      </c>
      <c r="K2847" t="s">
        <v>549</v>
      </c>
    </row>
    <row r="2848" spans="1:11">
      <c r="A2848" t="str">
        <f>"301592"</f>
        <v>301592</v>
      </c>
      <c r="B2848" t="s">
        <v>3188</v>
      </c>
      <c r="C2848">
        <v>29.23</v>
      </c>
      <c r="D2848">
        <v>14.44</v>
      </c>
      <c r="E2848">
        <v>8.77</v>
      </c>
      <c r="F2848">
        <v>0.7</v>
      </c>
      <c r="G2848">
        <v>0.23</v>
      </c>
      <c r="H2848">
        <v>13094</v>
      </c>
      <c r="I2848">
        <v>9.99</v>
      </c>
      <c r="J2848" t="s">
        <v>14</v>
      </c>
      <c r="K2848" t="s">
        <v>223</v>
      </c>
    </row>
    <row r="2849" spans="1:11">
      <c r="A2849" t="str">
        <f>"301595"</f>
        <v>301595</v>
      </c>
      <c r="B2849" t="s">
        <v>3189</v>
      </c>
      <c r="C2849">
        <v>12.04</v>
      </c>
      <c r="D2849">
        <v>12.43</v>
      </c>
      <c r="E2849">
        <v>8.91</v>
      </c>
      <c r="F2849">
        <v>1.08</v>
      </c>
      <c r="G2849">
        <v>0.24</v>
      </c>
      <c r="H2849">
        <v>13562</v>
      </c>
      <c r="I2849">
        <v>6.01</v>
      </c>
      <c r="J2849">
        <v>75.51</v>
      </c>
      <c r="K2849" t="s">
        <v>705</v>
      </c>
    </row>
    <row r="2850" spans="1:11">
      <c r="A2850" t="str">
        <f>"301596"</f>
        <v>301596</v>
      </c>
      <c r="B2850" t="s">
        <v>3190</v>
      </c>
      <c r="C2850">
        <v>24.56</v>
      </c>
      <c r="D2850">
        <v>11.67</v>
      </c>
      <c r="E2850">
        <v>8.49</v>
      </c>
      <c r="F2850">
        <v>0.77</v>
      </c>
      <c r="G2850">
        <v>0.31</v>
      </c>
      <c r="H2850">
        <v>10897</v>
      </c>
      <c r="I2850">
        <v>7.13</v>
      </c>
      <c r="J2850">
        <v>57.24</v>
      </c>
      <c r="K2850" t="s">
        <v>424</v>
      </c>
    </row>
    <row r="2851" spans="1:11">
      <c r="A2851" t="str">
        <f>"301598"</f>
        <v>301598</v>
      </c>
      <c r="B2851" t="s">
        <v>3191</v>
      </c>
      <c r="C2851">
        <v>11.63</v>
      </c>
      <c r="D2851">
        <v>19.9</v>
      </c>
      <c r="E2851">
        <v>9.46</v>
      </c>
      <c r="F2851">
        <v>0.59</v>
      </c>
      <c r="G2851">
        <v>0.18</v>
      </c>
      <c r="H2851">
        <v>7822</v>
      </c>
      <c r="I2851">
        <v>4.13</v>
      </c>
      <c r="J2851">
        <v>37.54</v>
      </c>
      <c r="K2851" t="s">
        <v>493</v>
      </c>
    </row>
    <row r="2852" spans="1:11">
      <c r="A2852" t="str">
        <f>"301600"</f>
        <v>301600</v>
      </c>
      <c r="B2852" t="s">
        <v>3192</v>
      </c>
      <c r="C2852">
        <v>44.38</v>
      </c>
      <c r="D2852">
        <v>16.6</v>
      </c>
      <c r="E2852">
        <v>12.58</v>
      </c>
      <c r="F2852">
        <v>1.05</v>
      </c>
      <c r="G2852">
        <v>0.32</v>
      </c>
      <c r="H2852">
        <v>11409</v>
      </c>
      <c r="I2852">
        <v>11.43</v>
      </c>
      <c r="J2852">
        <v>79.37</v>
      </c>
      <c r="K2852" t="s">
        <v>770</v>
      </c>
    </row>
    <row r="2853" spans="1:11">
      <c r="A2853" t="str">
        <f>"301601"</f>
        <v>301601</v>
      </c>
      <c r="B2853" t="s">
        <v>3193</v>
      </c>
      <c r="C2853">
        <v>9.14</v>
      </c>
      <c r="D2853">
        <v>20.97</v>
      </c>
      <c r="E2853">
        <v>12.69</v>
      </c>
      <c r="F2853">
        <v>1.4</v>
      </c>
      <c r="G2853">
        <v>0.32</v>
      </c>
      <c r="H2853">
        <v>11446</v>
      </c>
      <c r="I2853">
        <v>3.2</v>
      </c>
      <c r="J2853">
        <v>135.63</v>
      </c>
      <c r="K2853" t="s">
        <v>493</v>
      </c>
    </row>
    <row r="2854" spans="1:11">
      <c r="A2854" t="str">
        <f>"301602"</f>
        <v>301602</v>
      </c>
      <c r="B2854" t="s">
        <v>3194</v>
      </c>
      <c r="C2854">
        <v>14.42</v>
      </c>
      <c r="D2854">
        <v>14.12</v>
      </c>
      <c r="E2854">
        <v>13.02</v>
      </c>
      <c r="F2854">
        <v>4.28</v>
      </c>
      <c r="G2854">
        <v>0.58</v>
      </c>
      <c r="H2854">
        <v>16970</v>
      </c>
      <c r="I2854">
        <v>8.13</v>
      </c>
      <c r="J2854">
        <v>89.25</v>
      </c>
      <c r="K2854" t="s">
        <v>1836</v>
      </c>
    </row>
    <row r="2855" spans="1:11">
      <c r="A2855" t="str">
        <f>"301603"</f>
        <v>301603</v>
      </c>
      <c r="B2855" t="s">
        <v>3195</v>
      </c>
      <c r="C2855">
        <v>28.32</v>
      </c>
      <c r="D2855">
        <v>37.04</v>
      </c>
      <c r="E2855">
        <v>23.27</v>
      </c>
      <c r="F2855">
        <v>1.21</v>
      </c>
      <c r="G2855">
        <v>0.38</v>
      </c>
      <c r="H2855">
        <v>12914</v>
      </c>
      <c r="I2855">
        <v>3.9</v>
      </c>
      <c r="J2855">
        <v>24.57</v>
      </c>
      <c r="K2855" t="s">
        <v>141</v>
      </c>
    </row>
    <row r="2856" spans="1:11">
      <c r="A2856" t="str">
        <f>"301606"</f>
        <v>301606</v>
      </c>
      <c r="B2856" t="s">
        <v>3196</v>
      </c>
      <c r="C2856">
        <v>135.18</v>
      </c>
      <c r="D2856">
        <v>45.62</v>
      </c>
      <c r="E2856">
        <v>31.41</v>
      </c>
      <c r="F2856">
        <v>4.15</v>
      </c>
      <c r="G2856">
        <v>2.19</v>
      </c>
      <c r="H2856">
        <v>9357</v>
      </c>
      <c r="I2856">
        <v>8.15</v>
      </c>
      <c r="J2856">
        <v>41.14</v>
      </c>
      <c r="K2856" t="s">
        <v>689</v>
      </c>
    </row>
    <row r="2857" spans="1:11">
      <c r="A2857" t="str">
        <f>"301607"</f>
        <v>301607</v>
      </c>
      <c r="B2857" t="s">
        <v>3197</v>
      </c>
      <c r="C2857">
        <v>47.62</v>
      </c>
      <c r="D2857">
        <v>34.71</v>
      </c>
      <c r="E2857">
        <v>11.4</v>
      </c>
      <c r="F2857">
        <v>1.55</v>
      </c>
      <c r="G2857">
        <v>1.08</v>
      </c>
      <c r="H2857">
        <v>10203</v>
      </c>
      <c r="I2857">
        <v>6</v>
      </c>
      <c r="J2857">
        <v>37.42</v>
      </c>
      <c r="K2857" t="s">
        <v>530</v>
      </c>
    </row>
    <row r="2858" spans="1:11">
      <c r="A2858" t="str">
        <f>"301608"</f>
        <v>301608</v>
      </c>
      <c r="B2858" t="s">
        <v>3198</v>
      </c>
      <c r="C2858">
        <v>41.8</v>
      </c>
      <c r="D2858">
        <v>26.91</v>
      </c>
      <c r="E2858">
        <v>21.15</v>
      </c>
      <c r="F2858">
        <v>0.89</v>
      </c>
      <c r="G2858">
        <v>0.4</v>
      </c>
      <c r="H2858">
        <v>8662</v>
      </c>
      <c r="I2858">
        <v>4.4</v>
      </c>
      <c r="J2858">
        <v>38.71</v>
      </c>
      <c r="K2858" t="s">
        <v>770</v>
      </c>
    </row>
    <row r="2859" spans="1:11">
      <c r="A2859" t="str">
        <f>"301609"</f>
        <v>301609</v>
      </c>
      <c r="B2859" t="s">
        <v>3199</v>
      </c>
      <c r="C2859">
        <v>15.86</v>
      </c>
      <c r="D2859">
        <v>17.78</v>
      </c>
      <c r="E2859">
        <v>12.31</v>
      </c>
      <c r="F2859">
        <v>1.63</v>
      </c>
      <c r="G2859">
        <v>0.35</v>
      </c>
      <c r="H2859">
        <v>27025</v>
      </c>
      <c r="I2859">
        <v>6.03</v>
      </c>
      <c r="J2859">
        <v>63.83</v>
      </c>
      <c r="K2859" t="s">
        <v>127</v>
      </c>
    </row>
    <row r="2860" spans="1:11">
      <c r="A2860" t="str">
        <f>"301611"</f>
        <v>301611</v>
      </c>
      <c r="B2860" t="s">
        <v>3200</v>
      </c>
      <c r="C2860">
        <v>176.47</v>
      </c>
      <c r="D2860">
        <v>24.75</v>
      </c>
      <c r="E2860">
        <v>17.27</v>
      </c>
      <c r="F2860">
        <v>4.36</v>
      </c>
      <c r="G2860">
        <v>1.47</v>
      </c>
      <c r="H2860">
        <v>26726</v>
      </c>
      <c r="I2860">
        <v>30.39</v>
      </c>
      <c r="J2860">
        <v>161</v>
      </c>
      <c r="K2860" t="s">
        <v>884</v>
      </c>
    </row>
    <row r="2861" spans="1:11">
      <c r="A2861" t="str">
        <f>"301613"</f>
        <v>301613</v>
      </c>
      <c r="B2861" t="s">
        <v>3201</v>
      </c>
      <c r="C2861">
        <v>44.2</v>
      </c>
      <c r="D2861">
        <v>36.78</v>
      </c>
      <c r="E2861">
        <v>15.86</v>
      </c>
      <c r="F2861">
        <v>1.44</v>
      </c>
      <c r="G2861">
        <v>0.84</v>
      </c>
      <c r="H2861">
        <v>12282</v>
      </c>
      <c r="I2861">
        <v>4.78</v>
      </c>
      <c r="J2861">
        <v>30.92</v>
      </c>
      <c r="K2861" t="s">
        <v>517</v>
      </c>
    </row>
    <row r="2862" spans="1:11">
      <c r="A2862" t="str">
        <f>"301616"</f>
        <v>301616</v>
      </c>
      <c r="B2862" t="s">
        <v>3202</v>
      </c>
      <c r="C2862">
        <v>10.44</v>
      </c>
      <c r="D2862">
        <v>18.14</v>
      </c>
      <c r="E2862">
        <v>14.28</v>
      </c>
      <c r="F2862">
        <v>0.8</v>
      </c>
      <c r="G2862">
        <v>0.2</v>
      </c>
      <c r="H2862">
        <v>9909</v>
      </c>
      <c r="I2862">
        <v>2.92</v>
      </c>
      <c r="J2862">
        <v>17.3</v>
      </c>
      <c r="K2862" t="s">
        <v>424</v>
      </c>
    </row>
    <row r="2863" spans="1:11">
      <c r="A2863" t="str">
        <f>"301617"</f>
        <v>301617</v>
      </c>
      <c r="B2863" t="s">
        <v>3203</v>
      </c>
      <c r="C2863">
        <v>45.77</v>
      </c>
      <c r="D2863">
        <v>18.75</v>
      </c>
      <c r="E2863">
        <v>16.89</v>
      </c>
      <c r="F2863">
        <v>1.34</v>
      </c>
      <c r="G2863">
        <v>0.53</v>
      </c>
      <c r="H2863">
        <v>9392</v>
      </c>
      <c r="I2863">
        <v>6.83</v>
      </c>
      <c r="J2863">
        <v>65.3</v>
      </c>
      <c r="K2863" t="s">
        <v>511</v>
      </c>
    </row>
    <row r="2864" spans="1:11">
      <c r="A2864" t="str">
        <f>"301618"</f>
        <v>301618</v>
      </c>
      <c r="B2864" t="s">
        <v>3204</v>
      </c>
      <c r="C2864">
        <v>17.59</v>
      </c>
      <c r="D2864">
        <v>11.72</v>
      </c>
      <c r="E2864">
        <v>9.44</v>
      </c>
      <c r="F2864">
        <v>0.9</v>
      </c>
      <c r="G2864">
        <v>0.33</v>
      </c>
      <c r="H2864">
        <v>12043</v>
      </c>
      <c r="I2864">
        <v>5.07</v>
      </c>
      <c r="J2864">
        <v>106.26</v>
      </c>
      <c r="K2864" t="s">
        <v>812</v>
      </c>
    </row>
    <row r="2865" spans="1:11">
      <c r="A2865" t="str">
        <f>"301622"</f>
        <v>301622</v>
      </c>
      <c r="B2865" t="s">
        <v>3205</v>
      </c>
      <c r="C2865">
        <v>42.54</v>
      </c>
      <c r="D2865">
        <v>24.47</v>
      </c>
      <c r="E2865">
        <v>15.61</v>
      </c>
      <c r="F2865">
        <v>1.16</v>
      </c>
      <c r="G2865">
        <v>0.63</v>
      </c>
      <c r="H2865">
        <v>17558</v>
      </c>
      <c r="I2865">
        <v>5.03</v>
      </c>
      <c r="J2865">
        <v>48.05</v>
      </c>
      <c r="K2865" t="s">
        <v>442</v>
      </c>
    </row>
    <row r="2866" spans="1:11">
      <c r="A2866" t="str">
        <f>"301626"</f>
        <v>301626</v>
      </c>
      <c r="B2866" t="s">
        <v>3206</v>
      </c>
      <c r="C2866">
        <v>94.18</v>
      </c>
      <c r="D2866">
        <v>17.97</v>
      </c>
      <c r="E2866">
        <v>15.75</v>
      </c>
      <c r="F2866">
        <v>1.16</v>
      </c>
      <c r="G2866">
        <v>0.53</v>
      </c>
      <c r="H2866">
        <v>10811</v>
      </c>
      <c r="I2866">
        <v>13.15</v>
      </c>
      <c r="J2866">
        <v>108.93</v>
      </c>
      <c r="K2866" t="s">
        <v>41</v>
      </c>
    </row>
    <row r="2867" spans="1:11">
      <c r="A2867" t="str">
        <f>"301628"</f>
        <v>301628</v>
      </c>
      <c r="B2867" t="s">
        <v>3207</v>
      </c>
      <c r="C2867">
        <v>32.1</v>
      </c>
      <c r="D2867">
        <v>15.29</v>
      </c>
      <c r="E2867">
        <v>11.47</v>
      </c>
      <c r="F2867">
        <v>0.75</v>
      </c>
      <c r="G2867">
        <v>0.33</v>
      </c>
      <c r="H2867">
        <v>13027</v>
      </c>
      <c r="I2867">
        <v>6.46</v>
      </c>
      <c r="J2867">
        <v>57.74</v>
      </c>
      <c r="K2867" t="s">
        <v>472</v>
      </c>
    </row>
    <row r="2868" spans="1:11">
      <c r="A2868" t="str">
        <f>"301629"</f>
        <v>301629</v>
      </c>
      <c r="B2868" t="s">
        <v>3208</v>
      </c>
      <c r="C2868">
        <v>28.82</v>
      </c>
      <c r="D2868">
        <v>13.91</v>
      </c>
      <c r="E2868">
        <v>11.65</v>
      </c>
      <c r="F2868">
        <v>0.42</v>
      </c>
      <c r="G2868">
        <v>0.1</v>
      </c>
      <c r="H2868">
        <v>12098</v>
      </c>
      <c r="I2868">
        <v>9.89</v>
      </c>
      <c r="J2868">
        <v>345.02</v>
      </c>
      <c r="K2868" t="s">
        <v>1160</v>
      </c>
    </row>
    <row r="2869" spans="1:11">
      <c r="A2869" t="str">
        <f>"301630"</f>
        <v>301630</v>
      </c>
      <c r="B2869" t="s">
        <v>3209</v>
      </c>
      <c r="C2869">
        <v>17.58</v>
      </c>
      <c r="D2869">
        <v>24.42</v>
      </c>
      <c r="E2869">
        <v>16.74</v>
      </c>
      <c r="F2869">
        <v>0.4</v>
      </c>
      <c r="G2869">
        <v>0.1</v>
      </c>
      <c r="H2869">
        <v>8851</v>
      </c>
      <c r="I2869">
        <v>4.2</v>
      </c>
      <c r="J2869">
        <v>51.34</v>
      </c>
      <c r="K2869" t="s">
        <v>82</v>
      </c>
    </row>
    <row r="2870" spans="1:11">
      <c r="A2870" t="str">
        <f>"301631"</f>
        <v>301631</v>
      </c>
      <c r="B2870" t="s">
        <v>3210</v>
      </c>
      <c r="C2870">
        <v>31.79</v>
      </c>
      <c r="D2870">
        <v>53.05</v>
      </c>
      <c r="E2870">
        <v>25</v>
      </c>
      <c r="F2870">
        <v>0.91</v>
      </c>
      <c r="G2870">
        <v>0.31</v>
      </c>
      <c r="H2870">
        <v>14423</v>
      </c>
      <c r="I2870">
        <v>3.79</v>
      </c>
      <c r="J2870">
        <v>32.09</v>
      </c>
      <c r="K2870" t="s">
        <v>41</v>
      </c>
    </row>
    <row r="2871" spans="1:11">
      <c r="A2871" t="str">
        <f>"301632"</f>
        <v>301632</v>
      </c>
      <c r="B2871" t="s">
        <v>3211</v>
      </c>
      <c r="C2871">
        <v>17.22</v>
      </c>
      <c r="D2871">
        <v>34.03</v>
      </c>
      <c r="E2871">
        <v>26.66</v>
      </c>
      <c r="F2871">
        <v>4.19</v>
      </c>
      <c r="G2871">
        <v>0.69</v>
      </c>
      <c r="H2871">
        <v>31405</v>
      </c>
      <c r="I2871">
        <v>3.93</v>
      </c>
      <c r="J2871">
        <v>513.09</v>
      </c>
      <c r="K2871" t="s">
        <v>1733</v>
      </c>
    </row>
    <row r="2872" spans="1:11">
      <c r="A2872" t="str">
        <f>"301633"</f>
        <v>301633</v>
      </c>
      <c r="B2872" t="s">
        <v>3212</v>
      </c>
      <c r="C2872">
        <v>17.97</v>
      </c>
      <c r="D2872">
        <v>12</v>
      </c>
      <c r="E2872">
        <v>9.14</v>
      </c>
      <c r="F2872">
        <v>0.56</v>
      </c>
      <c r="G2872">
        <v>0.26</v>
      </c>
      <c r="H2872">
        <v>8441</v>
      </c>
      <c r="I2872">
        <v>4.29</v>
      </c>
      <c r="J2872">
        <v>67.81</v>
      </c>
      <c r="K2872" t="s">
        <v>663</v>
      </c>
    </row>
    <row r="2873" spans="1:11">
      <c r="A2873" t="str">
        <f>"301636"</f>
        <v>301636</v>
      </c>
      <c r="B2873" t="s">
        <v>3213</v>
      </c>
      <c r="C2873">
        <v>8.08</v>
      </c>
      <c r="D2873">
        <v>17.7</v>
      </c>
      <c r="E2873">
        <v>10.79</v>
      </c>
      <c r="F2873">
        <v>0.64</v>
      </c>
      <c r="G2873">
        <v>0.16</v>
      </c>
      <c r="H2873">
        <v>9128</v>
      </c>
      <c r="I2873">
        <v>2.99</v>
      </c>
      <c r="J2873">
        <v>45.75</v>
      </c>
      <c r="K2873" t="s">
        <v>667</v>
      </c>
    </row>
    <row r="2874" spans="1:11">
      <c r="A2874" t="str">
        <f>"301638"</f>
        <v>301638</v>
      </c>
      <c r="B2874" t="s">
        <v>3214</v>
      </c>
      <c r="C2874">
        <v>51.79</v>
      </c>
      <c r="D2874">
        <v>123.71</v>
      </c>
      <c r="E2874">
        <v>80.26</v>
      </c>
      <c r="F2874">
        <v>31.8</v>
      </c>
      <c r="G2874">
        <v>2.35</v>
      </c>
      <c r="H2874">
        <v>201670</v>
      </c>
      <c r="I2874">
        <v>6.57</v>
      </c>
      <c r="J2874">
        <v>332.37</v>
      </c>
      <c r="K2874" t="s">
        <v>117</v>
      </c>
    </row>
    <row r="2875" spans="1:11">
      <c r="A2875" t="str">
        <f>"301656"</f>
        <v>301656</v>
      </c>
      <c r="B2875" t="s">
        <v>3215</v>
      </c>
      <c r="C2875">
        <v>45.38</v>
      </c>
      <c r="D2875">
        <v>242.94</v>
      </c>
      <c r="E2875">
        <v>92.46</v>
      </c>
      <c r="F2875">
        <v>24.05</v>
      </c>
      <c r="G2875">
        <v>1.67</v>
      </c>
      <c r="H2875">
        <v>65644</v>
      </c>
      <c r="I2875">
        <v>7.07</v>
      </c>
      <c r="J2875">
        <v>61.92</v>
      </c>
      <c r="K2875" t="s">
        <v>530</v>
      </c>
    </row>
    <row r="2876" spans="1:11">
      <c r="A2876" t="str">
        <f>"301658"</f>
        <v>301658</v>
      </c>
      <c r="B2876" t="s">
        <v>3216</v>
      </c>
      <c r="C2876">
        <v>12.53</v>
      </c>
      <c r="D2876">
        <v>49.05</v>
      </c>
      <c r="E2876">
        <v>31.59</v>
      </c>
      <c r="F2876">
        <v>4.12</v>
      </c>
      <c r="G2876">
        <v>0.41</v>
      </c>
      <c r="H2876">
        <v>20671</v>
      </c>
      <c r="I2876">
        <v>3.97</v>
      </c>
      <c r="J2876">
        <v>82.34</v>
      </c>
      <c r="K2876" t="s">
        <v>2070</v>
      </c>
    </row>
    <row r="2877" spans="1:11">
      <c r="A2877" t="str">
        <f>"301662"</f>
        <v>301662</v>
      </c>
      <c r="B2877" t="s">
        <v>3217</v>
      </c>
      <c r="C2877">
        <v>25.07</v>
      </c>
      <c r="D2877">
        <v>46.03</v>
      </c>
      <c r="E2877">
        <v>14.42</v>
      </c>
      <c r="F2877">
        <v>0.8</v>
      </c>
      <c r="G2877">
        <v>0.17</v>
      </c>
      <c r="H2877">
        <v>14830</v>
      </c>
      <c r="I2877">
        <v>8.36</v>
      </c>
      <c r="J2877">
        <v>307.57</v>
      </c>
      <c r="K2877" t="s">
        <v>493</v>
      </c>
    </row>
    <row r="2878" spans="1:11">
      <c r="A2878" t="str">
        <f>"301665"</f>
        <v>301665</v>
      </c>
      <c r="B2878" t="s">
        <v>3218</v>
      </c>
      <c r="C2878">
        <v>11.09</v>
      </c>
      <c r="D2878">
        <v>63.16</v>
      </c>
      <c r="E2878">
        <v>35.11</v>
      </c>
      <c r="F2878">
        <v>4.5</v>
      </c>
      <c r="G2878">
        <v>0.38</v>
      </c>
      <c r="H2878">
        <v>11632</v>
      </c>
      <c r="I2878">
        <v>3.72</v>
      </c>
      <c r="J2878">
        <v>26.63</v>
      </c>
      <c r="K2878" t="s">
        <v>196</v>
      </c>
    </row>
    <row r="2879" spans="1:11">
      <c r="A2879" t="str">
        <f>"301667"</f>
        <v>301667</v>
      </c>
      <c r="B2879" t="s">
        <v>3219</v>
      </c>
      <c r="C2879">
        <v>16.82</v>
      </c>
      <c r="D2879">
        <v>18.84</v>
      </c>
      <c r="E2879">
        <v>6.88</v>
      </c>
      <c r="F2879">
        <v>1.12</v>
      </c>
      <c r="G2879">
        <v>0.22</v>
      </c>
      <c r="H2879">
        <v>29561</v>
      </c>
      <c r="I2879">
        <v>6.71</v>
      </c>
      <c r="J2879">
        <v>107.43</v>
      </c>
      <c r="K2879" t="s">
        <v>51</v>
      </c>
    </row>
    <row r="2880" spans="1:11">
      <c r="A2880" t="str">
        <f>"301668"</f>
        <v>301668</v>
      </c>
      <c r="B2880" t="s">
        <v>3220</v>
      </c>
      <c r="C2880">
        <v>12.47</v>
      </c>
      <c r="D2880">
        <v>12.91</v>
      </c>
      <c r="E2880">
        <v>10.46</v>
      </c>
      <c r="F2880">
        <v>1.1</v>
      </c>
      <c r="G2880">
        <v>0.23</v>
      </c>
      <c r="H2880">
        <v>27592</v>
      </c>
      <c r="I2880">
        <v>5.69</v>
      </c>
      <c r="J2880">
        <v>48.36</v>
      </c>
      <c r="K2880" t="s">
        <v>943</v>
      </c>
    </row>
    <row r="2881" spans="1:11">
      <c r="A2881" t="str">
        <f>"301678"</f>
        <v>301678</v>
      </c>
      <c r="B2881" t="s">
        <v>3221</v>
      </c>
      <c r="C2881">
        <v>33.03</v>
      </c>
      <c r="D2881">
        <v>20.66</v>
      </c>
      <c r="E2881">
        <v>19.1</v>
      </c>
      <c r="F2881">
        <v>2.4</v>
      </c>
      <c r="G2881">
        <v>0.48</v>
      </c>
      <c r="H2881">
        <v>30029</v>
      </c>
      <c r="I2881">
        <v>8.65</v>
      </c>
      <c r="J2881">
        <v>103.37</v>
      </c>
      <c r="K2881" t="s">
        <v>884</v>
      </c>
    </row>
    <row r="2882" spans="1:11">
      <c r="A2882" t="str">
        <f>"301687"</f>
        <v>301687</v>
      </c>
      <c r="B2882" t="s">
        <v>3222</v>
      </c>
      <c r="C2882">
        <v>18.39</v>
      </c>
      <c r="D2882">
        <v>9.44</v>
      </c>
      <c r="E2882">
        <v>7.81</v>
      </c>
      <c r="F2882">
        <v>1.47</v>
      </c>
      <c r="G2882">
        <v>0.3</v>
      </c>
      <c r="H2882">
        <v>30250</v>
      </c>
      <c r="I2882">
        <v>6.16</v>
      </c>
      <c r="J2882">
        <v>67.69</v>
      </c>
      <c r="K2882" t="s">
        <v>496</v>
      </c>
    </row>
    <row r="2883" spans="1:11">
      <c r="A2883" t="str">
        <f>"302132"</f>
        <v>302132</v>
      </c>
      <c r="B2883" t="s">
        <v>3223</v>
      </c>
      <c r="C2883">
        <v>482.16</v>
      </c>
      <c r="D2883">
        <v>1177.5</v>
      </c>
      <c r="E2883">
        <v>199.35</v>
      </c>
      <c r="F2883">
        <v>26.72</v>
      </c>
      <c r="G2883">
        <v>5.86</v>
      </c>
      <c r="H2883">
        <v>73529</v>
      </c>
      <c r="I2883">
        <v>11.03</v>
      </c>
      <c r="J2883">
        <v>76.01</v>
      </c>
      <c r="K2883" t="s">
        <v>223</v>
      </c>
    </row>
    <row r="2884" spans="1:11">
      <c r="A2884" t="str">
        <f>"600000"</f>
        <v>600000</v>
      </c>
      <c r="B2884" t="s">
        <v>3224</v>
      </c>
      <c r="C2884">
        <v>3743.58</v>
      </c>
      <c r="D2884">
        <v>98922.14</v>
      </c>
      <c r="E2884">
        <v>8322.93</v>
      </c>
      <c r="F2884">
        <v>333.06</v>
      </c>
      <c r="G2884">
        <v>333.06</v>
      </c>
      <c r="H2884">
        <v>119099</v>
      </c>
      <c r="I2884">
        <v>0.5</v>
      </c>
      <c r="J2884">
        <v>7.23</v>
      </c>
      <c r="K2884" t="s">
        <v>12</v>
      </c>
    </row>
    <row r="2885" spans="1:11">
      <c r="A2885" t="str">
        <f>"600004"</f>
        <v>600004</v>
      </c>
      <c r="B2885" t="s">
        <v>3225</v>
      </c>
      <c r="C2885">
        <v>223.42</v>
      </c>
      <c r="D2885">
        <v>278.79</v>
      </c>
      <c r="E2885">
        <v>190.54</v>
      </c>
      <c r="F2885">
        <v>25.77</v>
      </c>
      <c r="G2885">
        <v>23.67</v>
      </c>
      <c r="H2885">
        <v>81946</v>
      </c>
      <c r="I2885">
        <v>1.17</v>
      </c>
      <c r="J2885">
        <v>16.65</v>
      </c>
      <c r="K2885" t="s">
        <v>98</v>
      </c>
    </row>
    <row r="2886" spans="1:11">
      <c r="A2886" t="str">
        <f>"600006"</f>
        <v>600006</v>
      </c>
      <c r="B2886" t="s">
        <v>3226</v>
      </c>
      <c r="C2886">
        <v>147.4</v>
      </c>
      <c r="D2886">
        <v>163.32</v>
      </c>
      <c r="E2886">
        <v>83.68</v>
      </c>
      <c r="F2886">
        <v>20</v>
      </c>
      <c r="G2886">
        <v>20</v>
      </c>
      <c r="H2886">
        <v>122486</v>
      </c>
      <c r="I2886">
        <v>1.76</v>
      </c>
      <c r="J2886">
        <v>108.88</v>
      </c>
      <c r="K2886" t="s">
        <v>226</v>
      </c>
    </row>
    <row r="2887" spans="1:11">
      <c r="A2887" t="str">
        <f>"600007"</f>
        <v>600007</v>
      </c>
      <c r="B2887" t="s">
        <v>3227</v>
      </c>
      <c r="C2887">
        <v>195.61</v>
      </c>
      <c r="D2887">
        <v>115.1</v>
      </c>
      <c r="E2887">
        <v>94.85</v>
      </c>
      <c r="F2887">
        <v>10.07</v>
      </c>
      <c r="G2887">
        <v>10.07</v>
      </c>
      <c r="H2887">
        <v>15579</v>
      </c>
      <c r="I2887">
        <v>2.06</v>
      </c>
      <c r="J2887">
        <v>15.6</v>
      </c>
      <c r="K2887" t="s">
        <v>53</v>
      </c>
    </row>
    <row r="2888" spans="1:11">
      <c r="A2888" t="str">
        <f>"600008"</f>
        <v>600008</v>
      </c>
      <c r="B2888" t="s">
        <v>3228</v>
      </c>
      <c r="C2888">
        <v>220.95</v>
      </c>
      <c r="D2888">
        <v>1114.09</v>
      </c>
      <c r="E2888">
        <v>318.88</v>
      </c>
      <c r="F2888">
        <v>73.41</v>
      </c>
      <c r="G2888">
        <v>73.41</v>
      </c>
      <c r="H2888">
        <v>155662</v>
      </c>
      <c r="I2888">
        <v>1.06</v>
      </c>
      <c r="J2888">
        <v>11.56</v>
      </c>
      <c r="K2888" t="s">
        <v>274</v>
      </c>
    </row>
    <row r="2889" spans="1:11">
      <c r="A2889" t="str">
        <f>"600009"</f>
        <v>600009</v>
      </c>
      <c r="B2889" t="s">
        <v>3229</v>
      </c>
      <c r="C2889">
        <v>651.74</v>
      </c>
      <c r="D2889">
        <v>696.79</v>
      </c>
      <c r="E2889">
        <v>420.48</v>
      </c>
      <c r="F2889">
        <v>24.88</v>
      </c>
      <c r="G2889">
        <v>20.46</v>
      </c>
      <c r="H2889">
        <v>181121</v>
      </c>
      <c r="I2889">
        <v>1.89</v>
      </c>
      <c r="J2889">
        <v>36.38</v>
      </c>
      <c r="K2889" t="s">
        <v>98</v>
      </c>
    </row>
    <row r="2890" spans="1:11">
      <c r="A2890" t="str">
        <f>"600010"</f>
        <v>600010</v>
      </c>
      <c r="B2890" t="s">
        <v>3230</v>
      </c>
      <c r="C2890">
        <v>797.07</v>
      </c>
      <c r="D2890">
        <v>1554.73</v>
      </c>
      <c r="E2890">
        <v>520.78</v>
      </c>
      <c r="F2890">
        <v>452.89</v>
      </c>
      <c r="G2890">
        <v>313.81</v>
      </c>
      <c r="H2890">
        <v>869141</v>
      </c>
      <c r="I2890">
        <v>2.21</v>
      </c>
      <c r="J2890">
        <v>370.95</v>
      </c>
      <c r="K2890" t="s">
        <v>366</v>
      </c>
    </row>
    <row r="2891" spans="1:11">
      <c r="A2891" t="str">
        <f>"600011"</f>
        <v>600011</v>
      </c>
      <c r="B2891" t="s">
        <v>3231</v>
      </c>
      <c r="C2891">
        <v>807.23</v>
      </c>
      <c r="D2891">
        <v>5961.99</v>
      </c>
      <c r="E2891">
        <v>1470.23</v>
      </c>
      <c r="F2891">
        <v>156.98</v>
      </c>
      <c r="G2891">
        <v>109.98</v>
      </c>
      <c r="H2891">
        <v>94586</v>
      </c>
      <c r="I2891">
        <v>1.72</v>
      </c>
      <c r="J2891">
        <v>5.82</v>
      </c>
      <c r="K2891" t="s">
        <v>46</v>
      </c>
    </row>
    <row r="2892" spans="1:11">
      <c r="A2892" t="str">
        <f>"600012"</f>
        <v>600012</v>
      </c>
      <c r="B2892" t="s">
        <v>3232</v>
      </c>
      <c r="C2892">
        <v>168.43</v>
      </c>
      <c r="D2892">
        <v>290.59</v>
      </c>
      <c r="E2892">
        <v>124.38</v>
      </c>
      <c r="F2892">
        <v>17.09</v>
      </c>
      <c r="G2892">
        <v>11.66</v>
      </c>
      <c r="H2892">
        <v>25655</v>
      </c>
      <c r="I2892">
        <v>1.99</v>
      </c>
      <c r="J2892">
        <v>12.53</v>
      </c>
      <c r="K2892" t="s">
        <v>161</v>
      </c>
    </row>
    <row r="2893" spans="1:11">
      <c r="A2893" t="str">
        <f>"600015"</f>
        <v>600015</v>
      </c>
      <c r="B2893" t="s">
        <v>3233</v>
      </c>
      <c r="C2893">
        <v>1012.48</v>
      </c>
      <c r="D2893">
        <v>45863.59</v>
      </c>
      <c r="E2893">
        <v>3685.69</v>
      </c>
      <c r="F2893">
        <v>159.15</v>
      </c>
      <c r="G2893">
        <v>153.87</v>
      </c>
      <c r="H2893">
        <v>94720</v>
      </c>
      <c r="I2893">
        <v>0.34</v>
      </c>
      <c r="J2893">
        <v>4.37</v>
      </c>
      <c r="K2893" t="s">
        <v>12</v>
      </c>
    </row>
    <row r="2894" spans="1:11">
      <c r="A2894" t="str">
        <f>"600016"</f>
        <v>600016</v>
      </c>
      <c r="B2894" t="s">
        <v>3234</v>
      </c>
      <c r="C2894">
        <v>1351.11</v>
      </c>
      <c r="D2894">
        <v>78728.64</v>
      </c>
      <c r="E2894">
        <v>6869.22</v>
      </c>
      <c r="F2894">
        <v>437.82</v>
      </c>
      <c r="G2894">
        <v>354.62</v>
      </c>
      <c r="H2894">
        <v>336103</v>
      </c>
      <c r="I2894">
        <v>0.3</v>
      </c>
      <c r="J2894">
        <v>4.38</v>
      </c>
      <c r="K2894" t="s">
        <v>12</v>
      </c>
    </row>
    <row r="2895" spans="1:11">
      <c r="A2895" t="str">
        <f>"600017"</f>
        <v>600017</v>
      </c>
      <c r="B2895" t="s">
        <v>3235</v>
      </c>
      <c r="C2895">
        <v>93.19</v>
      </c>
      <c r="D2895">
        <v>398.75</v>
      </c>
      <c r="E2895">
        <v>140.54</v>
      </c>
      <c r="F2895">
        <v>30.76</v>
      </c>
      <c r="G2895">
        <v>30.76</v>
      </c>
      <c r="H2895">
        <v>92425</v>
      </c>
      <c r="I2895">
        <v>0.66</v>
      </c>
      <c r="J2895">
        <v>13.32</v>
      </c>
      <c r="K2895" t="s">
        <v>96</v>
      </c>
    </row>
    <row r="2896" spans="1:11">
      <c r="A2896" t="str">
        <f>"600018"</f>
        <v>600018</v>
      </c>
      <c r="B2896" t="s">
        <v>3236</v>
      </c>
      <c r="C2896">
        <v>1225.1</v>
      </c>
      <c r="D2896">
        <v>2209.46</v>
      </c>
      <c r="E2896">
        <v>1400.28</v>
      </c>
      <c r="F2896">
        <v>232.8</v>
      </c>
      <c r="G2896">
        <v>232.47</v>
      </c>
      <c r="H2896">
        <v>149475</v>
      </c>
      <c r="I2896">
        <v>0.87</v>
      </c>
      <c r="J2896">
        <v>8.16</v>
      </c>
      <c r="K2896" t="s">
        <v>96</v>
      </c>
    </row>
    <row r="2897" spans="1:11">
      <c r="A2897" t="str">
        <f>"600019"</f>
        <v>600019</v>
      </c>
      <c r="B2897" t="s">
        <v>3237</v>
      </c>
      <c r="C2897">
        <v>1563.95</v>
      </c>
      <c r="D2897">
        <v>3762.63</v>
      </c>
      <c r="E2897">
        <v>2042.51</v>
      </c>
      <c r="F2897">
        <v>217.82</v>
      </c>
      <c r="G2897">
        <v>217.82</v>
      </c>
      <c r="H2897">
        <v>224908</v>
      </c>
      <c r="I2897">
        <v>0.77</v>
      </c>
      <c r="J2897">
        <v>14.74</v>
      </c>
      <c r="K2897" t="s">
        <v>366</v>
      </c>
    </row>
    <row r="2898" spans="1:11">
      <c r="A2898" t="str">
        <f>"600020"</f>
        <v>600020</v>
      </c>
      <c r="B2898" t="s">
        <v>3238</v>
      </c>
      <c r="C2898">
        <v>95.96</v>
      </c>
      <c r="D2898">
        <v>532.49</v>
      </c>
      <c r="E2898">
        <v>154.27</v>
      </c>
      <c r="F2898">
        <v>22.47</v>
      </c>
      <c r="G2898">
        <v>22.47</v>
      </c>
      <c r="H2898">
        <v>52359</v>
      </c>
      <c r="I2898">
        <v>0.81</v>
      </c>
      <c r="J2898">
        <v>7.49</v>
      </c>
      <c r="K2898" t="s">
        <v>161</v>
      </c>
    </row>
    <row r="2899" spans="1:11">
      <c r="A2899" t="str">
        <f>"600021"</f>
        <v>600021</v>
      </c>
      <c r="B2899" t="s">
        <v>3239</v>
      </c>
      <c r="C2899">
        <v>595</v>
      </c>
      <c r="D2899">
        <v>2008.57</v>
      </c>
      <c r="E2899">
        <v>308.25</v>
      </c>
      <c r="F2899">
        <v>28.21</v>
      </c>
      <c r="G2899">
        <v>28.21</v>
      </c>
      <c r="H2899">
        <v>189539</v>
      </c>
      <c r="I2899">
        <v>2.82</v>
      </c>
      <c r="J2899">
        <v>14.63</v>
      </c>
      <c r="K2899" t="s">
        <v>46</v>
      </c>
    </row>
    <row r="2900" spans="1:11">
      <c r="A2900" t="str">
        <f>"600022"</f>
        <v>600022</v>
      </c>
      <c r="B2900" t="s">
        <v>3240</v>
      </c>
      <c r="C2900">
        <v>169.04</v>
      </c>
      <c r="D2900">
        <v>665.01</v>
      </c>
      <c r="E2900">
        <v>188.7</v>
      </c>
      <c r="F2900">
        <v>106.99</v>
      </c>
      <c r="G2900">
        <v>106.99</v>
      </c>
      <c r="H2900">
        <v>198985</v>
      </c>
      <c r="I2900">
        <v>0.9</v>
      </c>
      <c r="J2900">
        <v>90.68</v>
      </c>
      <c r="K2900" t="s">
        <v>366</v>
      </c>
    </row>
    <row r="2901" spans="1:11">
      <c r="A2901" t="str">
        <f>"600023"</f>
        <v>600023</v>
      </c>
      <c r="B2901" t="s">
        <v>3241</v>
      </c>
      <c r="C2901">
        <v>665.07</v>
      </c>
      <c r="D2901">
        <v>1591.82</v>
      </c>
      <c r="E2901">
        <v>750.67</v>
      </c>
      <c r="F2901">
        <v>134.09</v>
      </c>
      <c r="G2901">
        <v>134.09</v>
      </c>
      <c r="H2901">
        <v>155022</v>
      </c>
      <c r="I2901">
        <v>0.89</v>
      </c>
      <c r="J2901">
        <v>8.01</v>
      </c>
      <c r="K2901" t="s">
        <v>46</v>
      </c>
    </row>
    <row r="2902" spans="1:11">
      <c r="A2902" t="str">
        <f>"600025"</f>
        <v>600025</v>
      </c>
      <c r="B2902" t="s">
        <v>3242</v>
      </c>
      <c r="C2902">
        <v>1652.4</v>
      </c>
      <c r="D2902">
        <v>2251.78</v>
      </c>
      <c r="E2902">
        <v>811.97</v>
      </c>
      <c r="F2902">
        <v>186.31</v>
      </c>
      <c r="G2902">
        <v>180</v>
      </c>
      <c r="H2902">
        <v>98595</v>
      </c>
      <c r="I2902">
        <v>2.49</v>
      </c>
      <c r="J2902">
        <v>17.01</v>
      </c>
      <c r="K2902" t="s">
        <v>278</v>
      </c>
    </row>
    <row r="2903" spans="1:11">
      <c r="A2903" t="str">
        <f>"600026"</f>
        <v>600026</v>
      </c>
      <c r="B2903" t="s">
        <v>3243</v>
      </c>
      <c r="C2903">
        <v>486.47</v>
      </c>
      <c r="D2903">
        <v>820.44</v>
      </c>
      <c r="E2903">
        <v>374.18</v>
      </c>
      <c r="F2903">
        <v>54.65</v>
      </c>
      <c r="G2903">
        <v>34.75</v>
      </c>
      <c r="H2903">
        <v>82447</v>
      </c>
      <c r="I2903">
        <v>1.79</v>
      </c>
      <c r="J2903">
        <v>21.07</v>
      </c>
      <c r="K2903" t="s">
        <v>188</v>
      </c>
    </row>
    <row r="2904" spans="1:11">
      <c r="A2904" t="str">
        <f>"600027"</f>
        <v>600027</v>
      </c>
      <c r="B2904" t="s">
        <v>3244</v>
      </c>
      <c r="C2904">
        <v>424.67</v>
      </c>
      <c r="D2904">
        <v>2605.06</v>
      </c>
      <c r="E2904">
        <v>696.81</v>
      </c>
      <c r="F2904">
        <v>116.12</v>
      </c>
      <c r="G2904">
        <v>85.1</v>
      </c>
      <c r="H2904">
        <v>137272</v>
      </c>
      <c r="I2904">
        <v>1.19</v>
      </c>
      <c r="J2904">
        <v>6.75</v>
      </c>
      <c r="K2904" t="s">
        <v>46</v>
      </c>
    </row>
    <row r="2905" spans="1:11">
      <c r="A2905" t="str">
        <f>"600028"</f>
        <v>600028</v>
      </c>
      <c r="B2905" t="s">
        <v>3245</v>
      </c>
      <c r="C2905">
        <v>5656.72</v>
      </c>
      <c r="D2905">
        <v>21815.57</v>
      </c>
      <c r="E2905">
        <v>8309.67</v>
      </c>
      <c r="F2905">
        <v>1209.26</v>
      </c>
      <c r="G2905">
        <v>947.52</v>
      </c>
      <c r="H2905">
        <v>459733</v>
      </c>
      <c r="I2905">
        <v>0.87</v>
      </c>
      <c r="J2905">
        <v>18.06</v>
      </c>
      <c r="K2905" t="s">
        <v>77</v>
      </c>
    </row>
    <row r="2906" spans="1:11">
      <c r="A2906" t="str">
        <f>"600029"</f>
        <v>600029</v>
      </c>
      <c r="B2906" t="s">
        <v>3246</v>
      </c>
      <c r="C2906">
        <v>1018.86</v>
      </c>
      <c r="D2906">
        <v>3405.79</v>
      </c>
      <c r="E2906">
        <v>370.35</v>
      </c>
      <c r="F2906">
        <v>181.21</v>
      </c>
      <c r="G2906">
        <v>134.77</v>
      </c>
      <c r="H2906">
        <v>133294</v>
      </c>
      <c r="I2906">
        <v>3.7</v>
      </c>
      <c r="J2906">
        <v>44.54</v>
      </c>
      <c r="K2906" t="s">
        <v>104</v>
      </c>
    </row>
    <row r="2907" spans="1:11">
      <c r="A2907" t="str">
        <f>"600030"</f>
        <v>600030</v>
      </c>
      <c r="B2907" t="s">
        <v>3247</v>
      </c>
      <c r="C2907">
        <v>3437.44</v>
      </c>
      <c r="D2907">
        <v>20263.1</v>
      </c>
      <c r="E2907">
        <v>3150.25</v>
      </c>
      <c r="F2907">
        <v>148.21</v>
      </c>
      <c r="G2907">
        <v>121.77</v>
      </c>
      <c r="H2907">
        <v>669445</v>
      </c>
      <c r="I2907">
        <v>1.49</v>
      </c>
      <c r="J2907">
        <v>13.55</v>
      </c>
      <c r="K2907" t="s">
        <v>120</v>
      </c>
    </row>
    <row r="2908" spans="1:11">
      <c r="A2908" t="str">
        <f>"600031"</f>
        <v>600031</v>
      </c>
      <c r="B2908" t="s">
        <v>3248</v>
      </c>
      <c r="C2908">
        <v>1884.7</v>
      </c>
      <c r="D2908">
        <v>1568.97</v>
      </c>
      <c r="E2908">
        <v>734.13</v>
      </c>
      <c r="F2908">
        <v>91.95</v>
      </c>
      <c r="G2908">
        <v>84.74</v>
      </c>
      <c r="H2908">
        <v>452943</v>
      </c>
      <c r="I2908">
        <v>2.57</v>
      </c>
      <c r="J2908">
        <v>21.49</v>
      </c>
      <c r="K2908" t="s">
        <v>115</v>
      </c>
    </row>
    <row r="2909" spans="1:11">
      <c r="A2909" t="str">
        <f>"600032"</f>
        <v>600032</v>
      </c>
      <c r="B2909" t="s">
        <v>3249</v>
      </c>
      <c r="C2909">
        <v>186.84</v>
      </c>
      <c r="D2909">
        <v>598.54</v>
      </c>
      <c r="E2909">
        <v>129.48</v>
      </c>
      <c r="F2909">
        <v>24.05</v>
      </c>
      <c r="G2909">
        <v>24.05</v>
      </c>
      <c r="H2909">
        <v>47098</v>
      </c>
      <c r="I2909">
        <v>1.44</v>
      </c>
      <c r="J2909">
        <v>22.85</v>
      </c>
      <c r="K2909" t="s">
        <v>266</v>
      </c>
    </row>
    <row r="2910" spans="1:11">
      <c r="A2910" t="str">
        <f>"600033"</f>
        <v>600033</v>
      </c>
      <c r="B2910" t="s">
        <v>3250</v>
      </c>
      <c r="C2910">
        <v>104.84</v>
      </c>
      <c r="D2910">
        <v>175.93</v>
      </c>
      <c r="E2910">
        <v>124.32</v>
      </c>
      <c r="F2910">
        <v>27.44</v>
      </c>
      <c r="G2910">
        <v>27.44</v>
      </c>
      <c r="H2910">
        <v>87873</v>
      </c>
      <c r="I2910">
        <v>0.84</v>
      </c>
      <c r="J2910">
        <v>9.57</v>
      </c>
      <c r="K2910" t="s">
        <v>161</v>
      </c>
    </row>
    <row r="2911" spans="1:11">
      <c r="A2911" t="str">
        <f>"600035"</f>
        <v>600035</v>
      </c>
      <c r="B2911" t="s">
        <v>3251</v>
      </c>
      <c r="C2911">
        <v>63.28</v>
      </c>
      <c r="D2911">
        <v>218.95</v>
      </c>
      <c r="E2911">
        <v>89.04</v>
      </c>
      <c r="F2911">
        <v>16.1</v>
      </c>
      <c r="G2911">
        <v>16.1</v>
      </c>
      <c r="H2911">
        <v>44916</v>
      </c>
      <c r="I2911">
        <v>0.71</v>
      </c>
      <c r="J2911">
        <v>8.35</v>
      </c>
      <c r="K2911" t="s">
        <v>161</v>
      </c>
    </row>
    <row r="2912" spans="1:11">
      <c r="A2912" t="str">
        <f>"600036"</f>
        <v>600036</v>
      </c>
      <c r="B2912" t="s">
        <v>3252</v>
      </c>
      <c r="C2912">
        <v>8266.02</v>
      </c>
      <c r="D2912">
        <v>126440.76</v>
      </c>
      <c r="E2912">
        <v>12672.85</v>
      </c>
      <c r="F2912">
        <v>252.2</v>
      </c>
      <c r="G2912">
        <v>206.29</v>
      </c>
      <c r="H2912">
        <v>498392</v>
      </c>
      <c r="I2912">
        <v>0.93</v>
      </c>
      <c r="J2912">
        <v>6.66</v>
      </c>
      <c r="K2912" t="s">
        <v>12</v>
      </c>
    </row>
    <row r="2913" spans="1:11">
      <c r="A2913" t="str">
        <f>"600037"</f>
        <v>600037</v>
      </c>
      <c r="B2913" t="s">
        <v>3253</v>
      </c>
      <c r="C2913">
        <v>113.01</v>
      </c>
      <c r="D2913">
        <v>157.46</v>
      </c>
      <c r="E2913">
        <v>126.75</v>
      </c>
      <c r="F2913">
        <v>13.92</v>
      </c>
      <c r="G2913">
        <v>13.92</v>
      </c>
      <c r="H2913">
        <v>52544</v>
      </c>
      <c r="I2913">
        <v>0.89</v>
      </c>
      <c r="J2913">
        <v>4937.62</v>
      </c>
      <c r="K2913" t="s">
        <v>113</v>
      </c>
    </row>
    <row r="2914" spans="1:11">
      <c r="A2914" t="str">
        <f>"600038"</f>
        <v>600038</v>
      </c>
      <c r="B2914" t="s">
        <v>3254</v>
      </c>
      <c r="C2914">
        <v>248.38</v>
      </c>
      <c r="D2914">
        <v>529.8</v>
      </c>
      <c r="E2914">
        <v>172.54</v>
      </c>
      <c r="F2914">
        <v>8.2</v>
      </c>
      <c r="G2914">
        <v>6.69</v>
      </c>
      <c r="H2914">
        <v>58800</v>
      </c>
      <c r="I2914">
        <v>1.76</v>
      </c>
      <c r="J2914">
        <v>61.26</v>
      </c>
      <c r="K2914" t="s">
        <v>353</v>
      </c>
    </row>
    <row r="2915" spans="1:11">
      <c r="A2915" t="str">
        <f>"600039"</f>
        <v>600039</v>
      </c>
      <c r="B2915" t="s">
        <v>3255</v>
      </c>
      <c r="C2915">
        <v>886.95</v>
      </c>
      <c r="D2915">
        <v>2549.44</v>
      </c>
      <c r="E2915">
        <v>509.4</v>
      </c>
      <c r="F2915">
        <v>86.96</v>
      </c>
      <c r="G2915">
        <v>86.96</v>
      </c>
      <c r="H2915">
        <v>60504</v>
      </c>
      <c r="I2915">
        <v>1.78</v>
      </c>
      <c r="J2915">
        <v>12.55</v>
      </c>
      <c r="K2915" t="s">
        <v>100</v>
      </c>
    </row>
    <row r="2916" spans="1:11">
      <c r="A2916" t="str">
        <f>"600048"</f>
        <v>600048</v>
      </c>
      <c r="B2916" t="s">
        <v>3256</v>
      </c>
      <c r="C2916">
        <v>752.94</v>
      </c>
      <c r="D2916">
        <v>12873.93</v>
      </c>
      <c r="E2916">
        <v>1974.19</v>
      </c>
      <c r="F2916">
        <v>119.7</v>
      </c>
      <c r="G2916">
        <v>119.7</v>
      </c>
      <c r="H2916">
        <v>247737</v>
      </c>
      <c r="I2916">
        <v>0.39</v>
      </c>
      <c r="J2916">
        <v>29.28</v>
      </c>
      <c r="K2916" t="s">
        <v>15</v>
      </c>
    </row>
    <row r="2917" spans="1:11">
      <c r="A2917" t="str">
        <f>"600050"</f>
        <v>600050</v>
      </c>
      <c r="B2917" t="s">
        <v>3257</v>
      </c>
      <c r="C2917">
        <v>1642.95</v>
      </c>
      <c r="D2917">
        <v>6713.46</v>
      </c>
      <c r="E2917">
        <v>1719.3</v>
      </c>
      <c r="F2917">
        <v>312.64</v>
      </c>
      <c r="G2917">
        <v>307.67</v>
      </c>
      <c r="H2917">
        <v>596359</v>
      </c>
      <c r="I2917">
        <v>0.97</v>
      </c>
      <c r="J2917">
        <v>14.27</v>
      </c>
      <c r="K2917" t="s">
        <v>3258</v>
      </c>
    </row>
    <row r="2918" spans="1:11">
      <c r="A2918" t="str">
        <f>"600051"</f>
        <v>600051</v>
      </c>
      <c r="B2918" t="s">
        <v>3259</v>
      </c>
      <c r="C2918">
        <v>23.75</v>
      </c>
      <c r="D2918">
        <v>48.71</v>
      </c>
      <c r="E2918">
        <v>33.98</v>
      </c>
      <c r="F2918">
        <v>3.11</v>
      </c>
      <c r="G2918">
        <v>3.11</v>
      </c>
      <c r="H2918">
        <v>23359</v>
      </c>
      <c r="I2918">
        <v>0.7</v>
      </c>
      <c r="J2918">
        <v>26.55</v>
      </c>
      <c r="K2918" t="s">
        <v>43</v>
      </c>
    </row>
    <row r="2919" spans="1:11">
      <c r="A2919" t="str">
        <f>"600052"</f>
        <v>600052</v>
      </c>
      <c r="B2919" t="s">
        <v>3260</v>
      </c>
      <c r="C2919">
        <v>39.59</v>
      </c>
      <c r="D2919">
        <v>29.88</v>
      </c>
      <c r="E2919">
        <v>27.08</v>
      </c>
      <c r="F2919">
        <v>8.44</v>
      </c>
      <c r="G2919">
        <v>8.44</v>
      </c>
      <c r="H2919">
        <v>31977</v>
      </c>
      <c r="I2919">
        <v>1.46</v>
      </c>
      <c r="J2919">
        <v>44.97</v>
      </c>
      <c r="K2919" t="s">
        <v>350</v>
      </c>
    </row>
    <row r="2920" spans="1:11">
      <c r="A2920" t="str">
        <f>"600053"</f>
        <v>600053</v>
      </c>
      <c r="B2920" t="s">
        <v>3261</v>
      </c>
      <c r="C2920">
        <v>90.44</v>
      </c>
      <c r="D2920">
        <v>28.18</v>
      </c>
      <c r="E2920">
        <v>25.71</v>
      </c>
      <c r="F2920">
        <v>4.34</v>
      </c>
      <c r="G2920">
        <v>4.34</v>
      </c>
      <c r="H2920">
        <v>27499</v>
      </c>
      <c r="I2920">
        <v>3.52</v>
      </c>
      <c r="J2920" t="s">
        <v>14</v>
      </c>
      <c r="K2920" t="s">
        <v>206</v>
      </c>
    </row>
    <row r="2921" spans="1:11">
      <c r="A2921" t="str">
        <f>"600054"</f>
        <v>600054</v>
      </c>
      <c r="B2921" t="s">
        <v>3262</v>
      </c>
      <c r="C2921">
        <v>59.49</v>
      </c>
      <c r="D2921">
        <v>59.13</v>
      </c>
      <c r="E2921">
        <v>47.87</v>
      </c>
      <c r="F2921">
        <v>7.29</v>
      </c>
      <c r="G2921">
        <v>5.13</v>
      </c>
      <c r="H2921">
        <v>57716</v>
      </c>
      <c r="I2921">
        <v>1.77</v>
      </c>
      <c r="J2921">
        <v>25.01</v>
      </c>
      <c r="K2921" t="s">
        <v>163</v>
      </c>
    </row>
    <row r="2922" spans="1:11">
      <c r="A2922" t="str">
        <f>"600055"</f>
        <v>600055</v>
      </c>
      <c r="B2922" t="s">
        <v>3263</v>
      </c>
      <c r="C2922">
        <v>123.74</v>
      </c>
      <c r="D2922">
        <v>56.98</v>
      </c>
      <c r="E2922">
        <v>46.83</v>
      </c>
      <c r="F2922">
        <v>7.03</v>
      </c>
      <c r="G2922">
        <v>7.03</v>
      </c>
      <c r="H2922">
        <v>27164</v>
      </c>
      <c r="I2922">
        <v>2.64</v>
      </c>
      <c r="J2922" t="s">
        <v>14</v>
      </c>
      <c r="K2922" t="s">
        <v>1836</v>
      </c>
    </row>
    <row r="2923" spans="1:11">
      <c r="A2923" t="str">
        <f>"600056"</f>
        <v>600056</v>
      </c>
      <c r="B2923" t="s">
        <v>3264</v>
      </c>
      <c r="C2923">
        <v>160</v>
      </c>
      <c r="D2923">
        <v>369.88</v>
      </c>
      <c r="E2923">
        <v>118.53</v>
      </c>
      <c r="F2923">
        <v>14.96</v>
      </c>
      <c r="G2923">
        <v>14.95</v>
      </c>
      <c r="H2923">
        <v>139689</v>
      </c>
      <c r="I2923">
        <v>1.35</v>
      </c>
      <c r="J2923">
        <v>26.4</v>
      </c>
      <c r="K2923" t="s">
        <v>48</v>
      </c>
    </row>
    <row r="2924" spans="1:11">
      <c r="A2924" t="str">
        <f>"600057"</f>
        <v>600057</v>
      </c>
      <c r="B2924" t="s">
        <v>3265</v>
      </c>
      <c r="C2924">
        <v>170.96</v>
      </c>
      <c r="D2924">
        <v>1302.17</v>
      </c>
      <c r="E2924">
        <v>304.66</v>
      </c>
      <c r="F2924">
        <v>28.41</v>
      </c>
      <c r="G2924">
        <v>20.93</v>
      </c>
      <c r="H2924">
        <v>34803</v>
      </c>
      <c r="I2924">
        <v>1.4</v>
      </c>
      <c r="J2924">
        <v>10.66</v>
      </c>
      <c r="K2924" t="s">
        <v>536</v>
      </c>
    </row>
    <row r="2925" spans="1:11">
      <c r="A2925" t="str">
        <f>"600058"</f>
        <v>600058</v>
      </c>
      <c r="B2925" t="s">
        <v>3266</v>
      </c>
      <c r="C2925">
        <v>123.48</v>
      </c>
      <c r="D2925">
        <v>260.42</v>
      </c>
      <c r="E2925">
        <v>75.15</v>
      </c>
      <c r="F2925">
        <v>10.72</v>
      </c>
      <c r="G2925">
        <v>10.72</v>
      </c>
      <c r="H2925">
        <v>62476</v>
      </c>
      <c r="I2925">
        <v>2.47</v>
      </c>
      <c r="J2925">
        <v>81.24</v>
      </c>
      <c r="K2925" t="s">
        <v>107</v>
      </c>
    </row>
    <row r="2926" spans="1:11">
      <c r="A2926" t="str">
        <f>"600059"</f>
        <v>600059</v>
      </c>
      <c r="B2926" t="s">
        <v>3267</v>
      </c>
      <c r="C2926">
        <v>84.41</v>
      </c>
      <c r="D2926">
        <v>63.67</v>
      </c>
      <c r="E2926">
        <v>58.15</v>
      </c>
      <c r="F2926">
        <v>9.12</v>
      </c>
      <c r="G2926">
        <v>9.12</v>
      </c>
      <c r="H2926">
        <v>52704</v>
      </c>
      <c r="I2926">
        <v>1.45</v>
      </c>
      <c r="J2926">
        <v>46.93</v>
      </c>
      <c r="K2926" t="s">
        <v>3268</v>
      </c>
    </row>
    <row r="2927" spans="1:11">
      <c r="A2927" t="str">
        <f>"600060"</f>
        <v>600060</v>
      </c>
      <c r="B2927" t="s">
        <v>3269</v>
      </c>
      <c r="C2927">
        <v>309.31</v>
      </c>
      <c r="D2927">
        <v>452.91</v>
      </c>
      <c r="E2927">
        <v>204.35</v>
      </c>
      <c r="F2927">
        <v>13.05</v>
      </c>
      <c r="G2927">
        <v>13</v>
      </c>
      <c r="H2927">
        <v>34566</v>
      </c>
      <c r="I2927">
        <v>1.52</v>
      </c>
      <c r="J2927">
        <v>14.3</v>
      </c>
      <c r="K2927" t="s">
        <v>33</v>
      </c>
    </row>
    <row r="2928" spans="1:11">
      <c r="A2928" t="str">
        <f>"600061"</f>
        <v>600061</v>
      </c>
      <c r="B2928" t="s">
        <v>3270</v>
      </c>
      <c r="C2928">
        <v>500.01</v>
      </c>
      <c r="D2928">
        <v>3321.6</v>
      </c>
      <c r="E2928">
        <v>562.17</v>
      </c>
      <c r="F2928">
        <v>63.94</v>
      </c>
      <c r="G2928">
        <v>63.94</v>
      </c>
      <c r="H2928">
        <v>85679</v>
      </c>
      <c r="I2928">
        <v>0.93</v>
      </c>
      <c r="J2928">
        <v>13.14</v>
      </c>
      <c r="K2928" t="s">
        <v>120</v>
      </c>
    </row>
    <row r="2929" spans="1:11">
      <c r="A2929" t="str">
        <f>"600062"</f>
        <v>600062</v>
      </c>
      <c r="B2929" t="s">
        <v>3271</v>
      </c>
      <c r="C2929">
        <v>193.17</v>
      </c>
      <c r="D2929">
        <v>170.14</v>
      </c>
      <c r="E2929">
        <v>113.19</v>
      </c>
      <c r="F2929">
        <v>10.39</v>
      </c>
      <c r="G2929">
        <v>10.33</v>
      </c>
      <c r="H2929">
        <v>57726</v>
      </c>
      <c r="I2929">
        <v>1.72</v>
      </c>
      <c r="J2929">
        <v>10.8</v>
      </c>
      <c r="K2929" t="s">
        <v>109</v>
      </c>
    </row>
    <row r="2930" spans="1:11">
      <c r="A2930" t="str">
        <f>"600063"</f>
        <v>600063</v>
      </c>
      <c r="B2930" t="s">
        <v>3272</v>
      </c>
      <c r="C2930">
        <v>138.22</v>
      </c>
      <c r="D2930">
        <v>155.92</v>
      </c>
      <c r="E2930">
        <v>85.78</v>
      </c>
      <c r="F2930">
        <v>20.69</v>
      </c>
      <c r="G2930">
        <v>20.69</v>
      </c>
      <c r="H2930">
        <v>75186</v>
      </c>
      <c r="I2930">
        <v>1.61</v>
      </c>
      <c r="J2930">
        <v>27.28</v>
      </c>
      <c r="K2930" t="s">
        <v>1201</v>
      </c>
    </row>
    <row r="2931" spans="1:11">
      <c r="A2931" t="str">
        <f>"600064"</f>
        <v>600064</v>
      </c>
      <c r="B2931" t="s">
        <v>3273</v>
      </c>
      <c r="C2931">
        <v>149.16</v>
      </c>
      <c r="D2931">
        <v>403.23</v>
      </c>
      <c r="E2931">
        <v>196.92</v>
      </c>
      <c r="F2931">
        <v>17.3</v>
      </c>
      <c r="G2931">
        <v>17.3</v>
      </c>
      <c r="H2931">
        <v>42220</v>
      </c>
      <c r="I2931">
        <v>0.76</v>
      </c>
      <c r="J2931">
        <v>4.59</v>
      </c>
      <c r="K2931" t="s">
        <v>3274</v>
      </c>
    </row>
    <row r="2932" spans="1:11">
      <c r="A2932" t="str">
        <f>"600066"</f>
        <v>600066</v>
      </c>
      <c r="B2932" t="s">
        <v>3275</v>
      </c>
      <c r="C2932">
        <v>697.39</v>
      </c>
      <c r="D2932">
        <v>317.58</v>
      </c>
      <c r="E2932">
        <v>134.15</v>
      </c>
      <c r="F2932">
        <v>22.14</v>
      </c>
      <c r="G2932">
        <v>22.14</v>
      </c>
      <c r="H2932">
        <v>44010</v>
      </c>
      <c r="I2932">
        <v>5.2</v>
      </c>
      <c r="J2932">
        <v>15.89</v>
      </c>
      <c r="K2932" t="s">
        <v>501</v>
      </c>
    </row>
    <row r="2933" spans="1:11">
      <c r="A2933" t="str">
        <f>"600067"</f>
        <v>600067</v>
      </c>
      <c r="B2933" t="s">
        <v>3276</v>
      </c>
      <c r="C2933">
        <v>60.68</v>
      </c>
      <c r="D2933">
        <v>171.75</v>
      </c>
      <c r="E2933">
        <v>56.25</v>
      </c>
      <c r="F2933">
        <v>13.92</v>
      </c>
      <c r="G2933">
        <v>13.92</v>
      </c>
      <c r="H2933">
        <v>43353</v>
      </c>
      <c r="I2933">
        <v>1.08</v>
      </c>
      <c r="J2933">
        <v>54.83</v>
      </c>
      <c r="K2933" t="s">
        <v>383</v>
      </c>
    </row>
    <row r="2934" spans="1:11">
      <c r="A2934" t="str">
        <f>"600071"</f>
        <v>600071</v>
      </c>
      <c r="B2934" t="s">
        <v>3277</v>
      </c>
      <c r="C2934">
        <v>61.38</v>
      </c>
      <c r="D2934">
        <v>16.26</v>
      </c>
      <c r="E2934">
        <v>5.04</v>
      </c>
      <c r="F2934">
        <v>2.82</v>
      </c>
      <c r="G2934">
        <v>2.82</v>
      </c>
      <c r="H2934">
        <v>28640</v>
      </c>
      <c r="I2934">
        <v>12.19</v>
      </c>
      <c r="J2934">
        <v>156.54</v>
      </c>
      <c r="K2934" t="s">
        <v>66</v>
      </c>
    </row>
    <row r="2935" spans="1:11">
      <c r="A2935" t="str">
        <f>"600072"</f>
        <v>600072</v>
      </c>
      <c r="B2935" t="s">
        <v>3278</v>
      </c>
      <c r="C2935">
        <v>128.81</v>
      </c>
      <c r="D2935">
        <v>475.88</v>
      </c>
      <c r="E2935">
        <v>97.07</v>
      </c>
      <c r="F2935">
        <v>15.03</v>
      </c>
      <c r="G2935">
        <v>10.83</v>
      </c>
      <c r="H2935">
        <v>125809</v>
      </c>
      <c r="I2935">
        <v>1.84</v>
      </c>
      <c r="J2935" t="s">
        <v>14</v>
      </c>
      <c r="K2935" t="s">
        <v>456</v>
      </c>
    </row>
    <row r="2936" spans="1:11">
      <c r="A2936" t="str">
        <f>"600073"</f>
        <v>600073</v>
      </c>
      <c r="B2936" t="s">
        <v>3279</v>
      </c>
      <c r="C2936">
        <v>61.33</v>
      </c>
      <c r="D2936">
        <v>137.88</v>
      </c>
      <c r="E2936">
        <v>50.14</v>
      </c>
      <c r="F2936">
        <v>9.38</v>
      </c>
      <c r="G2936">
        <v>9.38</v>
      </c>
      <c r="H2936">
        <v>48898</v>
      </c>
      <c r="I2936">
        <v>1.22</v>
      </c>
      <c r="J2936">
        <v>27.38</v>
      </c>
      <c r="K2936" t="s">
        <v>201</v>
      </c>
    </row>
    <row r="2937" spans="1:11">
      <c r="A2937" t="str">
        <f>"600075"</f>
        <v>600075</v>
      </c>
      <c r="B2937" t="s">
        <v>3280</v>
      </c>
      <c r="C2937">
        <v>91.86</v>
      </c>
      <c r="D2937">
        <v>213.14</v>
      </c>
      <c r="E2937">
        <v>92.99</v>
      </c>
      <c r="F2937">
        <v>17.07</v>
      </c>
      <c r="G2937">
        <v>17.07</v>
      </c>
      <c r="H2937">
        <v>69531</v>
      </c>
      <c r="I2937">
        <v>1.03</v>
      </c>
      <c r="J2937">
        <v>958.89</v>
      </c>
      <c r="K2937" t="s">
        <v>177</v>
      </c>
    </row>
    <row r="2938" spans="1:11">
      <c r="A2938" t="str">
        <f>"600076"</f>
        <v>600076</v>
      </c>
      <c r="B2938" t="s">
        <v>3281</v>
      </c>
      <c r="C2938">
        <v>54.59</v>
      </c>
      <c r="D2938">
        <v>67.27</v>
      </c>
      <c r="E2938">
        <v>38.11</v>
      </c>
      <c r="F2938">
        <v>13.45</v>
      </c>
      <c r="G2938">
        <v>13.45</v>
      </c>
      <c r="H2938">
        <v>40153</v>
      </c>
      <c r="I2938">
        <v>1.43</v>
      </c>
      <c r="J2938" t="s">
        <v>14</v>
      </c>
      <c r="K2938" t="s">
        <v>1030</v>
      </c>
    </row>
    <row r="2939" spans="1:11">
      <c r="A2939" t="str">
        <f>"600078"</f>
        <v>600078</v>
      </c>
      <c r="B2939" t="s">
        <v>3282</v>
      </c>
      <c r="C2939">
        <v>66.39</v>
      </c>
      <c r="D2939">
        <v>55.34</v>
      </c>
      <c r="E2939">
        <v>17.36</v>
      </c>
      <c r="F2939">
        <v>6.77</v>
      </c>
      <c r="G2939">
        <v>6.63</v>
      </c>
      <c r="H2939">
        <v>25830</v>
      </c>
      <c r="I2939">
        <v>3.91</v>
      </c>
      <c r="J2939">
        <v>182.18</v>
      </c>
      <c r="K2939" t="s">
        <v>153</v>
      </c>
    </row>
    <row r="2940" spans="1:11">
      <c r="A2940" t="str">
        <f>"600079"</f>
        <v>600079</v>
      </c>
      <c r="B2940" t="s">
        <v>3283</v>
      </c>
      <c r="C2940">
        <v>283.79</v>
      </c>
      <c r="D2940">
        <v>368.24</v>
      </c>
      <c r="E2940">
        <v>189.14</v>
      </c>
      <c r="F2940">
        <v>16.32</v>
      </c>
      <c r="G2940">
        <v>15.43</v>
      </c>
      <c r="H2940">
        <v>69442</v>
      </c>
      <c r="I2940">
        <v>1.59</v>
      </c>
      <c r="J2940">
        <v>13.33</v>
      </c>
      <c r="K2940" t="s">
        <v>109</v>
      </c>
    </row>
    <row r="2941" spans="1:11">
      <c r="A2941" t="str">
        <f>"600080"</f>
        <v>600080</v>
      </c>
      <c r="B2941" t="s">
        <v>3284</v>
      </c>
      <c r="C2941">
        <v>29.71</v>
      </c>
      <c r="D2941">
        <v>19.57</v>
      </c>
      <c r="E2941">
        <v>15.84</v>
      </c>
      <c r="F2941">
        <v>3.73</v>
      </c>
      <c r="G2941">
        <v>3.73</v>
      </c>
      <c r="H2941">
        <v>20096</v>
      </c>
      <c r="I2941">
        <v>1.88</v>
      </c>
      <c r="J2941">
        <v>64.63</v>
      </c>
      <c r="K2941" t="s">
        <v>155</v>
      </c>
    </row>
    <row r="2942" spans="1:11">
      <c r="A2942" t="str">
        <f>"600081"</f>
        <v>600081</v>
      </c>
      <c r="B2942" t="s">
        <v>3285</v>
      </c>
      <c r="C2942">
        <v>67.69</v>
      </c>
      <c r="D2942">
        <v>100.29</v>
      </c>
      <c r="E2942">
        <v>45.85</v>
      </c>
      <c r="F2942">
        <v>5.53</v>
      </c>
      <c r="G2942">
        <v>5.53</v>
      </c>
      <c r="H2942">
        <v>29426</v>
      </c>
      <c r="I2942">
        <v>1.48</v>
      </c>
      <c r="J2942">
        <v>227.03</v>
      </c>
      <c r="K2942" t="s">
        <v>517</v>
      </c>
    </row>
    <row r="2943" spans="1:11">
      <c r="A2943" t="str">
        <f>"600082"</f>
        <v>600082</v>
      </c>
      <c r="B2943" t="s">
        <v>3286</v>
      </c>
      <c r="C2943">
        <v>27.02</v>
      </c>
      <c r="D2943">
        <v>30.14</v>
      </c>
      <c r="E2943">
        <v>17.78</v>
      </c>
      <c r="F2943">
        <v>6.46</v>
      </c>
      <c r="G2943">
        <v>6.34</v>
      </c>
      <c r="H2943">
        <v>30981</v>
      </c>
      <c r="I2943">
        <v>1.55</v>
      </c>
      <c r="J2943">
        <v>852.33</v>
      </c>
      <c r="K2943" t="s">
        <v>3274</v>
      </c>
    </row>
    <row r="2944" spans="1:11">
      <c r="A2944" t="str">
        <f>"600084"</f>
        <v>600084</v>
      </c>
      <c r="B2944" t="s">
        <v>3287</v>
      </c>
      <c r="C2944">
        <v>63.72</v>
      </c>
      <c r="D2944">
        <v>14.17</v>
      </c>
      <c r="E2944">
        <v>12.94</v>
      </c>
      <c r="F2944">
        <v>11.24</v>
      </c>
      <c r="G2944">
        <v>11.24</v>
      </c>
      <c r="H2944">
        <v>24831</v>
      </c>
      <c r="I2944">
        <v>4.93</v>
      </c>
      <c r="J2944">
        <v>31964.2</v>
      </c>
      <c r="K2944" t="s">
        <v>503</v>
      </c>
    </row>
    <row r="2945" spans="1:11">
      <c r="A2945" t="str">
        <f>"600085"</f>
        <v>600085</v>
      </c>
      <c r="B2945" t="s">
        <v>3288</v>
      </c>
      <c r="C2945">
        <v>434.07</v>
      </c>
      <c r="D2945">
        <v>318.19</v>
      </c>
      <c r="E2945">
        <v>136.63</v>
      </c>
      <c r="F2945">
        <v>13.71</v>
      </c>
      <c r="G2945">
        <v>13.71</v>
      </c>
      <c r="H2945">
        <v>132210</v>
      </c>
      <c r="I2945">
        <v>3.18</v>
      </c>
      <c r="J2945">
        <v>27.65</v>
      </c>
      <c r="K2945" t="s">
        <v>155</v>
      </c>
    </row>
    <row r="2946" spans="1:11">
      <c r="A2946" t="str">
        <f>"600088"</f>
        <v>600088</v>
      </c>
      <c r="B2946" t="s">
        <v>3289</v>
      </c>
      <c r="C2946">
        <v>73.66</v>
      </c>
      <c r="D2946">
        <v>16.18</v>
      </c>
      <c r="E2946">
        <v>12.62</v>
      </c>
      <c r="F2946">
        <v>3.98</v>
      </c>
      <c r="G2946">
        <v>3.98</v>
      </c>
      <c r="H2946">
        <v>29493</v>
      </c>
      <c r="I2946">
        <v>5.83</v>
      </c>
      <c r="J2946" t="s">
        <v>14</v>
      </c>
      <c r="K2946" t="s">
        <v>452</v>
      </c>
    </row>
    <row r="2947" spans="1:11">
      <c r="A2947" t="str">
        <f>"600089"</f>
        <v>600089</v>
      </c>
      <c r="B2947" t="s">
        <v>3290</v>
      </c>
      <c r="C2947">
        <v>1355.66</v>
      </c>
      <c r="D2947">
        <v>2244.01</v>
      </c>
      <c r="E2947">
        <v>743.1</v>
      </c>
      <c r="F2947">
        <v>50.53</v>
      </c>
      <c r="G2947">
        <v>50.53</v>
      </c>
      <c r="H2947">
        <v>354115</v>
      </c>
      <c r="I2947">
        <v>1.97</v>
      </c>
      <c r="J2947">
        <v>18.54</v>
      </c>
      <c r="K2947" t="s">
        <v>208</v>
      </c>
    </row>
    <row r="2948" spans="1:11">
      <c r="A2948" t="str">
        <f>"600094"</f>
        <v>600094</v>
      </c>
      <c r="B2948" t="s">
        <v>3291</v>
      </c>
      <c r="C2948">
        <v>107.8</v>
      </c>
      <c r="D2948">
        <v>167.15</v>
      </c>
      <c r="E2948">
        <v>103.86</v>
      </c>
      <c r="F2948">
        <v>23.25</v>
      </c>
      <c r="G2948">
        <v>21.26</v>
      </c>
      <c r="H2948">
        <v>48086</v>
      </c>
      <c r="I2948">
        <v>1.15</v>
      </c>
      <c r="J2948">
        <v>34.33</v>
      </c>
      <c r="K2948" t="s">
        <v>15</v>
      </c>
    </row>
    <row r="2949" spans="1:11">
      <c r="A2949" t="str">
        <f>"600095"</f>
        <v>600095</v>
      </c>
      <c r="B2949" t="s">
        <v>3292</v>
      </c>
      <c r="C2949">
        <v>337.96</v>
      </c>
      <c r="D2949">
        <v>444.94</v>
      </c>
      <c r="E2949">
        <v>122.22</v>
      </c>
      <c r="F2949">
        <v>28.59</v>
      </c>
      <c r="G2949">
        <v>28.59</v>
      </c>
      <c r="H2949">
        <v>124889</v>
      </c>
      <c r="I2949">
        <v>2.77</v>
      </c>
      <c r="J2949">
        <v>57.38</v>
      </c>
      <c r="K2949" t="s">
        <v>120</v>
      </c>
    </row>
    <row r="2950" spans="1:11">
      <c r="A2950" t="str">
        <f>"600096"</f>
        <v>600096</v>
      </c>
      <c r="B2950" t="s">
        <v>3293</v>
      </c>
      <c r="C2950">
        <v>625.1</v>
      </c>
      <c r="D2950">
        <v>499.7</v>
      </c>
      <c r="E2950">
        <v>242.19</v>
      </c>
      <c r="F2950">
        <v>18.23</v>
      </c>
      <c r="G2950">
        <v>18.23</v>
      </c>
      <c r="H2950">
        <v>106200</v>
      </c>
      <c r="I2950">
        <v>2.58</v>
      </c>
      <c r="J2950">
        <v>9.91</v>
      </c>
      <c r="K2950" t="s">
        <v>153</v>
      </c>
    </row>
    <row r="2951" spans="1:11">
      <c r="A2951" t="str">
        <f>"600097"</f>
        <v>600097</v>
      </c>
      <c r="B2951" t="s">
        <v>3294</v>
      </c>
      <c r="C2951">
        <v>28.24</v>
      </c>
      <c r="D2951">
        <v>33.18</v>
      </c>
      <c r="E2951">
        <v>23.19</v>
      </c>
      <c r="F2951">
        <v>2.41</v>
      </c>
      <c r="G2951">
        <v>2.41</v>
      </c>
      <c r="H2951">
        <v>14895</v>
      </c>
      <c r="I2951">
        <v>1.22</v>
      </c>
      <c r="J2951">
        <v>35</v>
      </c>
      <c r="K2951" t="s">
        <v>446</v>
      </c>
    </row>
    <row r="2952" spans="1:11">
      <c r="A2952" t="str">
        <f>"600098"</f>
        <v>600098</v>
      </c>
      <c r="B2952" t="s">
        <v>3295</v>
      </c>
      <c r="C2952">
        <v>232.44</v>
      </c>
      <c r="D2952">
        <v>822.71</v>
      </c>
      <c r="E2952">
        <v>275.02</v>
      </c>
      <c r="F2952">
        <v>35.06</v>
      </c>
      <c r="G2952">
        <v>35.06</v>
      </c>
      <c r="H2952">
        <v>50343</v>
      </c>
      <c r="I2952">
        <v>0.85</v>
      </c>
      <c r="J2952">
        <v>8.07</v>
      </c>
      <c r="K2952" t="s">
        <v>46</v>
      </c>
    </row>
    <row r="2953" spans="1:11">
      <c r="A2953" t="str">
        <f>"600099"</f>
        <v>600099</v>
      </c>
      <c r="B2953" t="s">
        <v>3296</v>
      </c>
      <c r="C2953">
        <v>22.99</v>
      </c>
      <c r="D2953">
        <v>11.37</v>
      </c>
      <c r="E2953">
        <v>5.35</v>
      </c>
      <c r="F2953">
        <v>2.19</v>
      </c>
      <c r="G2953">
        <v>2.19</v>
      </c>
      <c r="H2953">
        <v>12688</v>
      </c>
      <c r="I2953">
        <v>4.29</v>
      </c>
      <c r="J2953">
        <v>118.69</v>
      </c>
      <c r="K2953" t="s">
        <v>870</v>
      </c>
    </row>
    <row r="2954" spans="1:11">
      <c r="A2954" t="str">
        <f>"600100"</f>
        <v>600100</v>
      </c>
      <c r="B2954" t="s">
        <v>3297</v>
      </c>
      <c r="C2954">
        <v>331.01</v>
      </c>
      <c r="D2954">
        <v>501.5</v>
      </c>
      <c r="E2954">
        <v>161.61</v>
      </c>
      <c r="F2954">
        <v>33.5</v>
      </c>
      <c r="G2954">
        <v>33.5</v>
      </c>
      <c r="H2954">
        <v>187686</v>
      </c>
      <c r="I2954">
        <v>2.05</v>
      </c>
      <c r="J2954">
        <v>75.36</v>
      </c>
      <c r="K2954" t="s">
        <v>88</v>
      </c>
    </row>
    <row r="2955" spans="1:11">
      <c r="A2955" t="str">
        <f>"600101"</f>
        <v>600101</v>
      </c>
      <c r="B2955" t="s">
        <v>3298</v>
      </c>
      <c r="C2955">
        <v>55.22</v>
      </c>
      <c r="D2955">
        <v>41.81</v>
      </c>
      <c r="E2955">
        <v>31.04</v>
      </c>
      <c r="F2955">
        <v>5.48</v>
      </c>
      <c r="G2955">
        <v>5.48</v>
      </c>
      <c r="H2955">
        <v>68218</v>
      </c>
      <c r="I2955">
        <v>1.78</v>
      </c>
      <c r="J2955">
        <v>23.26</v>
      </c>
      <c r="K2955" t="s">
        <v>505</v>
      </c>
    </row>
    <row r="2956" spans="1:11">
      <c r="A2956" t="str">
        <f>"600103"</f>
        <v>600103</v>
      </c>
      <c r="B2956" t="s">
        <v>3299</v>
      </c>
      <c r="C2956">
        <v>88.71</v>
      </c>
      <c r="D2956">
        <v>60.23</v>
      </c>
      <c r="E2956">
        <v>39.74</v>
      </c>
      <c r="F2956">
        <v>22.41</v>
      </c>
      <c r="G2956">
        <v>22.12</v>
      </c>
      <c r="H2956">
        <v>207909</v>
      </c>
      <c r="I2956">
        <v>2.26</v>
      </c>
      <c r="J2956">
        <v>103.7</v>
      </c>
      <c r="K2956" t="s">
        <v>765</v>
      </c>
    </row>
    <row r="2957" spans="1:11">
      <c r="A2957" t="str">
        <f>"600104"</f>
        <v>600104</v>
      </c>
      <c r="B2957" t="s">
        <v>3300</v>
      </c>
      <c r="C2957">
        <v>1733.49</v>
      </c>
      <c r="D2957">
        <v>9424.5</v>
      </c>
      <c r="E2957">
        <v>2955.23</v>
      </c>
      <c r="F2957">
        <v>114.95</v>
      </c>
      <c r="G2957">
        <v>114.95</v>
      </c>
      <c r="H2957">
        <v>193351</v>
      </c>
      <c r="I2957">
        <v>0.59</v>
      </c>
      <c r="J2957">
        <v>16.05</v>
      </c>
      <c r="K2957" t="s">
        <v>256</v>
      </c>
    </row>
    <row r="2958" spans="1:11">
      <c r="A2958" t="str">
        <f>"600105"</f>
        <v>600105</v>
      </c>
      <c r="B2958" t="s">
        <v>3301</v>
      </c>
      <c r="C2958">
        <v>424.42</v>
      </c>
      <c r="D2958">
        <v>93.28</v>
      </c>
      <c r="E2958">
        <v>33</v>
      </c>
      <c r="F2958">
        <v>14.62</v>
      </c>
      <c r="G2958">
        <v>14.62</v>
      </c>
      <c r="H2958">
        <v>158549</v>
      </c>
      <c r="I2958">
        <v>12.86</v>
      </c>
      <c r="J2958">
        <v>96.72</v>
      </c>
      <c r="K2958" t="s">
        <v>93</v>
      </c>
    </row>
    <row r="2959" spans="1:11">
      <c r="A2959" t="str">
        <f>"600106"</f>
        <v>600106</v>
      </c>
      <c r="B2959" t="s">
        <v>3302</v>
      </c>
      <c r="C2959">
        <v>85.99</v>
      </c>
      <c r="D2959">
        <v>68.81</v>
      </c>
      <c r="E2959">
        <v>51.78</v>
      </c>
      <c r="F2959">
        <v>13.29</v>
      </c>
      <c r="G2959">
        <v>13.29</v>
      </c>
      <c r="H2959">
        <v>50327</v>
      </c>
      <c r="I2959">
        <v>1.66</v>
      </c>
      <c r="J2959">
        <v>32.49</v>
      </c>
      <c r="K2959" t="s">
        <v>161</v>
      </c>
    </row>
    <row r="2960" spans="1:11">
      <c r="A2960" t="str">
        <f>"600107"</f>
        <v>600107</v>
      </c>
      <c r="B2960" t="s">
        <v>3303</v>
      </c>
      <c r="C2960">
        <v>25.85</v>
      </c>
      <c r="D2960">
        <v>7.73</v>
      </c>
      <c r="E2960">
        <v>4.57</v>
      </c>
      <c r="F2960">
        <v>3.6</v>
      </c>
      <c r="G2960">
        <v>3.6</v>
      </c>
      <c r="H2960">
        <v>15880</v>
      </c>
      <c r="I2960">
        <v>5.66</v>
      </c>
      <c r="J2960" t="s">
        <v>14</v>
      </c>
      <c r="K2960" t="s">
        <v>622</v>
      </c>
    </row>
    <row r="2961" spans="1:11">
      <c r="A2961" t="str">
        <f>"600108"</f>
        <v>600108</v>
      </c>
      <c r="B2961" t="s">
        <v>3304</v>
      </c>
      <c r="C2961">
        <v>66.78</v>
      </c>
      <c r="D2961">
        <v>100.07</v>
      </c>
      <c r="E2961">
        <v>43.14</v>
      </c>
      <c r="F2961">
        <v>19.47</v>
      </c>
      <c r="G2961">
        <v>19.47</v>
      </c>
      <c r="H2961">
        <v>106925</v>
      </c>
      <c r="I2961">
        <v>1.55</v>
      </c>
      <c r="J2961">
        <v>142.09</v>
      </c>
      <c r="K2961" t="s">
        <v>3305</v>
      </c>
    </row>
    <row r="2962" spans="1:11">
      <c r="A2962" t="str">
        <f>"600109"</f>
        <v>600109</v>
      </c>
      <c r="B2962" t="s">
        <v>3306</v>
      </c>
      <c r="C2962">
        <v>352.38</v>
      </c>
      <c r="D2962">
        <v>1460.69</v>
      </c>
      <c r="E2962">
        <v>349.24</v>
      </c>
      <c r="F2962">
        <v>37.05</v>
      </c>
      <c r="G2962">
        <v>37.05</v>
      </c>
      <c r="H2962">
        <v>127642</v>
      </c>
      <c r="I2962">
        <v>1.01</v>
      </c>
      <c r="J2962">
        <v>15.54</v>
      </c>
      <c r="K2962" t="s">
        <v>120</v>
      </c>
    </row>
    <row r="2963" spans="1:11">
      <c r="A2963" t="str">
        <f>"600110"</f>
        <v>600110</v>
      </c>
      <c r="B2963" t="s">
        <v>3307</v>
      </c>
      <c r="C2963">
        <v>128.23</v>
      </c>
      <c r="D2963">
        <v>174.73</v>
      </c>
      <c r="E2963">
        <v>58.86</v>
      </c>
      <c r="F2963">
        <v>17.35</v>
      </c>
      <c r="G2963">
        <v>17.35</v>
      </c>
      <c r="H2963">
        <v>223781</v>
      </c>
      <c r="I2963">
        <v>2.18</v>
      </c>
      <c r="J2963" t="s">
        <v>14</v>
      </c>
      <c r="K2963" t="s">
        <v>70</v>
      </c>
    </row>
    <row r="2964" spans="1:11">
      <c r="A2964" t="str">
        <f>"600111"</f>
        <v>600111</v>
      </c>
      <c r="B2964" t="s">
        <v>3308</v>
      </c>
      <c r="C2964">
        <v>1801.39</v>
      </c>
      <c r="D2964">
        <v>477.15</v>
      </c>
      <c r="E2964">
        <v>238.85</v>
      </c>
      <c r="F2964">
        <v>36.15</v>
      </c>
      <c r="G2964">
        <v>36.15</v>
      </c>
      <c r="H2964">
        <v>653324</v>
      </c>
      <c r="I2964">
        <v>7.54</v>
      </c>
      <c r="J2964">
        <v>87.65</v>
      </c>
      <c r="K2964" t="s">
        <v>481</v>
      </c>
    </row>
    <row r="2965" spans="1:11">
      <c r="A2965" t="str">
        <f>"600113"</f>
        <v>600113</v>
      </c>
      <c r="B2965" t="s">
        <v>3309</v>
      </c>
      <c r="C2965">
        <v>262.16</v>
      </c>
      <c r="D2965">
        <v>35.98</v>
      </c>
      <c r="E2965">
        <v>25.41</v>
      </c>
      <c r="F2965">
        <v>4.21</v>
      </c>
      <c r="G2965">
        <v>4.11</v>
      </c>
      <c r="H2965">
        <v>21659</v>
      </c>
      <c r="I2965">
        <v>10.56</v>
      </c>
      <c r="J2965">
        <v>175.2</v>
      </c>
      <c r="K2965" t="s">
        <v>20</v>
      </c>
    </row>
    <row r="2966" spans="1:11">
      <c r="A2966" t="str">
        <f>"600114"</f>
        <v>600114</v>
      </c>
      <c r="B2966" t="s">
        <v>3310</v>
      </c>
      <c r="C2966">
        <v>183</v>
      </c>
      <c r="D2966">
        <v>77.42</v>
      </c>
      <c r="E2966">
        <v>32.43</v>
      </c>
      <c r="F2966">
        <v>6.31</v>
      </c>
      <c r="G2966">
        <v>6.16</v>
      </c>
      <c r="H2966">
        <v>57009</v>
      </c>
      <c r="I2966">
        <v>5.78</v>
      </c>
      <c r="J2966">
        <v>33.86</v>
      </c>
      <c r="K2966" t="s">
        <v>63</v>
      </c>
    </row>
    <row r="2967" spans="1:11">
      <c r="A2967" t="str">
        <f>"600115"</f>
        <v>600115</v>
      </c>
      <c r="B2967" t="s">
        <v>3311</v>
      </c>
      <c r="C2967">
        <v>995.96</v>
      </c>
      <c r="D2967">
        <v>2873.6</v>
      </c>
      <c r="E2967">
        <v>419.74</v>
      </c>
      <c r="F2967">
        <v>220.88</v>
      </c>
      <c r="G2967">
        <v>170.25</v>
      </c>
      <c r="H2967">
        <v>149906</v>
      </c>
      <c r="I2967">
        <v>7.96</v>
      </c>
      <c r="J2967">
        <v>46.08</v>
      </c>
      <c r="K2967" t="s">
        <v>104</v>
      </c>
    </row>
    <row r="2968" spans="1:11">
      <c r="A2968" t="str">
        <f>"600116"</f>
        <v>600116</v>
      </c>
      <c r="B2968" t="s">
        <v>3312</v>
      </c>
      <c r="C2968">
        <v>125.44</v>
      </c>
      <c r="D2968">
        <v>260.13</v>
      </c>
      <c r="E2968">
        <v>113.29</v>
      </c>
      <c r="F2968">
        <v>19.12</v>
      </c>
      <c r="G2968">
        <v>19.12</v>
      </c>
      <c r="H2968">
        <v>63277</v>
      </c>
      <c r="I2968">
        <v>1.11</v>
      </c>
      <c r="J2968">
        <v>26.84</v>
      </c>
      <c r="K2968" t="s">
        <v>505</v>
      </c>
    </row>
    <row r="2969" spans="1:11">
      <c r="A2969" t="str">
        <f>"600117"</f>
        <v>600117</v>
      </c>
      <c r="B2969" t="s">
        <v>3313</v>
      </c>
      <c r="C2969">
        <v>96.35</v>
      </c>
      <c r="D2969">
        <v>126.16</v>
      </c>
      <c r="E2969">
        <v>40.23</v>
      </c>
      <c r="F2969">
        <v>32.55</v>
      </c>
      <c r="G2969">
        <v>32.55</v>
      </c>
      <c r="H2969">
        <v>93479</v>
      </c>
      <c r="I2969">
        <v>2.39</v>
      </c>
      <c r="J2969" t="s">
        <v>14</v>
      </c>
      <c r="K2969" t="s">
        <v>364</v>
      </c>
    </row>
    <row r="2970" spans="1:11">
      <c r="A2970" t="str">
        <f>"600118"</f>
        <v>600118</v>
      </c>
      <c r="B2970" t="s">
        <v>3314</v>
      </c>
      <c r="C2970">
        <v>1403.61</v>
      </c>
      <c r="D2970">
        <v>143.06</v>
      </c>
      <c r="E2970">
        <v>63.51</v>
      </c>
      <c r="F2970">
        <v>11.82</v>
      </c>
      <c r="G2970">
        <v>11.82</v>
      </c>
      <c r="H2970">
        <v>160526</v>
      </c>
      <c r="I2970">
        <v>22.1</v>
      </c>
      <c r="J2970">
        <v>7107.44</v>
      </c>
      <c r="K2970" t="s">
        <v>241</v>
      </c>
    </row>
    <row r="2971" spans="1:11">
      <c r="A2971" t="str">
        <f>"600119"</f>
        <v>600119</v>
      </c>
      <c r="B2971" t="s">
        <v>3315</v>
      </c>
      <c r="C2971">
        <v>29.29</v>
      </c>
      <c r="D2971">
        <v>5.12</v>
      </c>
      <c r="E2971">
        <v>1.19</v>
      </c>
      <c r="F2971">
        <v>3.65</v>
      </c>
      <c r="G2971">
        <v>3.65</v>
      </c>
      <c r="H2971">
        <v>24179</v>
      </c>
      <c r="I2971">
        <v>24.53</v>
      </c>
      <c r="J2971" t="s">
        <v>14</v>
      </c>
      <c r="K2971" t="s">
        <v>740</v>
      </c>
    </row>
    <row r="2972" spans="1:11">
      <c r="A2972" t="str">
        <f>"600120"</f>
        <v>600120</v>
      </c>
      <c r="B2972" t="s">
        <v>3316</v>
      </c>
      <c r="C2972">
        <v>244.2</v>
      </c>
      <c r="D2972">
        <v>582.17</v>
      </c>
      <c r="E2972">
        <v>163.81</v>
      </c>
      <c r="F2972">
        <v>34.15</v>
      </c>
      <c r="G2972">
        <v>34.15</v>
      </c>
      <c r="H2972">
        <v>157672</v>
      </c>
      <c r="I2972">
        <v>1.49</v>
      </c>
      <c r="J2972">
        <v>22.9</v>
      </c>
      <c r="K2972" t="s">
        <v>292</v>
      </c>
    </row>
    <row r="2973" spans="1:11">
      <c r="A2973" t="str">
        <f>"600121"</f>
        <v>600121</v>
      </c>
      <c r="B2973" t="s">
        <v>3317</v>
      </c>
      <c r="C2973">
        <v>54.34</v>
      </c>
      <c r="D2973">
        <v>137.8</v>
      </c>
      <c r="E2973">
        <v>15.33</v>
      </c>
      <c r="F2973">
        <v>12.18</v>
      </c>
      <c r="G2973">
        <v>12.18</v>
      </c>
      <c r="H2973">
        <v>77863</v>
      </c>
      <c r="I2973">
        <v>3.55</v>
      </c>
      <c r="J2973" t="s">
        <v>14</v>
      </c>
      <c r="K2973" t="s">
        <v>230</v>
      </c>
    </row>
    <row r="2974" spans="1:11">
      <c r="A2974" t="str">
        <f>"600123"</f>
        <v>600123</v>
      </c>
      <c r="B2974" t="s">
        <v>3318</v>
      </c>
      <c r="C2974">
        <v>89.13</v>
      </c>
      <c r="D2974">
        <v>368.94</v>
      </c>
      <c r="E2974">
        <v>158.07</v>
      </c>
      <c r="F2974">
        <v>14.73</v>
      </c>
      <c r="G2974">
        <v>14.73</v>
      </c>
      <c r="H2974">
        <v>59230</v>
      </c>
      <c r="I2974">
        <v>0.56</v>
      </c>
      <c r="J2974">
        <v>635.82</v>
      </c>
      <c r="K2974" t="s">
        <v>567</v>
      </c>
    </row>
    <row r="2975" spans="1:11">
      <c r="A2975" t="str">
        <f>"600125"</f>
        <v>600125</v>
      </c>
      <c r="B2975" t="s">
        <v>3319</v>
      </c>
      <c r="C2975">
        <v>81.99</v>
      </c>
      <c r="D2975">
        <v>99.03</v>
      </c>
      <c r="E2975">
        <v>77.14</v>
      </c>
      <c r="F2975">
        <v>13.06</v>
      </c>
      <c r="G2975">
        <v>13.06</v>
      </c>
      <c r="H2975">
        <v>61731</v>
      </c>
      <c r="I2975">
        <v>1.06</v>
      </c>
      <c r="J2975">
        <v>11.23</v>
      </c>
      <c r="K2975" t="s">
        <v>235</v>
      </c>
    </row>
    <row r="2976" spans="1:11">
      <c r="A2976" t="str">
        <f>"600126"</f>
        <v>600126</v>
      </c>
      <c r="B2976" t="s">
        <v>3320</v>
      </c>
      <c r="C2976">
        <v>323.87</v>
      </c>
      <c r="D2976">
        <v>336.68</v>
      </c>
      <c r="E2976">
        <v>195.02</v>
      </c>
      <c r="F2976">
        <v>33.77</v>
      </c>
      <c r="G2976">
        <v>33.77</v>
      </c>
      <c r="H2976">
        <v>218814</v>
      </c>
      <c r="I2976">
        <v>1.66</v>
      </c>
      <c r="J2976">
        <v>241.45</v>
      </c>
      <c r="K2976" t="s">
        <v>366</v>
      </c>
    </row>
    <row r="2977" spans="1:11">
      <c r="A2977" t="str">
        <f>"600127"</f>
        <v>600127</v>
      </c>
      <c r="B2977" t="s">
        <v>3321</v>
      </c>
      <c r="C2977">
        <v>43.45</v>
      </c>
      <c r="D2977">
        <v>17.78</v>
      </c>
      <c r="E2977">
        <v>6.8</v>
      </c>
      <c r="F2977">
        <v>6.42</v>
      </c>
      <c r="G2977">
        <v>6.42</v>
      </c>
      <c r="H2977">
        <v>103710</v>
      </c>
      <c r="I2977">
        <v>6.39</v>
      </c>
      <c r="J2977">
        <v>259.57</v>
      </c>
      <c r="K2977" t="s">
        <v>37</v>
      </c>
    </row>
    <row r="2978" spans="1:11">
      <c r="A2978" t="str">
        <f>"600128"</f>
        <v>600128</v>
      </c>
      <c r="B2978" t="s">
        <v>3322</v>
      </c>
      <c r="C2978">
        <v>27.69</v>
      </c>
      <c r="D2978">
        <v>64.3</v>
      </c>
      <c r="E2978">
        <v>21.48</v>
      </c>
      <c r="F2978">
        <v>2.52</v>
      </c>
      <c r="G2978">
        <v>2.47</v>
      </c>
      <c r="H2978">
        <v>24657</v>
      </c>
      <c r="I2978">
        <v>1.29</v>
      </c>
      <c r="J2978">
        <v>42.6</v>
      </c>
      <c r="K2978" t="s">
        <v>107</v>
      </c>
    </row>
    <row r="2979" spans="1:11">
      <c r="A2979" t="str">
        <f>"600129"</f>
        <v>600129</v>
      </c>
      <c r="B2979" t="s">
        <v>3323</v>
      </c>
      <c r="C2979">
        <v>103.67</v>
      </c>
      <c r="D2979">
        <v>142.22</v>
      </c>
      <c r="E2979">
        <v>35.38</v>
      </c>
      <c r="F2979">
        <v>5.51</v>
      </c>
      <c r="G2979">
        <v>5.51</v>
      </c>
      <c r="H2979">
        <v>61141</v>
      </c>
      <c r="I2979">
        <v>2.93</v>
      </c>
      <c r="J2979">
        <v>46.86</v>
      </c>
      <c r="K2979" t="s">
        <v>155</v>
      </c>
    </row>
    <row r="2980" spans="1:11">
      <c r="A2980" t="str">
        <f>"600130"</f>
        <v>600130</v>
      </c>
      <c r="B2980" t="s">
        <v>3324</v>
      </c>
      <c r="C2980">
        <v>31.95</v>
      </c>
      <c r="D2980">
        <v>11.83</v>
      </c>
      <c r="E2980">
        <v>9.6</v>
      </c>
      <c r="F2980">
        <v>7.5</v>
      </c>
      <c r="G2980">
        <v>7.5</v>
      </c>
      <c r="H2980">
        <v>51254</v>
      </c>
      <c r="I2980">
        <v>3.33</v>
      </c>
      <c r="J2980">
        <v>681.76</v>
      </c>
      <c r="K2980" t="s">
        <v>41</v>
      </c>
    </row>
    <row r="2981" spans="1:11">
      <c r="A2981" t="str">
        <f>"600131"</f>
        <v>600131</v>
      </c>
      <c r="B2981" t="s">
        <v>3325</v>
      </c>
      <c r="C2981">
        <v>212.75</v>
      </c>
      <c r="D2981">
        <v>139.98</v>
      </c>
      <c r="E2981">
        <v>62.4</v>
      </c>
      <c r="F2981">
        <v>11.98</v>
      </c>
      <c r="G2981">
        <v>11.96</v>
      </c>
      <c r="H2981">
        <v>37431</v>
      </c>
      <c r="I2981">
        <v>3.42</v>
      </c>
      <c r="J2981">
        <v>45.54</v>
      </c>
      <c r="K2981" t="s">
        <v>463</v>
      </c>
    </row>
    <row r="2982" spans="1:11">
      <c r="A2982" t="str">
        <f>"600132"</f>
        <v>600132</v>
      </c>
      <c r="B2982" t="s">
        <v>3326</v>
      </c>
      <c r="C2982">
        <v>250.7</v>
      </c>
      <c r="D2982">
        <v>131.83</v>
      </c>
      <c r="E2982">
        <v>20.03</v>
      </c>
      <c r="F2982">
        <v>4.84</v>
      </c>
      <c r="G2982">
        <v>4.84</v>
      </c>
      <c r="H2982">
        <v>58110</v>
      </c>
      <c r="I2982">
        <v>12.52</v>
      </c>
      <c r="J2982">
        <v>15.15</v>
      </c>
      <c r="K2982" t="s">
        <v>395</v>
      </c>
    </row>
    <row r="2983" spans="1:11">
      <c r="A2983" t="str">
        <f>"600133"</f>
        <v>600133</v>
      </c>
      <c r="B2983" t="s">
        <v>3327</v>
      </c>
      <c r="C2983">
        <v>113.23</v>
      </c>
      <c r="D2983">
        <v>182.02</v>
      </c>
      <c r="E2983">
        <v>87.75</v>
      </c>
      <c r="F2983">
        <v>10.66</v>
      </c>
      <c r="G2983">
        <v>10.66</v>
      </c>
      <c r="H2983">
        <v>73589</v>
      </c>
      <c r="I2983">
        <v>1.29</v>
      </c>
      <c r="J2983">
        <v>112.22</v>
      </c>
      <c r="K2983" t="s">
        <v>1330</v>
      </c>
    </row>
    <row r="2984" spans="1:11">
      <c r="A2984" t="str">
        <f>"600135"</f>
        <v>600135</v>
      </c>
      <c r="B2984" t="s">
        <v>3328</v>
      </c>
      <c r="C2984">
        <v>63.02</v>
      </c>
      <c r="D2984">
        <v>32.32</v>
      </c>
      <c r="E2984">
        <v>23.85</v>
      </c>
      <c r="F2984">
        <v>5.53</v>
      </c>
      <c r="G2984">
        <v>5.53</v>
      </c>
      <c r="H2984">
        <v>23796</v>
      </c>
      <c r="I2984">
        <v>2.64</v>
      </c>
      <c r="J2984" t="s">
        <v>14</v>
      </c>
      <c r="K2984" t="s">
        <v>549</v>
      </c>
    </row>
    <row r="2985" spans="1:11">
      <c r="A2985" t="str">
        <f>"600136"</f>
        <v>600136</v>
      </c>
      <c r="B2985" t="s">
        <v>3329</v>
      </c>
      <c r="C2985">
        <v>33.03</v>
      </c>
      <c r="D2985">
        <v>8.76</v>
      </c>
      <c r="E2985">
        <v>2.38</v>
      </c>
      <c r="F2985">
        <v>20.41</v>
      </c>
      <c r="G2985">
        <v>19.43</v>
      </c>
      <c r="H2985">
        <v>17742</v>
      </c>
      <c r="I2985">
        <v>14.66</v>
      </c>
      <c r="J2985" t="s">
        <v>14</v>
      </c>
      <c r="K2985" t="s">
        <v>28</v>
      </c>
    </row>
    <row r="2986" spans="1:11">
      <c r="A2986" t="str">
        <f>"600137"</f>
        <v>600137</v>
      </c>
      <c r="B2986" t="s">
        <v>3330</v>
      </c>
      <c r="C2986">
        <v>19.24</v>
      </c>
      <c r="D2986">
        <v>6.82</v>
      </c>
      <c r="E2986">
        <v>5.43</v>
      </c>
      <c r="F2986">
        <v>0.97</v>
      </c>
      <c r="G2986">
        <v>0.97</v>
      </c>
      <c r="H2986">
        <v>12600</v>
      </c>
      <c r="I2986">
        <v>3.55</v>
      </c>
      <c r="J2986">
        <v>73.63</v>
      </c>
      <c r="K2986" t="s">
        <v>1418</v>
      </c>
    </row>
    <row r="2987" spans="1:11">
      <c r="A2987" t="str">
        <f>"600138"</f>
        <v>600138</v>
      </c>
      <c r="B2987" t="s">
        <v>3331</v>
      </c>
      <c r="C2987">
        <v>72.89</v>
      </c>
      <c r="D2987">
        <v>178.22</v>
      </c>
      <c r="E2987">
        <v>63.79</v>
      </c>
      <c r="F2987">
        <v>7.24</v>
      </c>
      <c r="G2987">
        <v>7.24</v>
      </c>
      <c r="H2987">
        <v>69023</v>
      </c>
      <c r="I2987">
        <v>1.14</v>
      </c>
      <c r="J2987">
        <v>45.24</v>
      </c>
      <c r="K2987" t="s">
        <v>819</v>
      </c>
    </row>
    <row r="2988" spans="1:11">
      <c r="A2988" t="str">
        <f>"600141"</f>
        <v>600141</v>
      </c>
      <c r="B2988" t="s">
        <v>3332</v>
      </c>
      <c r="C2988">
        <v>436.34</v>
      </c>
      <c r="D2988">
        <v>517.41</v>
      </c>
      <c r="E2988">
        <v>218.76</v>
      </c>
      <c r="F2988">
        <v>11.03</v>
      </c>
      <c r="G2988">
        <v>11.03</v>
      </c>
      <c r="H2988">
        <v>45398</v>
      </c>
      <c r="I2988">
        <v>2.01</v>
      </c>
      <c r="J2988">
        <v>24.82</v>
      </c>
      <c r="K2988" t="s">
        <v>153</v>
      </c>
    </row>
    <row r="2989" spans="1:11">
      <c r="A2989" t="str">
        <f>"600143"</f>
        <v>600143</v>
      </c>
      <c r="B2989" t="s">
        <v>3333</v>
      </c>
      <c r="C2989">
        <v>523.01</v>
      </c>
      <c r="D2989">
        <v>637.95</v>
      </c>
      <c r="E2989">
        <v>190.86</v>
      </c>
      <c r="F2989">
        <v>26.35</v>
      </c>
      <c r="G2989">
        <v>26.35</v>
      </c>
      <c r="H2989">
        <v>395444</v>
      </c>
      <c r="I2989">
        <v>2.74</v>
      </c>
      <c r="J2989">
        <v>36.85</v>
      </c>
      <c r="K2989" t="s">
        <v>1113</v>
      </c>
    </row>
    <row r="2990" spans="1:11">
      <c r="A2990" t="str">
        <f>"600148"</f>
        <v>600148</v>
      </c>
      <c r="B2990" t="s">
        <v>3334</v>
      </c>
      <c r="C2990">
        <v>28.76</v>
      </c>
      <c r="D2990">
        <v>12.62</v>
      </c>
      <c r="E2990">
        <v>4.75</v>
      </c>
      <c r="F2990">
        <v>1.42</v>
      </c>
      <c r="G2990">
        <v>1.42</v>
      </c>
      <c r="H2990">
        <v>18462</v>
      </c>
      <c r="I2990">
        <v>6.05</v>
      </c>
      <c r="J2990">
        <v>263.94</v>
      </c>
      <c r="K2990" t="s">
        <v>51</v>
      </c>
    </row>
    <row r="2991" spans="1:11">
      <c r="A2991" t="str">
        <f>"600149"</f>
        <v>600149</v>
      </c>
      <c r="B2991" t="s">
        <v>3335</v>
      </c>
      <c r="C2991">
        <v>19.92</v>
      </c>
      <c r="D2991">
        <v>5.76</v>
      </c>
      <c r="E2991">
        <v>2.33</v>
      </c>
      <c r="F2991">
        <v>3.8</v>
      </c>
      <c r="G2991">
        <v>3.8</v>
      </c>
      <c r="H2991">
        <v>29238</v>
      </c>
      <c r="I2991">
        <v>8.55</v>
      </c>
      <c r="J2991">
        <v>1361.18</v>
      </c>
      <c r="K2991" t="s">
        <v>350</v>
      </c>
    </row>
    <row r="2992" spans="1:11">
      <c r="A2992" t="str">
        <f>"600150"</f>
        <v>600150</v>
      </c>
      <c r="B2992" t="s">
        <v>3336</v>
      </c>
      <c r="C2992">
        <v>2688.9</v>
      </c>
      <c r="D2992">
        <v>4060.23</v>
      </c>
      <c r="E2992">
        <v>1411.38</v>
      </c>
      <c r="F2992">
        <v>75.26</v>
      </c>
      <c r="G2992">
        <v>75.26</v>
      </c>
      <c r="H2992">
        <v>916905</v>
      </c>
      <c r="I2992">
        <v>1.91</v>
      </c>
      <c r="J2992">
        <v>34.46</v>
      </c>
      <c r="K2992" t="s">
        <v>1816</v>
      </c>
    </row>
    <row r="2993" spans="1:11">
      <c r="A2993" t="str">
        <f>"600151"</f>
        <v>600151</v>
      </c>
      <c r="B2993" t="s">
        <v>3337</v>
      </c>
      <c r="C2993">
        <v>270.07</v>
      </c>
      <c r="D2993">
        <v>75.57</v>
      </c>
      <c r="E2993">
        <v>46.41</v>
      </c>
      <c r="F2993">
        <v>14.34</v>
      </c>
      <c r="G2993">
        <v>14.34</v>
      </c>
      <c r="H2993">
        <v>76847</v>
      </c>
      <c r="I2993">
        <v>5.82</v>
      </c>
      <c r="J2993" t="s">
        <v>14</v>
      </c>
      <c r="K2993" t="s">
        <v>815</v>
      </c>
    </row>
    <row r="2994" spans="1:11">
      <c r="A2994" t="str">
        <f>"600152"</f>
        <v>600152</v>
      </c>
      <c r="B2994" t="s">
        <v>3338</v>
      </c>
      <c r="C2994">
        <v>42.11</v>
      </c>
      <c r="D2994">
        <v>27.76</v>
      </c>
      <c r="E2994">
        <v>17.03</v>
      </c>
      <c r="F2994">
        <v>5.29</v>
      </c>
      <c r="G2994">
        <v>5.29</v>
      </c>
      <c r="H2994">
        <v>53735</v>
      </c>
      <c r="I2994">
        <v>2.47</v>
      </c>
      <c r="J2994" t="s">
        <v>14</v>
      </c>
      <c r="K2994" t="s">
        <v>70</v>
      </c>
    </row>
    <row r="2995" spans="1:11">
      <c r="A2995" t="str">
        <f>"600153"</f>
        <v>600153</v>
      </c>
      <c r="B2995" t="s">
        <v>3339</v>
      </c>
      <c r="C2995">
        <v>271.11</v>
      </c>
      <c r="D2995">
        <v>8873.22</v>
      </c>
      <c r="E2995">
        <v>722.62</v>
      </c>
      <c r="F2995">
        <v>29</v>
      </c>
      <c r="G2995">
        <v>29</v>
      </c>
      <c r="H2995">
        <v>58240</v>
      </c>
      <c r="I2995">
        <v>0.49</v>
      </c>
      <c r="J2995">
        <v>17.7</v>
      </c>
      <c r="K2995" t="s">
        <v>536</v>
      </c>
    </row>
    <row r="2996" spans="1:11">
      <c r="A2996" t="str">
        <f>"600155"</f>
        <v>600155</v>
      </c>
      <c r="B2996" t="s">
        <v>3340</v>
      </c>
      <c r="C2996">
        <v>154.73</v>
      </c>
      <c r="D2996">
        <v>599.97</v>
      </c>
      <c r="E2996">
        <v>199.86</v>
      </c>
      <c r="F2996">
        <v>22.14</v>
      </c>
      <c r="G2996">
        <v>22.14</v>
      </c>
      <c r="H2996">
        <v>57977</v>
      </c>
      <c r="I2996">
        <v>0.77</v>
      </c>
      <c r="J2996">
        <v>56.7</v>
      </c>
      <c r="K2996" t="s">
        <v>120</v>
      </c>
    </row>
    <row r="2997" spans="1:11">
      <c r="A2997" t="str">
        <f>"600156"</f>
        <v>600156</v>
      </c>
      <c r="B2997" t="s">
        <v>3341</v>
      </c>
      <c r="C2997">
        <v>32.09</v>
      </c>
      <c r="D2997">
        <v>8.25</v>
      </c>
      <c r="E2997">
        <v>3.95</v>
      </c>
      <c r="F2997">
        <v>4.02</v>
      </c>
      <c r="G2997">
        <v>4.02</v>
      </c>
      <c r="H2997">
        <v>29669</v>
      </c>
      <c r="I2997">
        <v>8.13</v>
      </c>
      <c r="J2997" t="s">
        <v>14</v>
      </c>
      <c r="K2997" t="s">
        <v>577</v>
      </c>
    </row>
    <row r="2998" spans="1:11">
      <c r="A2998" t="str">
        <f>"600157"</f>
        <v>600157</v>
      </c>
      <c r="B2998" t="s">
        <v>3342</v>
      </c>
      <c r="C2998">
        <v>359.99</v>
      </c>
      <c r="D2998">
        <v>1083.33</v>
      </c>
      <c r="E2998">
        <v>470.64</v>
      </c>
      <c r="F2998">
        <v>218.18</v>
      </c>
      <c r="G2998">
        <v>218.18</v>
      </c>
      <c r="H2998">
        <v>588654</v>
      </c>
      <c r="I2998">
        <v>0.76</v>
      </c>
      <c r="J2998">
        <v>136.45</v>
      </c>
      <c r="K2998" t="s">
        <v>46</v>
      </c>
    </row>
    <row r="2999" spans="1:11">
      <c r="A2999" t="str">
        <f>"600158"</f>
        <v>600158</v>
      </c>
      <c r="B2999" t="s">
        <v>3343</v>
      </c>
      <c r="C2999">
        <v>86.55</v>
      </c>
      <c r="D2999">
        <v>59.5</v>
      </c>
      <c r="E2999">
        <v>25.98</v>
      </c>
      <c r="F2999">
        <v>9.6</v>
      </c>
      <c r="G2999">
        <v>9.6</v>
      </c>
      <c r="H2999">
        <v>79048</v>
      </c>
      <c r="I2999">
        <v>3.33</v>
      </c>
      <c r="J2999" t="s">
        <v>14</v>
      </c>
      <c r="K2999" t="s">
        <v>1630</v>
      </c>
    </row>
    <row r="3000" spans="1:11">
      <c r="A3000" t="str">
        <f>"600159"</f>
        <v>600159</v>
      </c>
      <c r="B3000" t="s">
        <v>3344</v>
      </c>
      <c r="C3000">
        <v>23.24</v>
      </c>
      <c r="D3000">
        <v>32.46</v>
      </c>
      <c r="E3000">
        <v>17.17</v>
      </c>
      <c r="F3000">
        <v>8.3</v>
      </c>
      <c r="G3000">
        <v>8.3</v>
      </c>
      <c r="H3000">
        <v>40757</v>
      </c>
      <c r="I3000">
        <v>1.35</v>
      </c>
      <c r="J3000" t="s">
        <v>14</v>
      </c>
      <c r="K3000" t="s">
        <v>15</v>
      </c>
    </row>
    <row r="3001" spans="1:11">
      <c r="A3001" t="str">
        <f>"600160"</f>
        <v>600160</v>
      </c>
      <c r="B3001" t="s">
        <v>3345</v>
      </c>
      <c r="C3001">
        <v>985.68</v>
      </c>
      <c r="D3001">
        <v>342.49</v>
      </c>
      <c r="E3001">
        <v>204.35</v>
      </c>
      <c r="F3001">
        <v>27</v>
      </c>
      <c r="G3001">
        <v>27</v>
      </c>
      <c r="H3001">
        <v>76758</v>
      </c>
      <c r="I3001">
        <v>4.82</v>
      </c>
      <c r="J3001">
        <v>22.76</v>
      </c>
      <c r="K3001" t="s">
        <v>1115</v>
      </c>
    </row>
    <row r="3002" spans="1:11">
      <c r="A3002" t="str">
        <f>"600161"</f>
        <v>600161</v>
      </c>
      <c r="B3002" t="s">
        <v>3346</v>
      </c>
      <c r="C3002">
        <v>338.33</v>
      </c>
      <c r="D3002">
        <v>165.51</v>
      </c>
      <c r="E3002">
        <v>114.63</v>
      </c>
      <c r="F3002">
        <v>19.77</v>
      </c>
      <c r="G3002">
        <v>19.77</v>
      </c>
      <c r="H3002">
        <v>79044</v>
      </c>
      <c r="I3002">
        <v>2.95</v>
      </c>
      <c r="J3002">
        <v>30.99</v>
      </c>
      <c r="K3002" t="s">
        <v>132</v>
      </c>
    </row>
    <row r="3003" spans="1:11">
      <c r="A3003" t="str">
        <f>"600162"</f>
        <v>600162</v>
      </c>
      <c r="B3003" t="s">
        <v>3347</v>
      </c>
      <c r="C3003">
        <v>62.75</v>
      </c>
      <c r="D3003">
        <v>162.84</v>
      </c>
      <c r="E3003">
        <v>57.82</v>
      </c>
      <c r="F3003">
        <v>32.68</v>
      </c>
      <c r="G3003">
        <v>32.68</v>
      </c>
      <c r="H3003">
        <v>75857</v>
      </c>
      <c r="I3003">
        <v>1.09</v>
      </c>
      <c r="J3003" t="s">
        <v>14</v>
      </c>
      <c r="K3003" t="s">
        <v>15</v>
      </c>
    </row>
    <row r="3004" spans="1:11">
      <c r="A3004" t="str">
        <f>"600163"</f>
        <v>600163</v>
      </c>
      <c r="B3004" t="s">
        <v>3348</v>
      </c>
      <c r="C3004">
        <v>103.71</v>
      </c>
      <c r="D3004">
        <v>114.67</v>
      </c>
      <c r="E3004">
        <v>69.48</v>
      </c>
      <c r="F3004">
        <v>19.03</v>
      </c>
      <c r="G3004">
        <v>19.03</v>
      </c>
      <c r="H3004">
        <v>39346</v>
      </c>
      <c r="I3004">
        <v>1.49</v>
      </c>
      <c r="J3004">
        <v>23.71</v>
      </c>
      <c r="K3004" t="s">
        <v>111</v>
      </c>
    </row>
    <row r="3005" spans="1:11">
      <c r="A3005" t="str">
        <f>"600165"</f>
        <v>600165</v>
      </c>
      <c r="B3005" t="s">
        <v>3349</v>
      </c>
      <c r="C3005">
        <v>29.1</v>
      </c>
      <c r="D3005">
        <v>22.26</v>
      </c>
      <c r="E3005">
        <v>-1.79</v>
      </c>
      <c r="F3005">
        <v>16.16</v>
      </c>
      <c r="G3005">
        <v>7.33</v>
      </c>
      <c r="H3005">
        <v>17944</v>
      </c>
      <c r="I3005">
        <v>-15.15</v>
      </c>
      <c r="J3005" t="s">
        <v>14</v>
      </c>
      <c r="K3005" t="s">
        <v>511</v>
      </c>
    </row>
    <row r="3006" spans="1:11">
      <c r="A3006" t="str">
        <f>"600166"</f>
        <v>600166</v>
      </c>
      <c r="B3006" t="s">
        <v>3350</v>
      </c>
      <c r="C3006">
        <v>229.6</v>
      </c>
      <c r="D3006">
        <v>580.93</v>
      </c>
      <c r="E3006">
        <v>153.63</v>
      </c>
      <c r="F3006">
        <v>79.17</v>
      </c>
      <c r="G3006">
        <v>79.17</v>
      </c>
      <c r="H3006">
        <v>120128</v>
      </c>
      <c r="I3006">
        <v>1.49</v>
      </c>
      <c r="J3006">
        <v>15.48</v>
      </c>
      <c r="K3006" t="s">
        <v>226</v>
      </c>
    </row>
    <row r="3007" spans="1:11">
      <c r="A3007" t="str">
        <f>"600167"</f>
        <v>600167</v>
      </c>
      <c r="B3007" t="s">
        <v>3351</v>
      </c>
      <c r="C3007">
        <v>164.73</v>
      </c>
      <c r="D3007">
        <v>160.33</v>
      </c>
      <c r="E3007">
        <v>108.41</v>
      </c>
      <c r="F3007">
        <v>22.63</v>
      </c>
      <c r="G3007">
        <v>22.63</v>
      </c>
      <c r="H3007">
        <v>50226</v>
      </c>
      <c r="I3007">
        <v>1.52</v>
      </c>
      <c r="J3007">
        <v>22.75</v>
      </c>
      <c r="K3007" t="s">
        <v>350</v>
      </c>
    </row>
    <row r="3008" spans="1:11">
      <c r="A3008" t="str">
        <f>"600168"</f>
        <v>600168</v>
      </c>
      <c r="B3008" t="s">
        <v>3352</v>
      </c>
      <c r="C3008">
        <v>51.46</v>
      </c>
      <c r="D3008">
        <v>244.39</v>
      </c>
      <c r="E3008">
        <v>63.65</v>
      </c>
      <c r="F3008">
        <v>9.93</v>
      </c>
      <c r="G3008">
        <v>9.93</v>
      </c>
      <c r="H3008">
        <v>29759</v>
      </c>
      <c r="I3008">
        <v>0.96</v>
      </c>
      <c r="J3008">
        <v>46.54</v>
      </c>
      <c r="K3008" t="s">
        <v>274</v>
      </c>
    </row>
    <row r="3009" spans="1:11">
      <c r="A3009" t="str">
        <f>"600169"</f>
        <v>600169</v>
      </c>
      <c r="B3009" t="s">
        <v>3353</v>
      </c>
      <c r="C3009">
        <v>83</v>
      </c>
      <c r="D3009">
        <v>323.88</v>
      </c>
      <c r="E3009">
        <v>50.94</v>
      </c>
      <c r="F3009">
        <v>33.47</v>
      </c>
      <c r="G3009">
        <v>33.33</v>
      </c>
      <c r="H3009">
        <v>110184</v>
      </c>
      <c r="I3009">
        <v>1.64</v>
      </c>
      <c r="J3009">
        <v>73.48</v>
      </c>
      <c r="K3009" t="s">
        <v>491</v>
      </c>
    </row>
    <row r="3010" spans="1:11">
      <c r="A3010" t="str">
        <f>"600170"</f>
        <v>600170</v>
      </c>
      <c r="B3010" t="s">
        <v>3354</v>
      </c>
      <c r="C3010">
        <v>272.8</v>
      </c>
      <c r="D3010">
        <v>3603.88</v>
      </c>
      <c r="E3010">
        <v>504.2</v>
      </c>
      <c r="F3010">
        <v>88.86</v>
      </c>
      <c r="G3010">
        <v>88.86</v>
      </c>
      <c r="H3010">
        <v>380300</v>
      </c>
      <c r="I3010">
        <v>0.86</v>
      </c>
      <c r="J3010">
        <v>16.89</v>
      </c>
      <c r="K3010" t="s">
        <v>299</v>
      </c>
    </row>
    <row r="3011" spans="1:11">
      <c r="A3011" t="str">
        <f>"600171"</f>
        <v>600171</v>
      </c>
      <c r="B3011" t="s">
        <v>3355</v>
      </c>
      <c r="C3011">
        <v>229.55</v>
      </c>
      <c r="D3011">
        <v>51.57</v>
      </c>
      <c r="E3011">
        <v>44.93</v>
      </c>
      <c r="F3011">
        <v>7.09</v>
      </c>
      <c r="G3011">
        <v>7.09</v>
      </c>
      <c r="H3011">
        <v>226026</v>
      </c>
      <c r="I3011">
        <v>5.11</v>
      </c>
      <c r="J3011">
        <v>84.29</v>
      </c>
      <c r="K3011" t="s">
        <v>691</v>
      </c>
    </row>
    <row r="3012" spans="1:11">
      <c r="A3012" t="str">
        <f>"600172"</f>
        <v>600172</v>
      </c>
      <c r="B3012" t="s">
        <v>3356</v>
      </c>
      <c r="C3012">
        <v>79</v>
      </c>
      <c r="D3012">
        <v>77.67</v>
      </c>
      <c r="E3012">
        <v>9.87</v>
      </c>
      <c r="F3012">
        <v>14.42</v>
      </c>
      <c r="G3012">
        <v>12.76</v>
      </c>
      <c r="H3012">
        <v>152000</v>
      </c>
      <c r="I3012">
        <v>9.04</v>
      </c>
      <c r="J3012" t="s">
        <v>14</v>
      </c>
      <c r="K3012" t="s">
        <v>1069</v>
      </c>
    </row>
    <row r="3013" spans="1:11">
      <c r="A3013" t="str">
        <f>"600173"</f>
        <v>600173</v>
      </c>
      <c r="B3013" t="s">
        <v>3357</v>
      </c>
      <c r="C3013">
        <v>50.64</v>
      </c>
      <c r="D3013">
        <v>85.54</v>
      </c>
      <c r="E3013">
        <v>38.29</v>
      </c>
      <c r="F3013">
        <v>7.01</v>
      </c>
      <c r="G3013">
        <v>7</v>
      </c>
      <c r="H3013">
        <v>59137</v>
      </c>
      <c r="I3013">
        <v>1.32</v>
      </c>
      <c r="J3013">
        <v>50.15</v>
      </c>
      <c r="K3013" t="s">
        <v>15</v>
      </c>
    </row>
    <row r="3014" spans="1:11">
      <c r="A3014" t="str">
        <f>"600176"</f>
        <v>600176</v>
      </c>
      <c r="B3014" t="s">
        <v>3358</v>
      </c>
      <c r="C3014">
        <v>702.95</v>
      </c>
      <c r="D3014">
        <v>545.51</v>
      </c>
      <c r="E3014">
        <v>316.12</v>
      </c>
      <c r="F3014">
        <v>40.03</v>
      </c>
      <c r="G3014">
        <v>40.03</v>
      </c>
      <c r="H3014">
        <v>106932</v>
      </c>
      <c r="I3014">
        <v>2.22</v>
      </c>
      <c r="J3014">
        <v>20.53</v>
      </c>
      <c r="K3014" t="s">
        <v>842</v>
      </c>
    </row>
    <row r="3015" spans="1:11">
      <c r="A3015" t="str">
        <f>"600177"</f>
        <v>600177</v>
      </c>
      <c r="B3015" t="s">
        <v>3359</v>
      </c>
      <c r="C3015">
        <v>342.13</v>
      </c>
      <c r="D3015">
        <v>734.02</v>
      </c>
      <c r="E3015">
        <v>428.16</v>
      </c>
      <c r="F3015">
        <v>46.23</v>
      </c>
      <c r="G3015">
        <v>46.23</v>
      </c>
      <c r="H3015">
        <v>85396</v>
      </c>
      <c r="I3015">
        <v>0.8</v>
      </c>
      <c r="J3015">
        <v>10.92</v>
      </c>
      <c r="K3015" t="s">
        <v>622</v>
      </c>
    </row>
    <row r="3016" spans="1:11">
      <c r="A3016" t="str">
        <f>"600178"</f>
        <v>600178</v>
      </c>
      <c r="B3016" t="s">
        <v>3360</v>
      </c>
      <c r="C3016">
        <v>59.57</v>
      </c>
      <c r="D3016">
        <v>77.29</v>
      </c>
      <c r="E3016">
        <v>25.44</v>
      </c>
      <c r="F3016">
        <v>4.66</v>
      </c>
      <c r="G3016">
        <v>4.66</v>
      </c>
      <c r="H3016">
        <v>62106</v>
      </c>
      <c r="I3016">
        <v>2.34</v>
      </c>
      <c r="J3016" t="s">
        <v>14</v>
      </c>
      <c r="K3016" t="s">
        <v>51</v>
      </c>
    </row>
    <row r="3017" spans="1:11">
      <c r="A3017" t="str">
        <f>"600179"</f>
        <v>600179</v>
      </c>
      <c r="B3017" t="s">
        <v>3361</v>
      </c>
      <c r="C3017">
        <v>199.68</v>
      </c>
      <c r="D3017">
        <v>147.37</v>
      </c>
      <c r="E3017">
        <v>114.36</v>
      </c>
      <c r="F3017">
        <v>42.32</v>
      </c>
      <c r="G3017">
        <v>38.62</v>
      </c>
      <c r="H3017">
        <v>40063</v>
      </c>
      <c r="I3017">
        <v>1.91</v>
      </c>
      <c r="J3017">
        <v>24.71</v>
      </c>
      <c r="K3017" t="s">
        <v>188</v>
      </c>
    </row>
    <row r="3018" spans="1:11">
      <c r="A3018" t="str">
        <f>"600180"</f>
        <v>600180</v>
      </c>
      <c r="B3018" t="s">
        <v>3362</v>
      </c>
      <c r="C3018">
        <v>39.23</v>
      </c>
      <c r="D3018">
        <v>308.54</v>
      </c>
      <c r="E3018">
        <v>78.82</v>
      </c>
      <c r="F3018">
        <v>10.87</v>
      </c>
      <c r="G3018">
        <v>10.87</v>
      </c>
      <c r="H3018">
        <v>28992</v>
      </c>
      <c r="I3018">
        <v>0.5</v>
      </c>
      <c r="J3018">
        <v>39.35</v>
      </c>
      <c r="K3018" t="s">
        <v>536</v>
      </c>
    </row>
    <row r="3019" spans="1:11">
      <c r="A3019" t="str">
        <f>"600182"</f>
        <v>600182</v>
      </c>
      <c r="B3019" t="s">
        <v>3363</v>
      </c>
      <c r="C3019">
        <v>25.79</v>
      </c>
      <c r="D3019">
        <v>44.78</v>
      </c>
      <c r="E3019">
        <v>11.27</v>
      </c>
      <c r="F3019">
        <v>3.4</v>
      </c>
      <c r="G3019">
        <v>1.7</v>
      </c>
      <c r="H3019">
        <v>19986</v>
      </c>
      <c r="I3019">
        <v>4.57</v>
      </c>
      <c r="J3019">
        <v>31.79</v>
      </c>
      <c r="K3019" t="s">
        <v>263</v>
      </c>
    </row>
    <row r="3020" spans="1:11">
      <c r="A3020" t="str">
        <f>"600183"</f>
        <v>600183</v>
      </c>
      <c r="B3020" t="s">
        <v>3364</v>
      </c>
      <c r="C3020">
        <v>1600.48</v>
      </c>
      <c r="D3020">
        <v>320.41</v>
      </c>
      <c r="E3020">
        <v>155.33</v>
      </c>
      <c r="F3020">
        <v>24.29</v>
      </c>
      <c r="G3020">
        <v>23.95</v>
      </c>
      <c r="H3020">
        <v>94728</v>
      </c>
      <c r="I3020">
        <v>10.45</v>
      </c>
      <c r="J3020">
        <v>49.84</v>
      </c>
      <c r="K3020" t="s">
        <v>472</v>
      </c>
    </row>
    <row r="3021" spans="1:11">
      <c r="A3021" t="str">
        <f>"600184"</f>
        <v>600184</v>
      </c>
      <c r="B3021" t="s">
        <v>3365</v>
      </c>
      <c r="C3021">
        <v>100.33</v>
      </c>
      <c r="D3021">
        <v>51.23</v>
      </c>
      <c r="E3021">
        <v>33.88</v>
      </c>
      <c r="F3021">
        <v>5.83</v>
      </c>
      <c r="G3021">
        <v>5.09</v>
      </c>
      <c r="H3021">
        <v>50546</v>
      </c>
      <c r="I3021">
        <v>3.39</v>
      </c>
      <c r="J3021">
        <v>349.42</v>
      </c>
      <c r="K3021" t="s">
        <v>186</v>
      </c>
    </row>
    <row r="3022" spans="1:11">
      <c r="A3022" t="str">
        <f>"600185"</f>
        <v>600185</v>
      </c>
      <c r="B3022" t="s">
        <v>3366</v>
      </c>
      <c r="C3022">
        <v>120.64</v>
      </c>
      <c r="D3022">
        <v>172.6</v>
      </c>
      <c r="E3022">
        <v>5.73</v>
      </c>
      <c r="F3022">
        <v>18.85</v>
      </c>
      <c r="G3022">
        <v>18.85</v>
      </c>
      <c r="H3022">
        <v>58131</v>
      </c>
      <c r="I3022">
        <v>21.05</v>
      </c>
      <c r="J3022" t="s">
        <v>14</v>
      </c>
      <c r="K3022" t="s">
        <v>194</v>
      </c>
    </row>
    <row r="3023" spans="1:11">
      <c r="A3023" t="str">
        <f>"600186"</f>
        <v>600186</v>
      </c>
      <c r="B3023" t="s">
        <v>3367</v>
      </c>
      <c r="C3023">
        <v>113.61</v>
      </c>
      <c r="D3023">
        <v>32.73</v>
      </c>
      <c r="E3023">
        <v>19.07</v>
      </c>
      <c r="F3023">
        <v>17.93</v>
      </c>
      <c r="G3023">
        <v>17.89</v>
      </c>
      <c r="H3023">
        <v>143748</v>
      </c>
      <c r="I3023">
        <v>5.97</v>
      </c>
      <c r="J3023">
        <v>33.78</v>
      </c>
      <c r="K3023" t="s">
        <v>1281</v>
      </c>
    </row>
    <row r="3024" spans="1:11">
      <c r="A3024" t="str">
        <f>"600187"</f>
        <v>600187</v>
      </c>
      <c r="B3024" t="s">
        <v>3368</v>
      </c>
      <c r="C3024">
        <v>41.31</v>
      </c>
      <c r="D3024">
        <v>34.84</v>
      </c>
      <c r="E3024">
        <v>31.81</v>
      </c>
      <c r="F3024">
        <v>16.14</v>
      </c>
      <c r="G3024">
        <v>16.14</v>
      </c>
      <c r="H3024">
        <v>109700</v>
      </c>
      <c r="I3024">
        <v>1.3</v>
      </c>
      <c r="J3024" t="s">
        <v>14</v>
      </c>
      <c r="K3024" t="s">
        <v>274</v>
      </c>
    </row>
    <row r="3025" spans="1:11">
      <c r="A3025" t="str">
        <f>"600188"</f>
        <v>600188</v>
      </c>
      <c r="B3025" t="s">
        <v>3369</v>
      </c>
      <c r="C3025">
        <v>829.35</v>
      </c>
      <c r="D3025">
        <v>4319</v>
      </c>
      <c r="E3025">
        <v>770.6</v>
      </c>
      <c r="F3025">
        <v>100.37</v>
      </c>
      <c r="G3025">
        <v>59.24</v>
      </c>
      <c r="H3025">
        <v>134248</v>
      </c>
      <c r="I3025">
        <v>2.69</v>
      </c>
      <c r="J3025">
        <v>14.8</v>
      </c>
      <c r="K3025" t="s">
        <v>230</v>
      </c>
    </row>
    <row r="3026" spans="1:11">
      <c r="A3026" t="str">
        <f>"600189"</f>
        <v>600189</v>
      </c>
      <c r="B3026" t="s">
        <v>3370</v>
      </c>
      <c r="C3026">
        <v>52.42</v>
      </c>
      <c r="D3026">
        <v>43.76</v>
      </c>
      <c r="E3026">
        <v>12.36</v>
      </c>
      <c r="F3026">
        <v>7.15</v>
      </c>
      <c r="G3026">
        <v>7.15</v>
      </c>
      <c r="H3026">
        <v>40035</v>
      </c>
      <c r="I3026">
        <v>4.24</v>
      </c>
      <c r="J3026">
        <v>159.35</v>
      </c>
      <c r="K3026" t="s">
        <v>488</v>
      </c>
    </row>
    <row r="3027" spans="1:11">
      <c r="A3027" t="str">
        <f>"600191"</f>
        <v>600191</v>
      </c>
      <c r="B3027" t="s">
        <v>3371</v>
      </c>
      <c r="C3027">
        <v>61.39</v>
      </c>
      <c r="D3027">
        <v>23.22</v>
      </c>
      <c r="E3027">
        <v>16.93</v>
      </c>
      <c r="F3027">
        <v>4.85</v>
      </c>
      <c r="G3027">
        <v>4.85</v>
      </c>
      <c r="H3027">
        <v>19496</v>
      </c>
      <c r="I3027">
        <v>3.63</v>
      </c>
      <c r="J3027">
        <v>80.4</v>
      </c>
      <c r="K3027" t="s">
        <v>192</v>
      </c>
    </row>
    <row r="3028" spans="1:11">
      <c r="A3028" t="str">
        <f>"600192"</f>
        <v>600192</v>
      </c>
      <c r="B3028" t="s">
        <v>3372</v>
      </c>
      <c r="C3028">
        <v>47.27</v>
      </c>
      <c r="D3028">
        <v>46.54</v>
      </c>
      <c r="E3028">
        <v>10.14</v>
      </c>
      <c r="F3028">
        <v>4.42</v>
      </c>
      <c r="G3028">
        <v>4.42</v>
      </c>
      <c r="H3028">
        <v>55192</v>
      </c>
      <c r="I3028">
        <v>4.66</v>
      </c>
      <c r="J3028" t="s">
        <v>14</v>
      </c>
      <c r="K3028" t="s">
        <v>208</v>
      </c>
    </row>
    <row r="3029" spans="1:11">
      <c r="A3029" t="str">
        <f>"600193"</f>
        <v>600193</v>
      </c>
      <c r="B3029" t="s">
        <v>3373</v>
      </c>
      <c r="C3029">
        <v>17.78</v>
      </c>
      <c r="D3029">
        <v>5.49</v>
      </c>
      <c r="E3029">
        <v>0.89</v>
      </c>
      <c r="F3029">
        <v>4.25</v>
      </c>
      <c r="G3029">
        <v>4.25</v>
      </c>
      <c r="H3029">
        <v>21917</v>
      </c>
      <c r="I3029">
        <v>20</v>
      </c>
      <c r="J3029" t="s">
        <v>14</v>
      </c>
      <c r="K3029" t="s">
        <v>804</v>
      </c>
    </row>
    <row r="3030" spans="1:11">
      <c r="A3030" t="str">
        <f>"600195"</f>
        <v>600195</v>
      </c>
      <c r="B3030" t="s">
        <v>3374</v>
      </c>
      <c r="C3030">
        <v>80.87</v>
      </c>
      <c r="D3030">
        <v>93.2</v>
      </c>
      <c r="E3030">
        <v>57.17</v>
      </c>
      <c r="F3030">
        <v>10.21</v>
      </c>
      <c r="G3030">
        <v>10.21</v>
      </c>
      <c r="H3030">
        <v>36856</v>
      </c>
      <c r="I3030">
        <v>1.41</v>
      </c>
      <c r="J3030">
        <v>26.92</v>
      </c>
      <c r="K3030" t="s">
        <v>912</v>
      </c>
    </row>
    <row r="3031" spans="1:11">
      <c r="A3031" t="str">
        <f>"600196"</f>
        <v>600196</v>
      </c>
      <c r="B3031" t="s">
        <v>3375</v>
      </c>
      <c r="C3031">
        <v>594.66</v>
      </c>
      <c r="D3031">
        <v>1181.21</v>
      </c>
      <c r="E3031">
        <v>480.29</v>
      </c>
      <c r="F3031">
        <v>26.7</v>
      </c>
      <c r="G3031">
        <v>21.18</v>
      </c>
      <c r="H3031">
        <v>225464</v>
      </c>
      <c r="I3031">
        <v>1.56</v>
      </c>
      <c r="J3031">
        <v>22.28</v>
      </c>
      <c r="K3031" t="s">
        <v>109</v>
      </c>
    </row>
    <row r="3032" spans="1:11">
      <c r="A3032" t="str">
        <f>"600197"</f>
        <v>600197</v>
      </c>
      <c r="B3032" t="s">
        <v>3376</v>
      </c>
      <c r="C3032">
        <v>65.96</v>
      </c>
      <c r="D3032">
        <v>58.15</v>
      </c>
      <c r="E3032">
        <v>38.18</v>
      </c>
      <c r="F3032">
        <v>4.73</v>
      </c>
      <c r="G3032">
        <v>4.73</v>
      </c>
      <c r="H3032">
        <v>57271</v>
      </c>
      <c r="I3032">
        <v>1.73</v>
      </c>
      <c r="J3032">
        <v>36.04</v>
      </c>
      <c r="K3032" t="s">
        <v>251</v>
      </c>
    </row>
    <row r="3033" spans="1:11">
      <c r="A3033" t="str">
        <f>"600198"</f>
        <v>600198</v>
      </c>
      <c r="B3033" t="s">
        <v>3377</v>
      </c>
      <c r="C3033">
        <v>148.81</v>
      </c>
      <c r="D3033">
        <v>29.07</v>
      </c>
      <c r="E3033">
        <v>2.74</v>
      </c>
      <c r="F3033">
        <v>13.04</v>
      </c>
      <c r="G3033">
        <v>13.02</v>
      </c>
      <c r="H3033">
        <v>106159</v>
      </c>
      <c r="I3033">
        <v>54.43</v>
      </c>
      <c r="J3033" t="s">
        <v>14</v>
      </c>
      <c r="K3033" t="s">
        <v>84</v>
      </c>
    </row>
    <row r="3034" spans="1:11">
      <c r="A3034" t="str">
        <f>"600199"</f>
        <v>600199</v>
      </c>
      <c r="B3034" t="s">
        <v>3378</v>
      </c>
      <c r="C3034">
        <v>63.74</v>
      </c>
      <c r="D3034">
        <v>31.86</v>
      </c>
      <c r="E3034">
        <v>20.68</v>
      </c>
      <c r="F3034">
        <v>6.58</v>
      </c>
      <c r="G3034">
        <v>6.58</v>
      </c>
      <c r="H3034">
        <v>115792</v>
      </c>
      <c r="I3034">
        <v>3.08</v>
      </c>
      <c r="J3034" t="s">
        <v>14</v>
      </c>
      <c r="K3034" t="s">
        <v>251</v>
      </c>
    </row>
    <row r="3035" spans="1:11">
      <c r="A3035" t="str">
        <f>"600201"</f>
        <v>600201</v>
      </c>
      <c r="B3035" t="s">
        <v>3379</v>
      </c>
      <c r="C3035">
        <v>192.33</v>
      </c>
      <c r="D3035">
        <v>67.34</v>
      </c>
      <c r="E3035">
        <v>54.69</v>
      </c>
      <c r="F3035">
        <v>11.12</v>
      </c>
      <c r="G3035">
        <v>11.12</v>
      </c>
      <c r="H3035">
        <v>49033</v>
      </c>
      <c r="I3035">
        <v>3.52</v>
      </c>
      <c r="J3035">
        <v>89.42</v>
      </c>
      <c r="K3035" t="s">
        <v>912</v>
      </c>
    </row>
    <row r="3036" spans="1:11">
      <c r="A3036" t="str">
        <f>"600202"</f>
        <v>600202</v>
      </c>
      <c r="B3036" t="s">
        <v>3380</v>
      </c>
      <c r="C3036">
        <v>22.85</v>
      </c>
      <c r="D3036">
        <v>27.36</v>
      </c>
      <c r="E3036">
        <v>8.07</v>
      </c>
      <c r="F3036">
        <v>3.83</v>
      </c>
      <c r="G3036">
        <v>3.83</v>
      </c>
      <c r="H3036">
        <v>23500</v>
      </c>
      <c r="I3036">
        <v>2.83</v>
      </c>
      <c r="J3036" t="s">
        <v>14</v>
      </c>
      <c r="K3036" t="s">
        <v>203</v>
      </c>
    </row>
    <row r="3037" spans="1:11">
      <c r="A3037" t="str">
        <f>"600203"</f>
        <v>600203</v>
      </c>
      <c r="B3037" t="s">
        <v>3381</v>
      </c>
      <c r="C3037">
        <v>80.35</v>
      </c>
      <c r="D3037">
        <v>85.33</v>
      </c>
      <c r="E3037">
        <v>17.34</v>
      </c>
      <c r="F3037">
        <v>5.93</v>
      </c>
      <c r="G3037">
        <v>5.93</v>
      </c>
      <c r="H3037">
        <v>142465</v>
      </c>
      <c r="I3037">
        <v>4.63</v>
      </c>
      <c r="J3037">
        <v>68.98</v>
      </c>
      <c r="K3037" t="s">
        <v>41</v>
      </c>
    </row>
    <row r="3038" spans="1:11">
      <c r="A3038" t="str">
        <f>"600206"</f>
        <v>600206</v>
      </c>
      <c r="B3038" t="s">
        <v>3382</v>
      </c>
      <c r="C3038">
        <v>182.6</v>
      </c>
      <c r="D3038">
        <v>76.52</v>
      </c>
      <c r="E3038">
        <v>42.36</v>
      </c>
      <c r="F3038">
        <v>8.47</v>
      </c>
      <c r="G3038">
        <v>8.47</v>
      </c>
      <c r="H3038">
        <v>147695</v>
      </c>
      <c r="I3038">
        <v>4.31</v>
      </c>
      <c r="J3038">
        <v>55.82</v>
      </c>
      <c r="K3038" t="s">
        <v>884</v>
      </c>
    </row>
    <row r="3039" spans="1:11">
      <c r="A3039" t="str">
        <f>"600207"</f>
        <v>600207</v>
      </c>
      <c r="B3039" t="s">
        <v>3383</v>
      </c>
      <c r="C3039">
        <v>52.61</v>
      </c>
      <c r="D3039">
        <v>64.94</v>
      </c>
      <c r="E3039">
        <v>23.92</v>
      </c>
      <c r="F3039">
        <v>10.89</v>
      </c>
      <c r="G3039">
        <v>10.89</v>
      </c>
      <c r="H3039">
        <v>41000</v>
      </c>
      <c r="I3039">
        <v>2.2</v>
      </c>
      <c r="J3039" t="s">
        <v>14</v>
      </c>
      <c r="K3039" t="s">
        <v>667</v>
      </c>
    </row>
    <row r="3040" spans="1:11">
      <c r="A3040" t="str">
        <f>"600208"</f>
        <v>600208</v>
      </c>
      <c r="B3040" t="s">
        <v>3384</v>
      </c>
      <c r="C3040">
        <v>347.98</v>
      </c>
      <c r="D3040">
        <v>970.47</v>
      </c>
      <c r="E3040">
        <v>416.3</v>
      </c>
      <c r="F3040">
        <v>85.09</v>
      </c>
      <c r="G3040">
        <v>85.08</v>
      </c>
      <c r="H3040">
        <v>111009</v>
      </c>
      <c r="I3040">
        <v>0.84</v>
      </c>
      <c r="J3040">
        <v>48.24</v>
      </c>
      <c r="K3040" t="s">
        <v>15</v>
      </c>
    </row>
    <row r="3041" spans="1:11">
      <c r="A3041" t="str">
        <f>"600210"</f>
        <v>600210</v>
      </c>
      <c r="B3041" t="s">
        <v>3385</v>
      </c>
      <c r="C3041">
        <v>113.6</v>
      </c>
      <c r="D3041">
        <v>133.64</v>
      </c>
      <c r="E3041">
        <v>66.68</v>
      </c>
      <c r="F3041">
        <v>15.17</v>
      </c>
      <c r="G3041">
        <v>15.17</v>
      </c>
      <c r="H3041">
        <v>85646</v>
      </c>
      <c r="I3041">
        <v>1.7</v>
      </c>
      <c r="J3041">
        <v>8.82</v>
      </c>
      <c r="K3041" t="s">
        <v>324</v>
      </c>
    </row>
    <row r="3042" spans="1:11">
      <c r="A3042" t="str">
        <f>"600211"</f>
        <v>600211</v>
      </c>
      <c r="B3042" t="s">
        <v>3386</v>
      </c>
      <c r="C3042">
        <v>143.43</v>
      </c>
      <c r="D3042">
        <v>58.16</v>
      </c>
      <c r="E3042">
        <v>35.51</v>
      </c>
      <c r="F3042">
        <v>3.22</v>
      </c>
      <c r="G3042">
        <v>3.22</v>
      </c>
      <c r="H3042">
        <v>45448</v>
      </c>
      <c r="I3042">
        <v>4.04</v>
      </c>
      <c r="J3042">
        <v>14.9</v>
      </c>
      <c r="K3042" t="s">
        <v>210</v>
      </c>
    </row>
    <row r="3043" spans="1:11">
      <c r="A3043" t="str">
        <f>"600212"</f>
        <v>600212</v>
      </c>
      <c r="B3043" t="s">
        <v>3387</v>
      </c>
      <c r="C3043">
        <v>42.92</v>
      </c>
      <c r="D3043">
        <v>21.72</v>
      </c>
      <c r="E3043">
        <v>5.4</v>
      </c>
      <c r="F3043">
        <v>7.04</v>
      </c>
      <c r="G3043">
        <v>5.31</v>
      </c>
      <c r="H3043">
        <v>42396</v>
      </c>
      <c r="I3043">
        <v>10.55</v>
      </c>
      <c r="J3043">
        <v>319.06</v>
      </c>
      <c r="K3043" t="s">
        <v>208</v>
      </c>
    </row>
    <row r="3044" spans="1:11">
      <c r="A3044" t="str">
        <f>"600215"</f>
        <v>600215</v>
      </c>
      <c r="B3044" t="s">
        <v>3388</v>
      </c>
      <c r="C3044">
        <v>35.87</v>
      </c>
      <c r="D3044">
        <v>31.93</v>
      </c>
      <c r="E3044">
        <v>20.33</v>
      </c>
      <c r="F3044">
        <v>4.57</v>
      </c>
      <c r="G3044">
        <v>4.57</v>
      </c>
      <c r="H3044">
        <v>30204</v>
      </c>
      <c r="I3044">
        <v>1.79</v>
      </c>
      <c r="J3044" t="s">
        <v>14</v>
      </c>
      <c r="K3044" t="s">
        <v>1527</v>
      </c>
    </row>
    <row r="3045" spans="1:11">
      <c r="A3045" t="str">
        <f>"600216"</f>
        <v>600216</v>
      </c>
      <c r="B3045" t="s">
        <v>3389</v>
      </c>
      <c r="C3045">
        <v>133.29</v>
      </c>
      <c r="D3045">
        <v>141.36</v>
      </c>
      <c r="E3045">
        <v>110.55</v>
      </c>
      <c r="F3045">
        <v>9.62</v>
      </c>
      <c r="G3045">
        <v>9.51</v>
      </c>
      <c r="H3045">
        <v>63021</v>
      </c>
      <c r="I3045">
        <v>1.22</v>
      </c>
      <c r="J3045">
        <v>10.83</v>
      </c>
      <c r="K3045" t="s">
        <v>404</v>
      </c>
    </row>
    <row r="3046" spans="1:11">
      <c r="A3046" t="str">
        <f>"600217"</f>
        <v>600217</v>
      </c>
      <c r="B3046" t="s">
        <v>3390</v>
      </c>
      <c r="C3046">
        <v>69.29</v>
      </c>
      <c r="D3046">
        <v>66.39</v>
      </c>
      <c r="E3046">
        <v>30.74</v>
      </c>
      <c r="F3046">
        <v>16.58</v>
      </c>
      <c r="G3046">
        <v>16.58</v>
      </c>
      <c r="H3046">
        <v>45804</v>
      </c>
      <c r="I3046">
        <v>2.25</v>
      </c>
      <c r="J3046" t="s">
        <v>14</v>
      </c>
      <c r="K3046" t="s">
        <v>59</v>
      </c>
    </row>
    <row r="3047" spans="1:11">
      <c r="A3047" t="str">
        <f>"600218"</f>
        <v>600218</v>
      </c>
      <c r="B3047" t="s">
        <v>3391</v>
      </c>
      <c r="C3047">
        <v>46.43</v>
      </c>
      <c r="D3047">
        <v>61.99</v>
      </c>
      <c r="E3047">
        <v>32.54</v>
      </c>
      <c r="F3047">
        <v>4.36</v>
      </c>
      <c r="G3047">
        <v>4.36</v>
      </c>
      <c r="H3047">
        <v>43023</v>
      </c>
      <c r="I3047">
        <v>1.43</v>
      </c>
      <c r="J3047">
        <v>50.18</v>
      </c>
      <c r="K3047" t="s">
        <v>253</v>
      </c>
    </row>
    <row r="3048" spans="1:11">
      <c r="A3048" t="str">
        <f>"600219"</f>
        <v>600219</v>
      </c>
      <c r="B3048" t="s">
        <v>3392</v>
      </c>
      <c r="C3048">
        <v>678.69</v>
      </c>
      <c r="D3048">
        <v>732.94</v>
      </c>
      <c r="E3048">
        <v>520.18</v>
      </c>
      <c r="F3048">
        <v>114.84</v>
      </c>
      <c r="G3048">
        <v>114.84</v>
      </c>
      <c r="H3048">
        <v>183707</v>
      </c>
      <c r="I3048">
        <v>1.32</v>
      </c>
      <c r="J3048">
        <v>13.49</v>
      </c>
      <c r="K3048" t="s">
        <v>288</v>
      </c>
    </row>
    <row r="3049" spans="1:11">
      <c r="A3049" t="str">
        <f>"600221"</f>
        <v>600221</v>
      </c>
      <c r="B3049" t="s">
        <v>3393</v>
      </c>
      <c r="C3049">
        <v>724.09</v>
      </c>
      <c r="D3049">
        <v>1495.69</v>
      </c>
      <c r="E3049">
        <v>53.82</v>
      </c>
      <c r="F3049">
        <v>432.16</v>
      </c>
      <c r="G3049">
        <v>428.46</v>
      </c>
      <c r="H3049">
        <v>559631</v>
      </c>
      <c r="I3049">
        <v>13.63</v>
      </c>
      <c r="J3049">
        <v>19.25</v>
      </c>
      <c r="K3049" t="s">
        <v>104</v>
      </c>
    </row>
    <row r="3050" spans="1:11">
      <c r="A3050" t="str">
        <f>"600222"</f>
        <v>600222</v>
      </c>
      <c r="B3050" t="s">
        <v>3394</v>
      </c>
      <c r="C3050">
        <v>38.79</v>
      </c>
      <c r="D3050">
        <v>37.38</v>
      </c>
      <c r="E3050">
        <v>15.93</v>
      </c>
      <c r="F3050">
        <v>5.74</v>
      </c>
      <c r="G3050">
        <v>5.74</v>
      </c>
      <c r="H3050">
        <v>40442</v>
      </c>
      <c r="I3050">
        <v>2.44</v>
      </c>
      <c r="J3050">
        <v>114.89</v>
      </c>
      <c r="K3050" t="s">
        <v>155</v>
      </c>
    </row>
    <row r="3051" spans="1:11">
      <c r="A3051" t="str">
        <f>"600223"</f>
        <v>600223</v>
      </c>
      <c r="B3051" t="s">
        <v>3395</v>
      </c>
      <c r="C3051">
        <v>76.65</v>
      </c>
      <c r="D3051">
        <v>58.31</v>
      </c>
      <c r="E3051">
        <v>41.87</v>
      </c>
      <c r="F3051">
        <v>10.17</v>
      </c>
      <c r="G3051">
        <v>10.17</v>
      </c>
      <c r="H3051">
        <v>44533</v>
      </c>
      <c r="I3051">
        <v>1.83</v>
      </c>
      <c r="J3051">
        <v>40.56</v>
      </c>
      <c r="K3051" t="s">
        <v>856</v>
      </c>
    </row>
    <row r="3052" spans="1:11">
      <c r="A3052" t="str">
        <f>"600226"</f>
        <v>600226</v>
      </c>
      <c r="B3052" t="s">
        <v>3396</v>
      </c>
      <c r="C3052">
        <v>178.46</v>
      </c>
      <c r="D3052">
        <v>48.53</v>
      </c>
      <c r="E3052">
        <v>36.14</v>
      </c>
      <c r="F3052">
        <v>29.74</v>
      </c>
      <c r="G3052">
        <v>29.74</v>
      </c>
      <c r="H3052">
        <v>51829</v>
      </c>
      <c r="I3052">
        <v>4.94</v>
      </c>
      <c r="J3052">
        <v>70.95</v>
      </c>
      <c r="K3052" t="s">
        <v>350</v>
      </c>
    </row>
    <row r="3053" spans="1:11">
      <c r="A3053" t="str">
        <f>"600227"</f>
        <v>600227</v>
      </c>
      <c r="B3053" t="s">
        <v>3397</v>
      </c>
      <c r="C3053">
        <v>31.68</v>
      </c>
      <c r="D3053">
        <v>44.97</v>
      </c>
      <c r="E3053">
        <v>23.95</v>
      </c>
      <c r="F3053">
        <v>16.89</v>
      </c>
      <c r="G3053">
        <v>12.78</v>
      </c>
      <c r="H3053">
        <v>57571</v>
      </c>
      <c r="I3053">
        <v>1.75</v>
      </c>
      <c r="J3053" t="s">
        <v>14</v>
      </c>
      <c r="K3053" t="s">
        <v>397</v>
      </c>
    </row>
    <row r="3054" spans="1:11">
      <c r="A3054" t="str">
        <f>"600228"</f>
        <v>600228</v>
      </c>
      <c r="B3054" t="s">
        <v>3398</v>
      </c>
      <c r="C3054">
        <v>22.55</v>
      </c>
      <c r="D3054">
        <v>5.75</v>
      </c>
      <c r="E3054">
        <v>4.14</v>
      </c>
      <c r="F3054">
        <v>4.17</v>
      </c>
      <c r="G3054">
        <v>4.16</v>
      </c>
      <c r="H3054">
        <v>21003</v>
      </c>
      <c r="I3054">
        <v>5.46</v>
      </c>
      <c r="J3054" t="s">
        <v>14</v>
      </c>
      <c r="K3054" t="s">
        <v>1050</v>
      </c>
    </row>
    <row r="3055" spans="1:11">
      <c r="A3055" t="str">
        <f>"600229"</f>
        <v>600229</v>
      </c>
      <c r="B3055" t="s">
        <v>3399</v>
      </c>
      <c r="C3055">
        <v>46.32</v>
      </c>
      <c r="D3055">
        <v>42.16</v>
      </c>
      <c r="E3055">
        <v>31.65</v>
      </c>
      <c r="F3055">
        <v>6.61</v>
      </c>
      <c r="G3055">
        <v>6.61</v>
      </c>
      <c r="H3055">
        <v>30454</v>
      </c>
      <c r="I3055">
        <v>1.46</v>
      </c>
      <c r="J3055">
        <v>110.75</v>
      </c>
      <c r="K3055" t="s">
        <v>381</v>
      </c>
    </row>
    <row r="3056" spans="1:11">
      <c r="A3056" t="str">
        <f>"600230"</f>
        <v>600230</v>
      </c>
      <c r="B3056" t="s">
        <v>3400</v>
      </c>
      <c r="C3056">
        <v>61.64</v>
      </c>
      <c r="D3056">
        <v>60.35</v>
      </c>
      <c r="E3056">
        <v>40.24</v>
      </c>
      <c r="F3056">
        <v>4.14</v>
      </c>
      <c r="G3056">
        <v>4.14</v>
      </c>
      <c r="H3056">
        <v>36113</v>
      </c>
      <c r="I3056">
        <v>1.53</v>
      </c>
      <c r="J3056">
        <v>97.07</v>
      </c>
      <c r="K3056" t="s">
        <v>939</v>
      </c>
    </row>
    <row r="3057" spans="1:11">
      <c r="A3057" t="str">
        <f>"600231"</f>
        <v>600231</v>
      </c>
      <c r="B3057" t="s">
        <v>3401</v>
      </c>
      <c r="C3057">
        <v>59.37</v>
      </c>
      <c r="D3057">
        <v>151.18</v>
      </c>
      <c r="E3057">
        <v>47.58</v>
      </c>
      <c r="F3057">
        <v>28.5</v>
      </c>
      <c r="G3057">
        <v>28.14</v>
      </c>
      <c r="H3057">
        <v>48448</v>
      </c>
      <c r="I3057">
        <v>1.28</v>
      </c>
      <c r="J3057" t="s">
        <v>14</v>
      </c>
      <c r="K3057" t="s">
        <v>378</v>
      </c>
    </row>
    <row r="3058" spans="1:11">
      <c r="A3058" t="str">
        <f>"600232"</f>
        <v>600232</v>
      </c>
      <c r="B3058" t="s">
        <v>3402</v>
      </c>
      <c r="C3058">
        <v>30.89</v>
      </c>
      <c r="D3058">
        <v>19.36</v>
      </c>
      <c r="E3058">
        <v>9.4</v>
      </c>
      <c r="F3058">
        <v>3.65</v>
      </c>
      <c r="G3058">
        <v>3.65</v>
      </c>
      <c r="H3058">
        <v>25346</v>
      </c>
      <c r="I3058">
        <v>3.29</v>
      </c>
      <c r="J3058">
        <v>275.13</v>
      </c>
      <c r="K3058" t="s">
        <v>758</v>
      </c>
    </row>
    <row r="3059" spans="1:11">
      <c r="A3059" t="str">
        <f>"600233"</f>
        <v>600233</v>
      </c>
      <c r="B3059" t="s">
        <v>3403</v>
      </c>
      <c r="C3059">
        <v>568.83</v>
      </c>
      <c r="D3059">
        <v>516.7</v>
      </c>
      <c r="E3059">
        <v>333.67</v>
      </c>
      <c r="F3059">
        <v>34.23</v>
      </c>
      <c r="G3059">
        <v>34.23</v>
      </c>
      <c r="H3059">
        <v>35037</v>
      </c>
      <c r="I3059">
        <v>1.7</v>
      </c>
      <c r="J3059">
        <v>14.83</v>
      </c>
      <c r="K3059" t="s">
        <v>886</v>
      </c>
    </row>
    <row r="3060" spans="1:11">
      <c r="A3060" t="str">
        <f>"600234"</f>
        <v>600234</v>
      </c>
      <c r="B3060" t="s">
        <v>3404</v>
      </c>
      <c r="C3060">
        <v>34.71</v>
      </c>
      <c r="D3060">
        <v>8.53</v>
      </c>
      <c r="E3060">
        <v>5</v>
      </c>
      <c r="F3060">
        <v>2.63</v>
      </c>
      <c r="G3060">
        <v>2.63</v>
      </c>
      <c r="H3060">
        <v>9277</v>
      </c>
      <c r="I3060">
        <v>6.94</v>
      </c>
      <c r="J3060">
        <v>83.71</v>
      </c>
      <c r="K3060" t="s">
        <v>804</v>
      </c>
    </row>
    <row r="3061" spans="1:11">
      <c r="A3061" t="str">
        <f>"600235"</f>
        <v>600235</v>
      </c>
      <c r="B3061" t="s">
        <v>3405</v>
      </c>
      <c r="C3061">
        <v>23.75</v>
      </c>
      <c r="D3061">
        <v>30.65</v>
      </c>
      <c r="E3061">
        <v>15.13</v>
      </c>
      <c r="F3061">
        <v>3.51</v>
      </c>
      <c r="G3061">
        <v>3.51</v>
      </c>
      <c r="H3061">
        <v>19257</v>
      </c>
      <c r="I3061">
        <v>1.57</v>
      </c>
      <c r="J3061">
        <v>95.55</v>
      </c>
      <c r="K3061" t="s">
        <v>765</v>
      </c>
    </row>
    <row r="3062" spans="1:11">
      <c r="A3062" t="str">
        <f>"600236"</f>
        <v>600236</v>
      </c>
      <c r="B3062" t="s">
        <v>3406</v>
      </c>
      <c r="C3062">
        <v>634.53</v>
      </c>
      <c r="D3062">
        <v>512.13</v>
      </c>
      <c r="E3062">
        <v>197.3</v>
      </c>
      <c r="F3062">
        <v>78.82</v>
      </c>
      <c r="G3062">
        <v>78.82</v>
      </c>
      <c r="H3062">
        <v>47984</v>
      </c>
      <c r="I3062">
        <v>3.56</v>
      </c>
      <c r="J3062">
        <v>19.67</v>
      </c>
      <c r="K3062" t="s">
        <v>278</v>
      </c>
    </row>
    <row r="3063" spans="1:11">
      <c r="A3063" t="str">
        <f>"600237"</f>
        <v>600237</v>
      </c>
      <c r="B3063" t="s">
        <v>3407</v>
      </c>
      <c r="C3063">
        <v>62.54</v>
      </c>
      <c r="D3063">
        <v>26.5</v>
      </c>
      <c r="E3063">
        <v>19.24</v>
      </c>
      <c r="F3063">
        <v>6.31</v>
      </c>
      <c r="G3063">
        <v>6.22</v>
      </c>
      <c r="H3063">
        <v>42360</v>
      </c>
      <c r="I3063">
        <v>3.3</v>
      </c>
      <c r="J3063">
        <v>59.55</v>
      </c>
      <c r="K3063" t="s">
        <v>310</v>
      </c>
    </row>
    <row r="3064" spans="1:11">
      <c r="A3064" t="str">
        <f>"600238"</f>
        <v>600238</v>
      </c>
      <c r="B3064" t="s">
        <v>3408</v>
      </c>
      <c r="C3064">
        <v>27.78</v>
      </c>
      <c r="D3064">
        <v>9.19</v>
      </c>
      <c r="E3064">
        <v>1.01</v>
      </c>
      <c r="F3064">
        <v>4.48</v>
      </c>
      <c r="G3064">
        <v>4.45</v>
      </c>
      <c r="H3064">
        <v>42800</v>
      </c>
      <c r="I3064">
        <v>27.61</v>
      </c>
      <c r="J3064" t="s">
        <v>14</v>
      </c>
      <c r="K3064" t="s">
        <v>1352</v>
      </c>
    </row>
    <row r="3065" spans="1:11">
      <c r="A3065" t="str">
        <f>"600239"</f>
        <v>600239</v>
      </c>
      <c r="B3065" t="s">
        <v>3409</v>
      </c>
      <c r="C3065">
        <v>37.89</v>
      </c>
      <c r="D3065">
        <v>103.62</v>
      </c>
      <c r="E3065">
        <v>12.83</v>
      </c>
      <c r="F3065">
        <v>16.06</v>
      </c>
      <c r="G3065">
        <v>16.06</v>
      </c>
      <c r="H3065">
        <v>50956</v>
      </c>
      <c r="I3065">
        <v>2.95</v>
      </c>
      <c r="J3065" t="s">
        <v>14</v>
      </c>
      <c r="K3065" t="s">
        <v>53</v>
      </c>
    </row>
    <row r="3066" spans="1:11">
      <c r="A3066" t="str">
        <f>"600241"</f>
        <v>600241</v>
      </c>
      <c r="B3066" t="s">
        <v>3410</v>
      </c>
      <c r="C3066">
        <v>24.75</v>
      </c>
      <c r="D3066">
        <v>12.14</v>
      </c>
      <c r="E3066">
        <v>11.68</v>
      </c>
      <c r="F3066">
        <v>2.94</v>
      </c>
      <c r="G3066">
        <v>2.94</v>
      </c>
      <c r="H3066">
        <v>20244</v>
      </c>
      <c r="I3066">
        <v>2.12</v>
      </c>
      <c r="J3066">
        <v>1106.26</v>
      </c>
      <c r="K3066" t="s">
        <v>70</v>
      </c>
    </row>
    <row r="3067" spans="1:11">
      <c r="A3067" t="str">
        <f>"600243"</f>
        <v>600243</v>
      </c>
      <c r="B3067" t="s">
        <v>3411</v>
      </c>
      <c r="C3067">
        <v>21.33</v>
      </c>
      <c r="D3067">
        <v>10.42</v>
      </c>
      <c r="E3067">
        <v>6.34</v>
      </c>
      <c r="F3067">
        <v>4.39</v>
      </c>
      <c r="G3067">
        <v>4.39</v>
      </c>
      <c r="H3067">
        <v>17332</v>
      </c>
      <c r="I3067">
        <v>3.37</v>
      </c>
      <c r="J3067" t="s">
        <v>14</v>
      </c>
      <c r="K3067" t="s">
        <v>1155</v>
      </c>
    </row>
    <row r="3068" spans="1:11">
      <c r="A3068" t="str">
        <f>"600246"</f>
        <v>600246</v>
      </c>
      <c r="B3068" t="s">
        <v>3412</v>
      </c>
      <c r="C3068">
        <v>234.41</v>
      </c>
      <c r="D3068">
        <v>81.42</v>
      </c>
      <c r="E3068">
        <v>52.47</v>
      </c>
      <c r="F3068">
        <v>18.9</v>
      </c>
      <c r="G3068">
        <v>18.9</v>
      </c>
      <c r="H3068">
        <v>132113</v>
      </c>
      <c r="I3068">
        <v>4.47</v>
      </c>
      <c r="J3068" t="s">
        <v>14</v>
      </c>
      <c r="K3068" t="s">
        <v>15</v>
      </c>
    </row>
    <row r="3069" spans="1:11">
      <c r="A3069" t="str">
        <f>"600248"</f>
        <v>600248</v>
      </c>
      <c r="B3069" t="s">
        <v>3413</v>
      </c>
      <c r="C3069">
        <v>133.41</v>
      </c>
      <c r="D3069">
        <v>3449.49</v>
      </c>
      <c r="E3069">
        <v>372.55</v>
      </c>
      <c r="F3069">
        <v>37.4</v>
      </c>
      <c r="G3069">
        <v>37.06</v>
      </c>
      <c r="H3069">
        <v>47963</v>
      </c>
      <c r="I3069">
        <v>0.47</v>
      </c>
      <c r="J3069">
        <v>9</v>
      </c>
      <c r="K3069" t="s">
        <v>299</v>
      </c>
    </row>
    <row r="3070" spans="1:11">
      <c r="A3070" t="str">
        <f>"600249"</f>
        <v>600249</v>
      </c>
      <c r="B3070" t="s">
        <v>3414</v>
      </c>
      <c r="C3070">
        <v>32.45</v>
      </c>
      <c r="D3070">
        <v>27.68</v>
      </c>
      <c r="E3070">
        <v>21.91</v>
      </c>
      <c r="F3070">
        <v>5.5</v>
      </c>
      <c r="G3070">
        <v>5.5</v>
      </c>
      <c r="H3070">
        <v>47005</v>
      </c>
      <c r="I3070">
        <v>1.48</v>
      </c>
      <c r="J3070">
        <v>103.61</v>
      </c>
      <c r="K3070" t="s">
        <v>708</v>
      </c>
    </row>
    <row r="3071" spans="1:11">
      <c r="A3071" t="str">
        <f>"600250"</f>
        <v>600250</v>
      </c>
      <c r="B3071" t="s">
        <v>3415</v>
      </c>
      <c r="C3071">
        <v>37.27</v>
      </c>
      <c r="D3071">
        <v>17.94</v>
      </c>
      <c r="E3071">
        <v>6.25</v>
      </c>
      <c r="F3071">
        <v>3.11</v>
      </c>
      <c r="G3071">
        <v>3.11</v>
      </c>
      <c r="H3071">
        <v>35360</v>
      </c>
      <c r="I3071">
        <v>5.96</v>
      </c>
      <c r="J3071">
        <v>147.3</v>
      </c>
      <c r="K3071" t="s">
        <v>107</v>
      </c>
    </row>
    <row r="3072" spans="1:11">
      <c r="A3072" t="str">
        <f>"600251"</f>
        <v>600251</v>
      </c>
      <c r="B3072" t="s">
        <v>3416</v>
      </c>
      <c r="C3072">
        <v>74.13</v>
      </c>
      <c r="D3072">
        <v>59.45</v>
      </c>
      <c r="E3072">
        <v>37.95</v>
      </c>
      <c r="F3072">
        <v>7.77</v>
      </c>
      <c r="G3072">
        <v>7.77</v>
      </c>
      <c r="H3072">
        <v>35040</v>
      </c>
      <c r="I3072">
        <v>1.95</v>
      </c>
      <c r="J3072">
        <v>16.02</v>
      </c>
      <c r="K3072" t="s">
        <v>592</v>
      </c>
    </row>
    <row r="3073" spans="1:11">
      <c r="A3073" t="str">
        <f>"600252"</f>
        <v>600252</v>
      </c>
      <c r="B3073" t="s">
        <v>3417</v>
      </c>
      <c r="C3073">
        <v>85.02</v>
      </c>
      <c r="D3073">
        <v>110.64</v>
      </c>
      <c r="E3073">
        <v>58</v>
      </c>
      <c r="F3073">
        <v>31.84</v>
      </c>
      <c r="G3073">
        <v>31.84</v>
      </c>
      <c r="H3073">
        <v>118959</v>
      </c>
      <c r="I3073">
        <v>1.47</v>
      </c>
      <c r="J3073">
        <v>258.77</v>
      </c>
      <c r="K3073" t="s">
        <v>155</v>
      </c>
    </row>
    <row r="3074" spans="1:11">
      <c r="A3074" t="str">
        <f>"600255"</f>
        <v>600255</v>
      </c>
      <c r="B3074" t="s">
        <v>3418</v>
      </c>
      <c r="C3074">
        <v>71.7</v>
      </c>
      <c r="D3074">
        <v>44.42</v>
      </c>
      <c r="E3074">
        <v>14.48</v>
      </c>
      <c r="F3074">
        <v>18.06</v>
      </c>
      <c r="G3074">
        <v>18.06</v>
      </c>
      <c r="H3074">
        <v>160162</v>
      </c>
      <c r="I3074">
        <v>4.95</v>
      </c>
      <c r="J3074">
        <v>274.81</v>
      </c>
      <c r="K3074" t="s">
        <v>307</v>
      </c>
    </row>
    <row r="3075" spans="1:11">
      <c r="A3075" t="str">
        <f>"600256"</f>
        <v>600256</v>
      </c>
      <c r="B3075" t="s">
        <v>3419</v>
      </c>
      <c r="C3075">
        <v>322.16</v>
      </c>
      <c r="D3075">
        <v>526.9</v>
      </c>
      <c r="E3075">
        <v>238.23</v>
      </c>
      <c r="F3075">
        <v>63.92</v>
      </c>
      <c r="G3075">
        <v>63.92</v>
      </c>
      <c r="H3075">
        <v>223079</v>
      </c>
      <c r="I3075">
        <v>1.35</v>
      </c>
      <c r="J3075">
        <v>23.88</v>
      </c>
      <c r="K3075" t="s">
        <v>102</v>
      </c>
    </row>
    <row r="3076" spans="1:11">
      <c r="A3076" t="str">
        <f>"600257"</f>
        <v>600257</v>
      </c>
      <c r="B3076" t="s">
        <v>3420</v>
      </c>
      <c r="C3076">
        <v>35.13</v>
      </c>
      <c r="D3076">
        <v>18.15</v>
      </c>
      <c r="E3076">
        <v>7.97</v>
      </c>
      <c r="F3076">
        <v>4.81</v>
      </c>
      <c r="G3076">
        <v>4.81</v>
      </c>
      <c r="H3076">
        <v>42071</v>
      </c>
      <c r="I3076">
        <v>4.41</v>
      </c>
      <c r="J3076" t="s">
        <v>14</v>
      </c>
      <c r="K3076" t="s">
        <v>831</v>
      </c>
    </row>
    <row r="3077" spans="1:11">
      <c r="A3077" t="str">
        <f>"600258"</f>
        <v>600258</v>
      </c>
      <c r="B3077" t="s">
        <v>3421</v>
      </c>
      <c r="C3077">
        <v>193.84</v>
      </c>
      <c r="D3077">
        <v>249.51</v>
      </c>
      <c r="E3077">
        <v>120.5</v>
      </c>
      <c r="F3077">
        <v>11.17</v>
      </c>
      <c r="G3077">
        <v>11.17</v>
      </c>
      <c r="H3077">
        <v>36218</v>
      </c>
      <c r="I3077">
        <v>1.61</v>
      </c>
      <c r="J3077">
        <v>19.26</v>
      </c>
      <c r="K3077" t="s">
        <v>159</v>
      </c>
    </row>
    <row r="3078" spans="1:11">
      <c r="A3078" t="str">
        <f>"600259"</f>
        <v>600259</v>
      </c>
      <c r="B3078" t="s">
        <v>3422</v>
      </c>
      <c r="C3078">
        <v>236.57</v>
      </c>
      <c r="D3078">
        <v>81.15</v>
      </c>
      <c r="E3078">
        <v>34.95</v>
      </c>
      <c r="F3078">
        <v>3.36</v>
      </c>
      <c r="G3078">
        <v>3.29</v>
      </c>
      <c r="H3078">
        <v>60925</v>
      </c>
      <c r="I3078">
        <v>6.91</v>
      </c>
      <c r="J3078">
        <v>142.03</v>
      </c>
      <c r="K3078" t="s">
        <v>481</v>
      </c>
    </row>
    <row r="3079" spans="1:11">
      <c r="A3079" t="str">
        <f>"600261"</f>
        <v>600261</v>
      </c>
      <c r="B3079" t="s">
        <v>3423</v>
      </c>
      <c r="C3079">
        <v>46.59</v>
      </c>
      <c r="D3079">
        <v>50.55</v>
      </c>
      <c r="E3079">
        <v>34.71</v>
      </c>
      <c r="F3079">
        <v>13.35</v>
      </c>
      <c r="G3079">
        <v>13.35</v>
      </c>
      <c r="H3079">
        <v>41637</v>
      </c>
      <c r="I3079">
        <v>1.34</v>
      </c>
      <c r="J3079">
        <v>27.14</v>
      </c>
      <c r="K3079" t="s">
        <v>216</v>
      </c>
    </row>
    <row r="3080" spans="1:11">
      <c r="A3080" t="str">
        <f>"600262"</f>
        <v>600262</v>
      </c>
      <c r="B3080" t="s">
        <v>3424</v>
      </c>
      <c r="C3080">
        <v>46.31</v>
      </c>
      <c r="D3080">
        <v>52.22</v>
      </c>
      <c r="E3080">
        <v>17.61</v>
      </c>
      <c r="F3080">
        <v>1.7</v>
      </c>
      <c r="G3080">
        <v>1.7</v>
      </c>
      <c r="H3080">
        <v>18413</v>
      </c>
      <c r="I3080">
        <v>2.63</v>
      </c>
      <c r="J3080">
        <v>19.16</v>
      </c>
      <c r="K3080" t="s">
        <v>491</v>
      </c>
    </row>
    <row r="3081" spans="1:11">
      <c r="A3081" t="str">
        <f>"600265"</f>
        <v>600265</v>
      </c>
      <c r="B3081" t="s">
        <v>3425</v>
      </c>
      <c r="C3081">
        <v>24.52</v>
      </c>
      <c r="D3081">
        <v>6.5</v>
      </c>
      <c r="E3081">
        <v>0.09</v>
      </c>
      <c r="F3081">
        <v>1.3</v>
      </c>
      <c r="G3081">
        <v>1.3</v>
      </c>
      <c r="H3081">
        <v>3489</v>
      </c>
      <c r="I3081">
        <v>281.94</v>
      </c>
      <c r="J3081" t="s">
        <v>14</v>
      </c>
      <c r="K3081" t="s">
        <v>268</v>
      </c>
    </row>
    <row r="3082" spans="1:11">
      <c r="A3082" t="str">
        <f>"600266"</f>
        <v>600266</v>
      </c>
      <c r="B3082" t="s">
        <v>3426</v>
      </c>
      <c r="C3082">
        <v>133.26</v>
      </c>
      <c r="D3082">
        <v>1093.96</v>
      </c>
      <c r="E3082">
        <v>227.31</v>
      </c>
      <c r="F3082">
        <v>20.76</v>
      </c>
      <c r="G3082">
        <v>20.76</v>
      </c>
      <c r="H3082">
        <v>47627</v>
      </c>
      <c r="I3082">
        <v>0.69</v>
      </c>
      <c r="J3082">
        <v>13.07</v>
      </c>
      <c r="K3082" t="s">
        <v>15</v>
      </c>
    </row>
    <row r="3083" spans="1:11">
      <c r="A3083" t="str">
        <f>"600267"</f>
        <v>600267</v>
      </c>
      <c r="B3083" t="s">
        <v>3427</v>
      </c>
      <c r="C3083">
        <v>127.01</v>
      </c>
      <c r="D3083">
        <v>153.18</v>
      </c>
      <c r="E3083">
        <v>85.1</v>
      </c>
      <c r="F3083">
        <v>11.99</v>
      </c>
      <c r="G3083">
        <v>11.98</v>
      </c>
      <c r="H3083">
        <v>54361</v>
      </c>
      <c r="I3083">
        <v>1.49</v>
      </c>
      <c r="J3083">
        <v>20.68</v>
      </c>
      <c r="K3083" t="s">
        <v>109</v>
      </c>
    </row>
    <row r="3084" spans="1:11">
      <c r="A3084" t="str">
        <f>"600268"</f>
        <v>600268</v>
      </c>
      <c r="B3084" t="s">
        <v>3428</v>
      </c>
      <c r="C3084">
        <v>120.69</v>
      </c>
      <c r="D3084">
        <v>114.95</v>
      </c>
      <c r="E3084">
        <v>34.32</v>
      </c>
      <c r="F3084">
        <v>10.16</v>
      </c>
      <c r="G3084">
        <v>10.11</v>
      </c>
      <c r="H3084">
        <v>61878</v>
      </c>
      <c r="I3084">
        <v>3.53</v>
      </c>
      <c r="J3084">
        <v>43.19</v>
      </c>
      <c r="K3084" t="s">
        <v>127</v>
      </c>
    </row>
    <row r="3085" spans="1:11">
      <c r="A3085" t="str">
        <f>"600269"</f>
        <v>600269</v>
      </c>
      <c r="B3085" t="s">
        <v>3429</v>
      </c>
      <c r="C3085">
        <v>119.57</v>
      </c>
      <c r="D3085">
        <v>382.96</v>
      </c>
      <c r="E3085">
        <v>198.87</v>
      </c>
      <c r="F3085">
        <v>23.35</v>
      </c>
      <c r="G3085">
        <v>23.35</v>
      </c>
      <c r="H3085">
        <v>48749</v>
      </c>
      <c r="I3085">
        <v>0.6</v>
      </c>
      <c r="J3085">
        <v>5.51</v>
      </c>
      <c r="K3085" t="s">
        <v>161</v>
      </c>
    </row>
    <row r="3086" spans="1:11">
      <c r="A3086" t="str">
        <f>"600271"</f>
        <v>600271</v>
      </c>
      <c r="B3086" t="s">
        <v>3430</v>
      </c>
      <c r="C3086">
        <v>217.71</v>
      </c>
      <c r="D3086">
        <v>201.17</v>
      </c>
      <c r="E3086">
        <v>135.1</v>
      </c>
      <c r="F3086">
        <v>18.53</v>
      </c>
      <c r="G3086">
        <v>18.53</v>
      </c>
      <c r="H3086">
        <v>91283</v>
      </c>
      <c r="I3086">
        <v>1.61</v>
      </c>
      <c r="J3086" t="s">
        <v>14</v>
      </c>
      <c r="K3086" t="s">
        <v>117</v>
      </c>
    </row>
    <row r="3087" spans="1:11">
      <c r="A3087" t="str">
        <f>"600272"</f>
        <v>600272</v>
      </c>
      <c r="B3087" t="s">
        <v>3431</v>
      </c>
      <c r="C3087">
        <v>23.94</v>
      </c>
      <c r="D3087">
        <v>17.58</v>
      </c>
      <c r="E3087">
        <v>7.77</v>
      </c>
      <c r="F3087">
        <v>2.63</v>
      </c>
      <c r="G3087">
        <v>1.6</v>
      </c>
      <c r="H3087">
        <v>33654</v>
      </c>
      <c r="I3087">
        <v>5.06</v>
      </c>
      <c r="J3087">
        <v>229.02</v>
      </c>
      <c r="K3087" t="s">
        <v>48</v>
      </c>
    </row>
    <row r="3088" spans="1:11">
      <c r="A3088" t="str">
        <f>"600273"</f>
        <v>600273</v>
      </c>
      <c r="B3088" t="s">
        <v>3432</v>
      </c>
      <c r="C3088">
        <v>131.62</v>
      </c>
      <c r="D3088">
        <v>136.02</v>
      </c>
      <c r="E3088">
        <v>100.71</v>
      </c>
      <c r="F3088">
        <v>13.57</v>
      </c>
      <c r="G3088">
        <v>13.57</v>
      </c>
      <c r="H3088">
        <v>39076</v>
      </c>
      <c r="I3088">
        <v>1.31</v>
      </c>
      <c r="J3088">
        <v>12</v>
      </c>
      <c r="K3088" t="s">
        <v>1201</v>
      </c>
    </row>
    <row r="3089" spans="1:11">
      <c r="A3089" t="str">
        <f>"600276"</f>
        <v>600276</v>
      </c>
      <c r="B3089" t="s">
        <v>3433</v>
      </c>
      <c r="C3089">
        <v>4057.68</v>
      </c>
      <c r="D3089">
        <v>683.28</v>
      </c>
      <c r="E3089">
        <v>595.04</v>
      </c>
      <c r="F3089">
        <v>66.37</v>
      </c>
      <c r="G3089">
        <v>63.79</v>
      </c>
      <c r="H3089">
        <v>397258</v>
      </c>
      <c r="I3089">
        <v>7.1</v>
      </c>
      <c r="J3089">
        <v>55.06</v>
      </c>
      <c r="K3089" t="s">
        <v>109</v>
      </c>
    </row>
    <row r="3090" spans="1:11">
      <c r="A3090" t="str">
        <f>"600278"</f>
        <v>600278</v>
      </c>
      <c r="B3090" t="s">
        <v>3434</v>
      </c>
      <c r="C3090">
        <v>73.07</v>
      </c>
      <c r="D3090">
        <v>170.61</v>
      </c>
      <c r="E3090">
        <v>77.11</v>
      </c>
      <c r="F3090">
        <v>8.72</v>
      </c>
      <c r="G3090">
        <v>8.72</v>
      </c>
      <c r="H3090">
        <v>26313</v>
      </c>
      <c r="I3090">
        <v>0.95</v>
      </c>
      <c r="J3090">
        <v>30.44</v>
      </c>
      <c r="K3090" t="s">
        <v>107</v>
      </c>
    </row>
    <row r="3091" spans="1:11">
      <c r="A3091" t="str">
        <f>"600279"</f>
        <v>600279</v>
      </c>
      <c r="B3091" t="s">
        <v>3435</v>
      </c>
      <c r="C3091">
        <v>64.21</v>
      </c>
      <c r="D3091">
        <v>146.64</v>
      </c>
      <c r="E3091">
        <v>67.36</v>
      </c>
      <c r="F3091">
        <v>11.87</v>
      </c>
      <c r="G3091">
        <v>11.87</v>
      </c>
      <c r="H3091">
        <v>36029</v>
      </c>
      <c r="I3091">
        <v>0.95</v>
      </c>
      <c r="J3091">
        <v>99.96</v>
      </c>
      <c r="K3091" t="s">
        <v>96</v>
      </c>
    </row>
    <row r="3092" spans="1:11">
      <c r="A3092" t="str">
        <f>"600280"</f>
        <v>600280</v>
      </c>
      <c r="B3092" t="s">
        <v>3436</v>
      </c>
      <c r="C3092">
        <v>46.15</v>
      </c>
      <c r="D3092">
        <v>106.04</v>
      </c>
      <c r="E3092">
        <v>6.16</v>
      </c>
      <c r="F3092">
        <v>11.28</v>
      </c>
      <c r="G3092">
        <v>11.28</v>
      </c>
      <c r="H3092">
        <v>60734</v>
      </c>
      <c r="I3092">
        <v>7.49</v>
      </c>
      <c r="J3092" t="s">
        <v>14</v>
      </c>
      <c r="K3092" t="s">
        <v>146</v>
      </c>
    </row>
    <row r="3093" spans="1:11">
      <c r="A3093" t="str">
        <f>"600281"</f>
        <v>600281</v>
      </c>
      <c r="B3093" t="s">
        <v>3437</v>
      </c>
      <c r="C3093">
        <v>31.58</v>
      </c>
      <c r="D3093">
        <v>9.68</v>
      </c>
      <c r="E3093">
        <v>1.31</v>
      </c>
      <c r="F3093">
        <v>5.14</v>
      </c>
      <c r="G3093">
        <v>5.14</v>
      </c>
      <c r="H3093">
        <v>53740</v>
      </c>
      <c r="I3093">
        <v>24.17</v>
      </c>
      <c r="J3093">
        <v>34.39</v>
      </c>
      <c r="K3093" t="s">
        <v>301</v>
      </c>
    </row>
    <row r="3094" spans="1:11">
      <c r="A3094" t="str">
        <f>"600282"</f>
        <v>600282</v>
      </c>
      <c r="B3094" t="s">
        <v>3438</v>
      </c>
      <c r="C3094">
        <v>337.85</v>
      </c>
      <c r="D3094">
        <v>701.28</v>
      </c>
      <c r="E3094">
        <v>269.62</v>
      </c>
      <c r="F3094">
        <v>61.65</v>
      </c>
      <c r="G3094">
        <v>61.65</v>
      </c>
      <c r="H3094">
        <v>54030</v>
      </c>
      <c r="I3094">
        <v>1.25</v>
      </c>
      <c r="J3094">
        <v>11.64</v>
      </c>
      <c r="K3094" t="s">
        <v>366</v>
      </c>
    </row>
    <row r="3095" spans="1:11">
      <c r="A3095" t="str">
        <f>"600283"</f>
        <v>600283</v>
      </c>
      <c r="B3095" t="s">
        <v>3439</v>
      </c>
      <c r="C3095">
        <v>51.75</v>
      </c>
      <c r="D3095">
        <v>97.91</v>
      </c>
      <c r="E3095">
        <v>31.06</v>
      </c>
      <c r="F3095">
        <v>5.61</v>
      </c>
      <c r="G3095">
        <v>5.44</v>
      </c>
      <c r="H3095">
        <v>29007</v>
      </c>
      <c r="I3095">
        <v>1.72</v>
      </c>
      <c r="J3095">
        <v>21.75</v>
      </c>
      <c r="K3095" t="s">
        <v>274</v>
      </c>
    </row>
    <row r="3096" spans="1:11">
      <c r="A3096" t="str">
        <f>"600284"</f>
        <v>600284</v>
      </c>
      <c r="B3096" t="s">
        <v>3440</v>
      </c>
      <c r="C3096">
        <v>84.22</v>
      </c>
      <c r="D3096">
        <v>305.28</v>
      </c>
      <c r="E3096">
        <v>78.9</v>
      </c>
      <c r="F3096">
        <v>9.7</v>
      </c>
      <c r="G3096">
        <v>9.7</v>
      </c>
      <c r="H3096">
        <v>42536</v>
      </c>
      <c r="I3096">
        <v>1.07</v>
      </c>
      <c r="J3096">
        <v>26.16</v>
      </c>
      <c r="K3096" t="s">
        <v>100</v>
      </c>
    </row>
    <row r="3097" spans="1:11">
      <c r="A3097" t="str">
        <f>"600285"</f>
        <v>600285</v>
      </c>
      <c r="B3097" t="s">
        <v>3441</v>
      </c>
      <c r="C3097">
        <v>118.15</v>
      </c>
      <c r="D3097">
        <v>57.56</v>
      </c>
      <c r="E3097">
        <v>32.48</v>
      </c>
      <c r="F3097">
        <v>5.67</v>
      </c>
      <c r="G3097">
        <v>5.66</v>
      </c>
      <c r="H3097">
        <v>42522</v>
      </c>
      <c r="I3097">
        <v>3.65</v>
      </c>
      <c r="J3097">
        <v>13.64</v>
      </c>
      <c r="K3097" t="s">
        <v>155</v>
      </c>
    </row>
    <row r="3098" spans="1:11">
      <c r="A3098" t="str">
        <f>"600287"</f>
        <v>600287</v>
      </c>
      <c r="B3098" t="s">
        <v>3442</v>
      </c>
      <c r="C3098">
        <v>25.03</v>
      </c>
      <c r="D3098">
        <v>31.92</v>
      </c>
      <c r="E3098">
        <v>23.14</v>
      </c>
      <c r="F3098">
        <v>4.37</v>
      </c>
      <c r="G3098">
        <v>4.37</v>
      </c>
      <c r="H3098">
        <v>19361</v>
      </c>
      <c r="I3098">
        <v>1.09</v>
      </c>
      <c r="J3098">
        <v>56.65</v>
      </c>
      <c r="K3098" t="s">
        <v>107</v>
      </c>
    </row>
    <row r="3099" spans="1:11">
      <c r="A3099" t="str">
        <f>"600288"</f>
        <v>600288</v>
      </c>
      <c r="B3099" t="s">
        <v>3443</v>
      </c>
      <c r="C3099">
        <v>68.27</v>
      </c>
      <c r="D3099">
        <v>32.41</v>
      </c>
      <c r="E3099">
        <v>19.03</v>
      </c>
      <c r="F3099">
        <v>4.37</v>
      </c>
      <c r="G3099">
        <v>4.37</v>
      </c>
      <c r="H3099">
        <v>31407</v>
      </c>
      <c r="I3099">
        <v>3.59</v>
      </c>
      <c r="J3099">
        <v>74.49</v>
      </c>
      <c r="K3099" t="s">
        <v>82</v>
      </c>
    </row>
    <row r="3100" spans="1:11">
      <c r="A3100" t="str">
        <f>"600289"</f>
        <v>600289</v>
      </c>
      <c r="B3100" t="s">
        <v>3444</v>
      </c>
      <c r="C3100">
        <v>37.58</v>
      </c>
      <c r="D3100">
        <v>17.3</v>
      </c>
      <c r="E3100">
        <v>11.18</v>
      </c>
      <c r="F3100">
        <v>6.31</v>
      </c>
      <c r="G3100">
        <v>5.66</v>
      </c>
      <c r="H3100">
        <v>18216</v>
      </c>
      <c r="I3100">
        <v>3.75</v>
      </c>
      <c r="J3100" t="s">
        <v>14</v>
      </c>
      <c r="K3100" t="s">
        <v>117</v>
      </c>
    </row>
    <row r="3101" spans="1:11">
      <c r="A3101" t="str">
        <f>"600292"</f>
        <v>600292</v>
      </c>
      <c r="B3101" t="s">
        <v>3445</v>
      </c>
      <c r="C3101">
        <v>105.33</v>
      </c>
      <c r="D3101">
        <v>101.23</v>
      </c>
      <c r="E3101">
        <v>52.09</v>
      </c>
      <c r="F3101">
        <v>43.8</v>
      </c>
      <c r="G3101">
        <v>7.81</v>
      </c>
      <c r="H3101">
        <v>48157</v>
      </c>
      <c r="I3101">
        <v>2.02</v>
      </c>
      <c r="J3101">
        <v>791.01</v>
      </c>
      <c r="K3101" t="s">
        <v>278</v>
      </c>
    </row>
    <row r="3102" spans="1:11">
      <c r="A3102" t="str">
        <f>"600293"</f>
        <v>600293</v>
      </c>
      <c r="B3102" t="s">
        <v>3446</v>
      </c>
      <c r="C3102">
        <v>37.24</v>
      </c>
      <c r="D3102">
        <v>33.02</v>
      </c>
      <c r="E3102">
        <v>16.85</v>
      </c>
      <c r="F3102">
        <v>11.6</v>
      </c>
      <c r="G3102">
        <v>11.6</v>
      </c>
      <c r="H3102">
        <v>49609</v>
      </c>
      <c r="I3102">
        <v>2.21</v>
      </c>
      <c r="J3102" t="s">
        <v>14</v>
      </c>
      <c r="K3102" t="s">
        <v>30</v>
      </c>
    </row>
    <row r="3103" spans="1:11">
      <c r="A3103" t="str">
        <f>"600295"</f>
        <v>600295</v>
      </c>
      <c r="B3103" t="s">
        <v>3447</v>
      </c>
      <c r="C3103">
        <v>281.12</v>
      </c>
      <c r="D3103">
        <v>470.2</v>
      </c>
      <c r="E3103">
        <v>210.08</v>
      </c>
      <c r="F3103">
        <v>27.99</v>
      </c>
      <c r="G3103">
        <v>19.76</v>
      </c>
      <c r="H3103">
        <v>50513</v>
      </c>
      <c r="I3103">
        <v>1.9</v>
      </c>
      <c r="J3103">
        <v>17.5</v>
      </c>
      <c r="K3103" t="s">
        <v>3448</v>
      </c>
    </row>
    <row r="3104" spans="1:11">
      <c r="A3104" t="str">
        <f>"600298"</f>
        <v>600298</v>
      </c>
      <c r="B3104" t="s">
        <v>3449</v>
      </c>
      <c r="C3104">
        <v>374.57</v>
      </c>
      <c r="D3104">
        <v>243.24</v>
      </c>
      <c r="E3104">
        <v>115.76</v>
      </c>
      <c r="F3104">
        <v>8.68</v>
      </c>
      <c r="G3104">
        <v>8.57</v>
      </c>
      <c r="H3104">
        <v>60527</v>
      </c>
      <c r="I3104">
        <v>3.28</v>
      </c>
      <c r="J3104">
        <v>25.48</v>
      </c>
      <c r="K3104" t="s">
        <v>1281</v>
      </c>
    </row>
    <row r="3105" spans="1:11">
      <c r="A3105" t="str">
        <f>"600299"</f>
        <v>600299</v>
      </c>
      <c r="B3105" t="s">
        <v>3450</v>
      </c>
      <c r="C3105">
        <v>241.64</v>
      </c>
      <c r="D3105">
        <v>251.74</v>
      </c>
      <c r="E3105">
        <v>169.13</v>
      </c>
      <c r="F3105">
        <v>30.8</v>
      </c>
      <c r="G3105">
        <v>26.82</v>
      </c>
      <c r="H3105">
        <v>32215</v>
      </c>
      <c r="I3105">
        <v>1.43</v>
      </c>
      <c r="J3105">
        <v>21.01</v>
      </c>
      <c r="K3105" t="s">
        <v>752</v>
      </c>
    </row>
    <row r="3106" spans="1:11">
      <c r="A3106" t="str">
        <f>"600300"</f>
        <v>600300</v>
      </c>
      <c r="B3106" t="s">
        <v>3451</v>
      </c>
      <c r="C3106">
        <v>58.06</v>
      </c>
      <c r="D3106">
        <v>46.83</v>
      </c>
      <c r="E3106">
        <v>35.21</v>
      </c>
      <c r="F3106">
        <v>16.17</v>
      </c>
      <c r="G3106">
        <v>16.17</v>
      </c>
      <c r="H3106">
        <v>81249</v>
      </c>
      <c r="I3106">
        <v>1.65</v>
      </c>
      <c r="J3106">
        <v>18.05</v>
      </c>
      <c r="K3106" t="s">
        <v>488</v>
      </c>
    </row>
    <row r="3107" spans="1:11">
      <c r="A3107" t="str">
        <f>"600301"</f>
        <v>600301</v>
      </c>
      <c r="B3107" t="s">
        <v>3452</v>
      </c>
      <c r="C3107">
        <v>136.32</v>
      </c>
      <c r="D3107">
        <v>83.64</v>
      </c>
      <c r="E3107">
        <v>44.94</v>
      </c>
      <c r="F3107">
        <v>6.33</v>
      </c>
      <c r="G3107">
        <v>2.75</v>
      </c>
      <c r="H3107">
        <v>22239</v>
      </c>
      <c r="I3107">
        <v>6.97</v>
      </c>
      <c r="J3107">
        <v>47.53</v>
      </c>
      <c r="K3107" t="s">
        <v>301</v>
      </c>
    </row>
    <row r="3108" spans="1:11">
      <c r="A3108" t="str">
        <f>"600302"</f>
        <v>600302</v>
      </c>
      <c r="B3108" t="s">
        <v>3453</v>
      </c>
      <c r="C3108">
        <v>36.99</v>
      </c>
      <c r="D3108">
        <v>9.89</v>
      </c>
      <c r="E3108">
        <v>5.93</v>
      </c>
      <c r="F3108">
        <v>3.46</v>
      </c>
      <c r="G3108">
        <v>3.46</v>
      </c>
      <c r="H3108">
        <v>22500</v>
      </c>
      <c r="I3108">
        <v>6.23</v>
      </c>
      <c r="J3108" t="s">
        <v>14</v>
      </c>
      <c r="K3108" t="s">
        <v>758</v>
      </c>
    </row>
    <row r="3109" spans="1:11">
      <c r="A3109" t="str">
        <f>"600303"</f>
        <v>600303</v>
      </c>
      <c r="B3109" t="s">
        <v>3454</v>
      </c>
      <c r="C3109">
        <v>21.96</v>
      </c>
      <c r="D3109">
        <v>33.13</v>
      </c>
      <c r="E3109">
        <v>11.24</v>
      </c>
      <c r="F3109">
        <v>6.84</v>
      </c>
      <c r="G3109">
        <v>6.76</v>
      </c>
      <c r="H3109">
        <v>38844</v>
      </c>
      <c r="I3109">
        <v>1.98</v>
      </c>
      <c r="J3109" t="s">
        <v>14</v>
      </c>
      <c r="K3109" t="s">
        <v>501</v>
      </c>
    </row>
    <row r="3110" spans="1:11">
      <c r="A3110" t="str">
        <f>"600305"</f>
        <v>600305</v>
      </c>
      <c r="B3110" t="s">
        <v>3455</v>
      </c>
      <c r="C3110">
        <v>88.13</v>
      </c>
      <c r="D3110">
        <v>41.32</v>
      </c>
      <c r="E3110">
        <v>33.58</v>
      </c>
      <c r="F3110">
        <v>11.06</v>
      </c>
      <c r="G3110">
        <v>11.03</v>
      </c>
      <c r="H3110">
        <v>85684</v>
      </c>
      <c r="I3110">
        <v>2.63</v>
      </c>
      <c r="J3110">
        <v>46.78</v>
      </c>
      <c r="K3110" t="s">
        <v>1281</v>
      </c>
    </row>
    <row r="3111" spans="1:11">
      <c r="A3111" t="str">
        <f>"600307"</f>
        <v>600307</v>
      </c>
      <c r="B3111" t="s">
        <v>3456</v>
      </c>
      <c r="C3111">
        <v>121.51</v>
      </c>
      <c r="D3111">
        <v>502.02</v>
      </c>
      <c r="E3111">
        <v>68.1</v>
      </c>
      <c r="F3111">
        <v>62.63</v>
      </c>
      <c r="G3111">
        <v>62.63</v>
      </c>
      <c r="H3111">
        <v>186521</v>
      </c>
      <c r="I3111">
        <v>1.78</v>
      </c>
      <c r="J3111" t="s">
        <v>14</v>
      </c>
      <c r="K3111" t="s">
        <v>366</v>
      </c>
    </row>
    <row r="3112" spans="1:11">
      <c r="A3112" t="str">
        <f>"600308"</f>
        <v>600308</v>
      </c>
      <c r="B3112" t="s">
        <v>3457</v>
      </c>
      <c r="C3112">
        <v>59.46</v>
      </c>
      <c r="D3112">
        <v>159.63</v>
      </c>
      <c r="E3112">
        <v>91.84</v>
      </c>
      <c r="F3112">
        <v>15.17</v>
      </c>
      <c r="G3112">
        <v>15.17</v>
      </c>
      <c r="H3112">
        <v>46885</v>
      </c>
      <c r="I3112">
        <v>0.65</v>
      </c>
      <c r="J3112">
        <v>61.44</v>
      </c>
      <c r="K3112" t="s">
        <v>165</v>
      </c>
    </row>
    <row r="3113" spans="1:11">
      <c r="A3113" t="str">
        <f>"600309"</f>
        <v>600309</v>
      </c>
      <c r="B3113" t="s">
        <v>3458</v>
      </c>
      <c r="C3113">
        <v>2435.51</v>
      </c>
      <c r="D3113">
        <v>3283.24</v>
      </c>
      <c r="E3113">
        <v>1051.52</v>
      </c>
      <c r="F3113">
        <v>31.3</v>
      </c>
      <c r="G3113">
        <v>31.3</v>
      </c>
      <c r="H3113">
        <v>243601</v>
      </c>
      <c r="I3113">
        <v>2.32</v>
      </c>
      <c r="J3113">
        <v>19.95</v>
      </c>
      <c r="K3113" t="s">
        <v>939</v>
      </c>
    </row>
    <row r="3114" spans="1:11">
      <c r="A3114" t="str">
        <f>"600310"</f>
        <v>600310</v>
      </c>
      <c r="B3114" t="s">
        <v>3459</v>
      </c>
      <c r="C3114">
        <v>57.16</v>
      </c>
      <c r="D3114">
        <v>232.17</v>
      </c>
      <c r="E3114">
        <v>30.42</v>
      </c>
      <c r="F3114">
        <v>14.66</v>
      </c>
      <c r="G3114">
        <v>14.66</v>
      </c>
      <c r="H3114">
        <v>55538</v>
      </c>
      <c r="I3114">
        <v>1.88</v>
      </c>
      <c r="J3114">
        <v>54.81</v>
      </c>
      <c r="K3114" t="s">
        <v>278</v>
      </c>
    </row>
    <row r="3115" spans="1:11">
      <c r="A3115" t="str">
        <f>"600312"</f>
        <v>600312</v>
      </c>
      <c r="B3115" t="s">
        <v>3460</v>
      </c>
      <c r="C3115">
        <v>262.97</v>
      </c>
      <c r="D3115">
        <v>227.25</v>
      </c>
      <c r="E3115">
        <v>113.78</v>
      </c>
      <c r="F3115">
        <v>13.57</v>
      </c>
      <c r="G3115">
        <v>13.57</v>
      </c>
      <c r="H3115">
        <v>64059</v>
      </c>
      <c r="I3115">
        <v>2.31</v>
      </c>
      <c r="J3115">
        <v>20.08</v>
      </c>
      <c r="K3115" t="s">
        <v>208</v>
      </c>
    </row>
    <row r="3116" spans="1:11">
      <c r="A3116" t="str">
        <f>"600313"</f>
        <v>600313</v>
      </c>
      <c r="B3116" t="s">
        <v>3461</v>
      </c>
      <c r="C3116">
        <v>70.23</v>
      </c>
      <c r="D3116">
        <v>50.89</v>
      </c>
      <c r="E3116">
        <v>19.73</v>
      </c>
      <c r="F3116">
        <v>10.82</v>
      </c>
      <c r="G3116">
        <v>10.82</v>
      </c>
      <c r="H3116">
        <v>103406</v>
      </c>
      <c r="I3116">
        <v>3.56</v>
      </c>
      <c r="J3116">
        <v>84.99</v>
      </c>
      <c r="K3116" t="s">
        <v>373</v>
      </c>
    </row>
    <row r="3117" spans="1:11">
      <c r="A3117" t="str">
        <f>"600315"</f>
        <v>600315</v>
      </c>
      <c r="B3117" t="s">
        <v>3462</v>
      </c>
      <c r="C3117">
        <v>157.3</v>
      </c>
      <c r="D3117">
        <v>104.66</v>
      </c>
      <c r="E3117">
        <v>70.49</v>
      </c>
      <c r="F3117">
        <v>6.72</v>
      </c>
      <c r="G3117">
        <v>6.72</v>
      </c>
      <c r="H3117">
        <v>29608</v>
      </c>
      <c r="I3117">
        <v>2.23</v>
      </c>
      <c r="J3117">
        <v>29.11</v>
      </c>
      <c r="K3117" t="s">
        <v>708</v>
      </c>
    </row>
    <row r="3118" spans="1:11">
      <c r="A3118" t="str">
        <f>"600316"</f>
        <v>600316</v>
      </c>
      <c r="B3118" t="s">
        <v>3463</v>
      </c>
      <c r="C3118">
        <v>273.22</v>
      </c>
      <c r="D3118">
        <v>163.05</v>
      </c>
      <c r="E3118">
        <v>53.67</v>
      </c>
      <c r="F3118">
        <v>7.17</v>
      </c>
      <c r="G3118">
        <v>7.17</v>
      </c>
      <c r="H3118">
        <v>65596</v>
      </c>
      <c r="I3118">
        <v>5.09</v>
      </c>
      <c r="J3118">
        <v>1725.71</v>
      </c>
      <c r="K3118" t="s">
        <v>353</v>
      </c>
    </row>
    <row r="3119" spans="1:11">
      <c r="A3119" t="str">
        <f>"600318"</f>
        <v>600318</v>
      </c>
      <c r="B3119" t="s">
        <v>3464</v>
      </c>
      <c r="C3119">
        <v>47.27</v>
      </c>
      <c r="D3119">
        <v>45.08</v>
      </c>
      <c r="E3119">
        <v>10.93</v>
      </c>
      <c r="F3119">
        <v>5.13</v>
      </c>
      <c r="G3119">
        <v>5.13</v>
      </c>
      <c r="H3119">
        <v>60185</v>
      </c>
      <c r="I3119">
        <v>4.32</v>
      </c>
      <c r="J3119">
        <v>88.92</v>
      </c>
      <c r="K3119" t="s">
        <v>3465</v>
      </c>
    </row>
    <row r="3120" spans="1:11">
      <c r="A3120" t="str">
        <f>"600319"</f>
        <v>600319</v>
      </c>
      <c r="B3120" t="s">
        <v>3466</v>
      </c>
      <c r="C3120">
        <v>31.13</v>
      </c>
      <c r="D3120">
        <v>27.42</v>
      </c>
      <c r="E3120">
        <v>4.03</v>
      </c>
      <c r="F3120">
        <v>3.88</v>
      </c>
      <c r="G3120">
        <v>3.88</v>
      </c>
      <c r="H3120">
        <v>14785</v>
      </c>
      <c r="I3120">
        <v>7.73</v>
      </c>
      <c r="J3120" t="s">
        <v>14</v>
      </c>
      <c r="K3120" t="s">
        <v>177</v>
      </c>
    </row>
    <row r="3121" spans="1:11">
      <c r="A3121" t="str">
        <f>"600320"</f>
        <v>600320</v>
      </c>
      <c r="B3121" t="s">
        <v>3467</v>
      </c>
      <c r="C3121">
        <v>170.42</v>
      </c>
      <c r="D3121">
        <v>822.04</v>
      </c>
      <c r="E3121">
        <v>161.03</v>
      </c>
      <c r="F3121">
        <v>52.68</v>
      </c>
      <c r="G3121">
        <v>33.22</v>
      </c>
      <c r="H3121">
        <v>214651</v>
      </c>
      <c r="I3121">
        <v>1.73</v>
      </c>
      <c r="J3121">
        <v>38.69</v>
      </c>
      <c r="K3121" t="s">
        <v>491</v>
      </c>
    </row>
    <row r="3122" spans="1:11">
      <c r="A3122" t="str">
        <f>"600322"</f>
        <v>600322</v>
      </c>
      <c r="B3122" t="s">
        <v>3468</v>
      </c>
      <c r="C3122">
        <v>25.87</v>
      </c>
      <c r="D3122">
        <v>126.86</v>
      </c>
      <c r="E3122">
        <v>-7.71</v>
      </c>
      <c r="F3122">
        <v>11.06</v>
      </c>
      <c r="G3122">
        <v>11.06</v>
      </c>
      <c r="H3122">
        <v>64286</v>
      </c>
      <c r="I3122">
        <v>-3.36</v>
      </c>
      <c r="J3122" t="s">
        <v>14</v>
      </c>
      <c r="K3122" t="s">
        <v>15</v>
      </c>
    </row>
    <row r="3123" spans="1:11">
      <c r="A3123" t="str">
        <f>"600323"</f>
        <v>600323</v>
      </c>
      <c r="B3123" t="s">
        <v>3469</v>
      </c>
      <c r="C3123">
        <v>236.12</v>
      </c>
      <c r="D3123">
        <v>626.26</v>
      </c>
      <c r="E3123">
        <v>142.12</v>
      </c>
      <c r="F3123">
        <v>8.15</v>
      </c>
      <c r="G3123">
        <v>8.15</v>
      </c>
      <c r="H3123">
        <v>19896</v>
      </c>
      <c r="I3123">
        <v>1.66</v>
      </c>
      <c r="J3123">
        <v>11.03</v>
      </c>
      <c r="K3123" t="s">
        <v>59</v>
      </c>
    </row>
    <row r="3124" spans="1:11">
      <c r="A3124" t="str">
        <f>"600325"</f>
        <v>600325</v>
      </c>
      <c r="B3124" t="s">
        <v>3470</v>
      </c>
      <c r="C3124">
        <v>118.34</v>
      </c>
      <c r="D3124">
        <v>4012.77</v>
      </c>
      <c r="E3124">
        <v>189.82</v>
      </c>
      <c r="F3124">
        <v>27.52</v>
      </c>
      <c r="G3124">
        <v>27.52</v>
      </c>
      <c r="H3124">
        <v>50566</v>
      </c>
      <c r="I3124">
        <v>0.62</v>
      </c>
      <c r="J3124">
        <v>86.76</v>
      </c>
      <c r="K3124" t="s">
        <v>15</v>
      </c>
    </row>
    <row r="3125" spans="1:11">
      <c r="A3125" t="str">
        <f>"600326"</f>
        <v>600326</v>
      </c>
      <c r="B3125" t="s">
        <v>3471</v>
      </c>
      <c r="C3125">
        <v>150.96</v>
      </c>
      <c r="D3125">
        <v>124.87</v>
      </c>
      <c r="E3125">
        <v>39.36</v>
      </c>
      <c r="F3125">
        <v>13.62</v>
      </c>
      <c r="G3125">
        <v>13.62</v>
      </c>
      <c r="H3125">
        <v>193000</v>
      </c>
      <c r="I3125">
        <v>3.78</v>
      </c>
      <c r="J3125">
        <v>500.98</v>
      </c>
      <c r="K3125" t="s">
        <v>129</v>
      </c>
    </row>
    <row r="3126" spans="1:11">
      <c r="A3126" t="str">
        <f>"600327"</f>
        <v>600327</v>
      </c>
      <c r="B3126" t="s">
        <v>3472</v>
      </c>
      <c r="C3126">
        <v>45.39</v>
      </c>
      <c r="D3126">
        <v>54.6</v>
      </c>
      <c r="E3126">
        <v>31.7</v>
      </c>
      <c r="F3126">
        <v>8.85</v>
      </c>
      <c r="G3126">
        <v>8.85</v>
      </c>
      <c r="H3126">
        <v>62574</v>
      </c>
      <c r="I3126">
        <v>1.43</v>
      </c>
      <c r="J3126">
        <v>61.16</v>
      </c>
      <c r="K3126" t="s">
        <v>181</v>
      </c>
    </row>
    <row r="3127" spans="1:11">
      <c r="A3127" t="str">
        <f>"600328"</f>
        <v>600328</v>
      </c>
      <c r="B3127" t="s">
        <v>3473</v>
      </c>
      <c r="C3127">
        <v>124.64</v>
      </c>
      <c r="D3127">
        <v>252.42</v>
      </c>
      <c r="E3127">
        <v>120.11</v>
      </c>
      <c r="F3127">
        <v>14.66</v>
      </c>
      <c r="G3127">
        <v>14.66</v>
      </c>
      <c r="H3127">
        <v>65725</v>
      </c>
      <c r="I3127">
        <v>1.04</v>
      </c>
      <c r="J3127">
        <v>161.63</v>
      </c>
      <c r="K3127" t="s">
        <v>1781</v>
      </c>
    </row>
    <row r="3128" spans="1:11">
      <c r="A3128" t="str">
        <f>"600329"</f>
        <v>600329</v>
      </c>
      <c r="B3128" t="s">
        <v>3474</v>
      </c>
      <c r="C3128">
        <v>259.33</v>
      </c>
      <c r="D3128">
        <v>115.85</v>
      </c>
      <c r="E3128">
        <v>90.09</v>
      </c>
      <c r="F3128">
        <v>7.7</v>
      </c>
      <c r="G3128">
        <v>5.67</v>
      </c>
      <c r="H3128">
        <v>58613</v>
      </c>
      <c r="I3128">
        <v>3.91</v>
      </c>
      <c r="J3128">
        <v>12.27</v>
      </c>
      <c r="K3128" t="s">
        <v>155</v>
      </c>
    </row>
    <row r="3129" spans="1:11">
      <c r="A3129" t="str">
        <f>"600330"</f>
        <v>600330</v>
      </c>
      <c r="B3129" t="s">
        <v>3475</v>
      </c>
      <c r="C3129">
        <v>158.87</v>
      </c>
      <c r="D3129">
        <v>116.11</v>
      </c>
      <c r="E3129">
        <v>80.19</v>
      </c>
      <c r="F3129">
        <v>12.33</v>
      </c>
      <c r="G3129">
        <v>12.33</v>
      </c>
      <c r="H3129">
        <v>128082</v>
      </c>
      <c r="I3129">
        <v>1.98</v>
      </c>
      <c r="J3129">
        <v>207.88</v>
      </c>
      <c r="K3129" t="s">
        <v>493</v>
      </c>
    </row>
    <row r="3130" spans="1:11">
      <c r="A3130" t="str">
        <f>"600331"</f>
        <v>600331</v>
      </c>
      <c r="B3130" t="s">
        <v>3476</v>
      </c>
      <c r="C3130">
        <v>263.35</v>
      </c>
      <c r="D3130">
        <v>37.24</v>
      </c>
      <c r="E3130">
        <v>31.82</v>
      </c>
      <c r="F3130">
        <v>26.42</v>
      </c>
      <c r="G3130">
        <v>20.32</v>
      </c>
      <c r="H3130">
        <v>61040</v>
      </c>
      <c r="I3130">
        <v>10.76</v>
      </c>
      <c r="J3130" t="s">
        <v>14</v>
      </c>
      <c r="K3130" t="s">
        <v>153</v>
      </c>
    </row>
    <row r="3131" spans="1:11">
      <c r="A3131" t="str">
        <f>"600332"</f>
        <v>600332</v>
      </c>
      <c r="B3131" t="s">
        <v>3477</v>
      </c>
      <c r="C3131">
        <v>352.88</v>
      </c>
      <c r="D3131">
        <v>831.69</v>
      </c>
      <c r="E3131">
        <v>379.06</v>
      </c>
      <c r="F3131">
        <v>16.26</v>
      </c>
      <c r="G3131">
        <v>14.06</v>
      </c>
      <c r="H3131">
        <v>101673</v>
      </c>
      <c r="I3131">
        <v>1.08</v>
      </c>
      <c r="J3131">
        <v>9.25</v>
      </c>
      <c r="K3131" t="s">
        <v>155</v>
      </c>
    </row>
    <row r="3132" spans="1:11">
      <c r="A3132" t="str">
        <f>"600333"</f>
        <v>600333</v>
      </c>
      <c r="B3132" t="s">
        <v>3478</v>
      </c>
      <c r="C3132">
        <v>35.26</v>
      </c>
      <c r="D3132">
        <v>66.38</v>
      </c>
      <c r="E3132">
        <v>18.69</v>
      </c>
      <c r="F3132">
        <v>6.09</v>
      </c>
      <c r="G3132">
        <v>6.09</v>
      </c>
      <c r="H3132">
        <v>39658</v>
      </c>
      <c r="I3132">
        <v>1.89</v>
      </c>
      <c r="J3132" t="s">
        <v>14</v>
      </c>
      <c r="K3132" t="s">
        <v>136</v>
      </c>
    </row>
    <row r="3133" spans="1:11">
      <c r="A3133" t="str">
        <f>"600335"</f>
        <v>600335</v>
      </c>
      <c r="B3133" t="s">
        <v>3479</v>
      </c>
      <c r="C3133">
        <v>97.08</v>
      </c>
      <c r="D3133">
        <v>370.32</v>
      </c>
      <c r="E3133">
        <v>116.03</v>
      </c>
      <c r="F3133">
        <v>14.96</v>
      </c>
      <c r="G3133">
        <v>14.96</v>
      </c>
      <c r="H3133">
        <v>39884</v>
      </c>
      <c r="I3133">
        <v>0.84</v>
      </c>
      <c r="J3133">
        <v>20.16</v>
      </c>
      <c r="K3133" t="s">
        <v>3480</v>
      </c>
    </row>
    <row r="3134" spans="1:11">
      <c r="A3134" t="str">
        <f>"600336"</f>
        <v>600336</v>
      </c>
      <c r="B3134" t="s">
        <v>3481</v>
      </c>
      <c r="C3134">
        <v>64</v>
      </c>
      <c r="D3134">
        <v>75.53</v>
      </c>
      <c r="E3134">
        <v>24.28</v>
      </c>
      <c r="F3134">
        <v>7.98</v>
      </c>
      <c r="G3134">
        <v>7.98</v>
      </c>
      <c r="H3134">
        <v>47110</v>
      </c>
      <c r="I3134">
        <v>2.64</v>
      </c>
      <c r="J3134" t="s">
        <v>14</v>
      </c>
      <c r="K3134" t="s">
        <v>190</v>
      </c>
    </row>
    <row r="3135" spans="1:11">
      <c r="A3135" t="str">
        <f>"600337"</f>
        <v>600337</v>
      </c>
      <c r="B3135" t="s">
        <v>3482</v>
      </c>
      <c r="C3135">
        <v>49.29</v>
      </c>
      <c r="D3135">
        <v>69.25</v>
      </c>
      <c r="E3135">
        <v>25.13</v>
      </c>
      <c r="F3135">
        <v>14.37</v>
      </c>
      <c r="G3135">
        <v>14.37</v>
      </c>
      <c r="H3135">
        <v>37294</v>
      </c>
      <c r="I3135">
        <v>1.96</v>
      </c>
      <c r="J3135" t="s">
        <v>14</v>
      </c>
      <c r="K3135" t="s">
        <v>540</v>
      </c>
    </row>
    <row r="3136" spans="1:11">
      <c r="A3136" t="str">
        <f>"600338"</f>
        <v>600338</v>
      </c>
      <c r="B3136" t="s">
        <v>3483</v>
      </c>
      <c r="C3136">
        <v>173.52</v>
      </c>
      <c r="D3136">
        <v>66.72</v>
      </c>
      <c r="E3136">
        <v>43.57</v>
      </c>
      <c r="F3136">
        <v>9.14</v>
      </c>
      <c r="G3136">
        <v>9.14</v>
      </c>
      <c r="H3136">
        <v>118984</v>
      </c>
      <c r="I3136">
        <v>3.98</v>
      </c>
      <c r="J3136">
        <v>29.81</v>
      </c>
      <c r="K3136" t="s">
        <v>79</v>
      </c>
    </row>
    <row r="3137" spans="1:11">
      <c r="A3137" t="str">
        <f>"600339"</f>
        <v>600339</v>
      </c>
      <c r="B3137" t="s">
        <v>3484</v>
      </c>
      <c r="C3137">
        <v>198.76</v>
      </c>
      <c r="D3137">
        <v>1242.02</v>
      </c>
      <c r="E3137">
        <v>267.91</v>
      </c>
      <c r="F3137">
        <v>55.83</v>
      </c>
      <c r="G3137">
        <v>55.83</v>
      </c>
      <c r="H3137">
        <v>68489</v>
      </c>
      <c r="I3137">
        <v>0.74</v>
      </c>
      <c r="J3137">
        <v>28.48</v>
      </c>
      <c r="K3137" t="s">
        <v>1336</v>
      </c>
    </row>
    <row r="3138" spans="1:11">
      <c r="A3138" t="str">
        <f>"600340"</f>
        <v>600340</v>
      </c>
      <c r="B3138" t="s">
        <v>3485</v>
      </c>
      <c r="C3138">
        <v>76.31</v>
      </c>
      <c r="D3138">
        <v>2745.18</v>
      </c>
      <c r="E3138">
        <v>-47.38</v>
      </c>
      <c r="F3138">
        <v>39.14</v>
      </c>
      <c r="G3138">
        <v>38.93</v>
      </c>
      <c r="H3138">
        <v>166978</v>
      </c>
      <c r="I3138">
        <v>-1.61</v>
      </c>
      <c r="J3138" t="s">
        <v>14</v>
      </c>
      <c r="K3138" t="s">
        <v>3274</v>
      </c>
    </row>
    <row r="3139" spans="1:11">
      <c r="A3139" t="str">
        <f>"600343"</f>
        <v>600343</v>
      </c>
      <c r="B3139" t="s">
        <v>3486</v>
      </c>
      <c r="C3139">
        <v>312.66</v>
      </c>
      <c r="D3139">
        <v>28.85</v>
      </c>
      <c r="E3139">
        <v>13.56</v>
      </c>
      <c r="F3139">
        <v>6.38</v>
      </c>
      <c r="G3139">
        <v>6.38</v>
      </c>
      <c r="H3139">
        <v>73100</v>
      </c>
      <c r="I3139">
        <v>23.05</v>
      </c>
      <c r="J3139" t="s">
        <v>14</v>
      </c>
      <c r="K3139" t="s">
        <v>744</v>
      </c>
    </row>
    <row r="3140" spans="1:11">
      <c r="A3140" t="str">
        <f>"600345"</f>
        <v>600345</v>
      </c>
      <c r="B3140" t="s">
        <v>3487</v>
      </c>
      <c r="C3140">
        <v>83.25</v>
      </c>
      <c r="D3140">
        <v>45.94</v>
      </c>
      <c r="E3140">
        <v>35.21</v>
      </c>
      <c r="F3140">
        <v>3.3</v>
      </c>
      <c r="G3140">
        <v>2.12</v>
      </c>
      <c r="H3140">
        <v>23825</v>
      </c>
      <c r="I3140">
        <v>3.68</v>
      </c>
      <c r="J3140">
        <v>584.74</v>
      </c>
      <c r="K3140" t="s">
        <v>933</v>
      </c>
    </row>
    <row r="3141" spans="1:11">
      <c r="A3141" t="str">
        <f>"600346"</f>
        <v>600346</v>
      </c>
      <c r="B3141" t="s">
        <v>3488</v>
      </c>
      <c r="C3141">
        <v>1684.46</v>
      </c>
      <c r="D3141">
        <v>2740.71</v>
      </c>
      <c r="E3141">
        <v>646.27</v>
      </c>
      <c r="F3141">
        <v>70.39</v>
      </c>
      <c r="G3141">
        <v>70.39</v>
      </c>
      <c r="H3141">
        <v>67317</v>
      </c>
      <c r="I3141">
        <v>2.61</v>
      </c>
      <c r="J3141">
        <v>25.15</v>
      </c>
      <c r="K3141" t="s">
        <v>77</v>
      </c>
    </row>
    <row r="3142" spans="1:11">
      <c r="A3142" t="str">
        <f>"600348"</f>
        <v>600348</v>
      </c>
      <c r="B3142" t="s">
        <v>3489</v>
      </c>
      <c r="C3142">
        <v>299.42</v>
      </c>
      <c r="D3142">
        <v>833.09</v>
      </c>
      <c r="E3142">
        <v>335.79</v>
      </c>
      <c r="F3142">
        <v>36.08</v>
      </c>
      <c r="G3142">
        <v>36.08</v>
      </c>
      <c r="H3142">
        <v>99000</v>
      </c>
      <c r="I3142">
        <v>1.08</v>
      </c>
      <c r="J3142">
        <v>19.98</v>
      </c>
      <c r="K3142" t="s">
        <v>567</v>
      </c>
    </row>
    <row r="3143" spans="1:11">
      <c r="A3143" t="str">
        <f>"600350"</f>
        <v>600350</v>
      </c>
      <c r="B3143" t="s">
        <v>3490</v>
      </c>
      <c r="C3143">
        <v>468.95</v>
      </c>
      <c r="D3143">
        <v>1629.47</v>
      </c>
      <c r="E3143">
        <v>445.88</v>
      </c>
      <c r="F3143">
        <v>48.35</v>
      </c>
      <c r="G3143">
        <v>48.35</v>
      </c>
      <c r="H3143">
        <v>44925</v>
      </c>
      <c r="I3143">
        <v>1.58</v>
      </c>
      <c r="J3143">
        <v>13.43</v>
      </c>
      <c r="K3143" t="s">
        <v>161</v>
      </c>
    </row>
    <row r="3144" spans="1:11">
      <c r="A3144" t="str">
        <f>"600351"</f>
        <v>600351</v>
      </c>
      <c r="B3144" t="s">
        <v>3491</v>
      </c>
      <c r="C3144">
        <v>46.5</v>
      </c>
      <c r="D3144">
        <v>33.43</v>
      </c>
      <c r="E3144">
        <v>27.96</v>
      </c>
      <c r="F3144">
        <v>6.92</v>
      </c>
      <c r="G3144">
        <v>6.92</v>
      </c>
      <c r="H3144">
        <v>53669</v>
      </c>
      <c r="I3144">
        <v>1.68</v>
      </c>
      <c r="J3144">
        <v>16.21</v>
      </c>
      <c r="K3144" t="s">
        <v>155</v>
      </c>
    </row>
    <row r="3145" spans="1:11">
      <c r="A3145" t="str">
        <f>"600352"</f>
        <v>600352</v>
      </c>
      <c r="B3145" t="s">
        <v>3492</v>
      </c>
      <c r="C3145">
        <v>360.47</v>
      </c>
      <c r="D3145">
        <v>764.98</v>
      </c>
      <c r="E3145">
        <v>341.5</v>
      </c>
      <c r="F3145">
        <v>32.53</v>
      </c>
      <c r="G3145">
        <v>32.53</v>
      </c>
      <c r="H3145">
        <v>99096</v>
      </c>
      <c r="I3145">
        <v>1.06</v>
      </c>
      <c r="J3145">
        <v>19.35</v>
      </c>
      <c r="K3145" t="s">
        <v>812</v>
      </c>
    </row>
    <row r="3146" spans="1:11">
      <c r="A3146" t="str">
        <f>"600353"</f>
        <v>600353</v>
      </c>
      <c r="B3146" t="s">
        <v>3493</v>
      </c>
      <c r="C3146">
        <v>150.76</v>
      </c>
      <c r="D3146">
        <v>35.48</v>
      </c>
      <c r="E3146">
        <v>18.69</v>
      </c>
      <c r="F3146">
        <v>8.3</v>
      </c>
      <c r="G3146">
        <v>8.29</v>
      </c>
      <c r="H3146">
        <v>67597</v>
      </c>
      <c r="I3146">
        <v>8.08</v>
      </c>
      <c r="J3146">
        <v>112.02</v>
      </c>
      <c r="K3146" t="s">
        <v>82</v>
      </c>
    </row>
    <row r="3147" spans="1:11">
      <c r="A3147" t="str">
        <f>"600354"</f>
        <v>600354</v>
      </c>
      <c r="B3147" t="s">
        <v>3494</v>
      </c>
      <c r="C3147">
        <v>34.73</v>
      </c>
      <c r="D3147">
        <v>17.38</v>
      </c>
      <c r="E3147">
        <v>6.89</v>
      </c>
      <c r="F3147">
        <v>5.28</v>
      </c>
      <c r="G3147">
        <v>5.28</v>
      </c>
      <c r="H3147">
        <v>54206</v>
      </c>
      <c r="I3147">
        <v>5.04</v>
      </c>
      <c r="J3147">
        <v>69.97</v>
      </c>
      <c r="K3147" t="s">
        <v>373</v>
      </c>
    </row>
    <row r="3148" spans="1:11">
      <c r="A3148" t="str">
        <f>"600355"</f>
        <v>600355</v>
      </c>
      <c r="B3148" t="s">
        <v>3495</v>
      </c>
      <c r="C3148">
        <v>10.83</v>
      </c>
      <c r="D3148">
        <v>2.52</v>
      </c>
      <c r="E3148">
        <v>1.05</v>
      </c>
      <c r="F3148">
        <v>4.92</v>
      </c>
      <c r="G3148">
        <v>4.92</v>
      </c>
      <c r="H3148">
        <v>37295</v>
      </c>
      <c r="I3148">
        <v>10.28</v>
      </c>
      <c r="J3148" t="s">
        <v>14</v>
      </c>
      <c r="K3148" t="s">
        <v>493</v>
      </c>
    </row>
    <row r="3149" spans="1:11">
      <c r="A3149" t="str">
        <f>"600356"</f>
        <v>600356</v>
      </c>
      <c r="B3149" t="s">
        <v>3496</v>
      </c>
      <c r="C3149">
        <v>26.44</v>
      </c>
      <c r="D3149">
        <v>36.99</v>
      </c>
      <c r="E3149">
        <v>26.86</v>
      </c>
      <c r="F3149">
        <v>2.99</v>
      </c>
      <c r="G3149">
        <v>2.99</v>
      </c>
      <c r="H3149">
        <v>14611</v>
      </c>
      <c r="I3149">
        <v>0.98</v>
      </c>
      <c r="J3149">
        <v>13.37</v>
      </c>
      <c r="K3149" t="s">
        <v>765</v>
      </c>
    </row>
    <row r="3150" spans="1:11">
      <c r="A3150" t="str">
        <f>"600358"</f>
        <v>600358</v>
      </c>
      <c r="B3150" t="s">
        <v>3497</v>
      </c>
      <c r="C3150">
        <v>29.94</v>
      </c>
      <c r="D3150">
        <v>5.14</v>
      </c>
      <c r="E3150">
        <v>0.73</v>
      </c>
      <c r="F3150">
        <v>5.05</v>
      </c>
      <c r="G3150">
        <v>5.05</v>
      </c>
      <c r="H3150">
        <v>26395</v>
      </c>
      <c r="I3150">
        <v>40.9</v>
      </c>
      <c r="J3150" t="s">
        <v>14</v>
      </c>
      <c r="K3150" t="s">
        <v>333</v>
      </c>
    </row>
    <row r="3151" spans="1:11">
      <c r="A3151" t="str">
        <f>"600359"</f>
        <v>600359</v>
      </c>
      <c r="B3151" t="s">
        <v>3498</v>
      </c>
      <c r="C3151">
        <v>28.38</v>
      </c>
      <c r="D3151">
        <v>15.33</v>
      </c>
      <c r="E3151">
        <v>6.69</v>
      </c>
      <c r="F3151">
        <v>3.82</v>
      </c>
      <c r="G3151">
        <v>3.82</v>
      </c>
      <c r="H3151">
        <v>38281</v>
      </c>
      <c r="I3151">
        <v>4.24</v>
      </c>
      <c r="J3151">
        <v>197.82</v>
      </c>
      <c r="K3151" t="s">
        <v>3305</v>
      </c>
    </row>
    <row r="3152" spans="1:11">
      <c r="A3152" t="str">
        <f>"600360"</f>
        <v>600360</v>
      </c>
      <c r="B3152" t="s">
        <v>3499</v>
      </c>
      <c r="C3152">
        <v>78.36</v>
      </c>
      <c r="D3152">
        <v>56.17</v>
      </c>
      <c r="E3152">
        <v>34.3</v>
      </c>
      <c r="F3152">
        <v>9.6</v>
      </c>
      <c r="G3152">
        <v>9.6</v>
      </c>
      <c r="H3152">
        <v>55325</v>
      </c>
      <c r="I3152">
        <v>2.28</v>
      </c>
      <c r="J3152">
        <v>39.34</v>
      </c>
      <c r="K3152" t="s">
        <v>1852</v>
      </c>
    </row>
    <row r="3153" spans="1:11">
      <c r="A3153" t="str">
        <f>"600361"</f>
        <v>600361</v>
      </c>
      <c r="B3153" t="s">
        <v>3500</v>
      </c>
      <c r="C3153">
        <v>167.52</v>
      </c>
      <c r="D3153">
        <v>283.8</v>
      </c>
      <c r="E3153">
        <v>111.6</v>
      </c>
      <c r="F3153">
        <v>37.56</v>
      </c>
      <c r="G3153">
        <v>37.56</v>
      </c>
      <c r="H3153">
        <v>63677</v>
      </c>
      <c r="I3153">
        <v>1.5</v>
      </c>
      <c r="J3153">
        <v>17.71</v>
      </c>
      <c r="K3153" t="s">
        <v>288</v>
      </c>
    </row>
    <row r="3154" spans="1:11">
      <c r="A3154" t="str">
        <f>"600362"</f>
        <v>600362</v>
      </c>
      <c r="B3154" t="s">
        <v>3501</v>
      </c>
      <c r="C3154">
        <v>1241</v>
      </c>
      <c r="D3154">
        <v>2355.02</v>
      </c>
      <c r="E3154">
        <v>816.77</v>
      </c>
      <c r="F3154">
        <v>34.63</v>
      </c>
      <c r="G3154">
        <v>20.75</v>
      </c>
      <c r="H3154">
        <v>167630</v>
      </c>
      <c r="I3154">
        <v>2.54</v>
      </c>
      <c r="J3154">
        <v>25.78</v>
      </c>
      <c r="K3154" t="s">
        <v>303</v>
      </c>
    </row>
    <row r="3155" spans="1:11">
      <c r="A3155" t="str">
        <f>"600363"</f>
        <v>600363</v>
      </c>
      <c r="B3155" t="s">
        <v>3502</v>
      </c>
      <c r="C3155">
        <v>318.78</v>
      </c>
      <c r="D3155">
        <v>87.78</v>
      </c>
      <c r="E3155">
        <v>44.3</v>
      </c>
      <c r="F3155">
        <v>4.51</v>
      </c>
      <c r="G3155">
        <v>4.51</v>
      </c>
      <c r="H3155">
        <v>48691</v>
      </c>
      <c r="I3155">
        <v>7.24</v>
      </c>
      <c r="J3155">
        <v>59.71</v>
      </c>
      <c r="K3155" t="s">
        <v>82</v>
      </c>
    </row>
    <row r="3156" spans="1:11">
      <c r="A3156" t="str">
        <f>"600365"</f>
        <v>600365</v>
      </c>
      <c r="B3156" t="s">
        <v>3503</v>
      </c>
      <c r="C3156">
        <v>13.59</v>
      </c>
      <c r="D3156">
        <v>7.72</v>
      </c>
      <c r="E3156">
        <v>2.62</v>
      </c>
      <c r="F3156">
        <v>4.54</v>
      </c>
      <c r="G3156">
        <v>4.27</v>
      </c>
      <c r="H3156">
        <v>13288</v>
      </c>
      <c r="I3156">
        <v>5.48</v>
      </c>
      <c r="J3156" t="s">
        <v>14</v>
      </c>
      <c r="K3156" t="s">
        <v>778</v>
      </c>
    </row>
    <row r="3157" spans="1:11">
      <c r="A3157" t="str">
        <f>"600366"</f>
        <v>600366</v>
      </c>
      <c r="B3157" t="s">
        <v>3504</v>
      </c>
      <c r="C3157">
        <v>156.17</v>
      </c>
      <c r="D3157">
        <v>103.02</v>
      </c>
      <c r="E3157">
        <v>61.21</v>
      </c>
      <c r="F3157">
        <v>10.99</v>
      </c>
      <c r="G3157">
        <v>10.99</v>
      </c>
      <c r="H3157">
        <v>157164</v>
      </c>
      <c r="I3157">
        <v>2.55</v>
      </c>
      <c r="J3157">
        <v>42.45</v>
      </c>
      <c r="K3157" t="s">
        <v>442</v>
      </c>
    </row>
    <row r="3158" spans="1:11">
      <c r="A3158" t="str">
        <f>"600367"</f>
        <v>600367</v>
      </c>
      <c r="B3158" t="s">
        <v>3505</v>
      </c>
      <c r="C3158">
        <v>64.07</v>
      </c>
      <c r="D3158">
        <v>33.05</v>
      </c>
      <c r="E3158">
        <v>24.74</v>
      </c>
      <c r="F3158">
        <v>3.41</v>
      </c>
      <c r="G3158">
        <v>3.22</v>
      </c>
      <c r="H3158">
        <v>41996</v>
      </c>
      <c r="I3158">
        <v>2.74</v>
      </c>
      <c r="J3158">
        <v>47.42</v>
      </c>
      <c r="K3158" t="s">
        <v>1781</v>
      </c>
    </row>
    <row r="3159" spans="1:11">
      <c r="A3159" t="str">
        <f>"600368"</f>
        <v>600368</v>
      </c>
      <c r="B3159" t="s">
        <v>3506</v>
      </c>
      <c r="C3159">
        <v>64.06</v>
      </c>
      <c r="D3159">
        <v>105.38</v>
      </c>
      <c r="E3159">
        <v>71.68</v>
      </c>
      <c r="F3159">
        <v>16.1</v>
      </c>
      <c r="G3159">
        <v>16.1</v>
      </c>
      <c r="H3159">
        <v>64958</v>
      </c>
      <c r="I3159">
        <v>0.89</v>
      </c>
      <c r="J3159">
        <v>9.45</v>
      </c>
      <c r="K3159" t="s">
        <v>161</v>
      </c>
    </row>
    <row r="3160" spans="1:11">
      <c r="A3160" t="str">
        <f>"600369"</f>
        <v>600369</v>
      </c>
      <c r="B3160" t="s">
        <v>3507</v>
      </c>
      <c r="C3160">
        <v>303.02</v>
      </c>
      <c r="D3160">
        <v>965.34</v>
      </c>
      <c r="E3160">
        <v>259.33</v>
      </c>
      <c r="F3160">
        <v>66.45</v>
      </c>
      <c r="G3160">
        <v>66.45</v>
      </c>
      <c r="H3160">
        <v>117930</v>
      </c>
      <c r="I3160">
        <v>1.17</v>
      </c>
      <c r="J3160">
        <v>32.2</v>
      </c>
      <c r="K3160" t="s">
        <v>120</v>
      </c>
    </row>
    <row r="3161" spans="1:11">
      <c r="A3161" t="str">
        <f>"600370"</f>
        <v>600370</v>
      </c>
      <c r="B3161" t="s">
        <v>3508</v>
      </c>
      <c r="C3161">
        <v>103.26</v>
      </c>
      <c r="D3161">
        <v>195.21</v>
      </c>
      <c r="E3161">
        <v>52.43</v>
      </c>
      <c r="F3161">
        <v>38.97</v>
      </c>
      <c r="G3161">
        <v>38.97</v>
      </c>
      <c r="H3161">
        <v>35194</v>
      </c>
      <c r="I3161">
        <v>2.09</v>
      </c>
      <c r="J3161" t="s">
        <v>14</v>
      </c>
      <c r="K3161" t="s">
        <v>601</v>
      </c>
    </row>
    <row r="3162" spans="1:11">
      <c r="A3162" t="str">
        <f>"600371"</f>
        <v>600371</v>
      </c>
      <c r="B3162" t="s">
        <v>3509</v>
      </c>
      <c r="C3162">
        <v>26.1</v>
      </c>
      <c r="D3162">
        <v>7.25</v>
      </c>
      <c r="E3162">
        <v>5.49</v>
      </c>
      <c r="F3162">
        <v>2.93</v>
      </c>
      <c r="G3162">
        <v>2.93</v>
      </c>
      <c r="H3162">
        <v>32180</v>
      </c>
      <c r="I3162">
        <v>4.75</v>
      </c>
      <c r="J3162">
        <v>101.19</v>
      </c>
      <c r="K3162" t="s">
        <v>373</v>
      </c>
    </row>
    <row r="3163" spans="1:11">
      <c r="A3163" t="str">
        <f>"600372"</f>
        <v>600372</v>
      </c>
      <c r="B3163" t="s">
        <v>3510</v>
      </c>
      <c r="C3163">
        <v>737.93</v>
      </c>
      <c r="D3163">
        <v>813</v>
      </c>
      <c r="E3163">
        <v>383.24</v>
      </c>
      <c r="F3163">
        <v>48.39</v>
      </c>
      <c r="G3163">
        <v>48.39</v>
      </c>
      <c r="H3163">
        <v>168488</v>
      </c>
      <c r="I3163">
        <v>1.93</v>
      </c>
      <c r="J3163">
        <v>55.92</v>
      </c>
      <c r="K3163" t="s">
        <v>353</v>
      </c>
    </row>
    <row r="3164" spans="1:11">
      <c r="A3164" t="str">
        <f>"600373"</f>
        <v>600373</v>
      </c>
      <c r="B3164" t="s">
        <v>3511</v>
      </c>
      <c r="C3164">
        <v>137.7</v>
      </c>
      <c r="D3164">
        <v>279.71</v>
      </c>
      <c r="E3164">
        <v>174.38</v>
      </c>
      <c r="F3164">
        <v>13.68</v>
      </c>
      <c r="G3164">
        <v>13.47</v>
      </c>
      <c r="H3164">
        <v>49521</v>
      </c>
      <c r="I3164">
        <v>0.8</v>
      </c>
      <c r="J3164">
        <v>26.24</v>
      </c>
      <c r="K3164" t="s">
        <v>381</v>
      </c>
    </row>
    <row r="3165" spans="1:11">
      <c r="A3165" t="str">
        <f>"600375"</f>
        <v>600375</v>
      </c>
      <c r="B3165" t="s">
        <v>3512</v>
      </c>
      <c r="C3165">
        <v>78.96</v>
      </c>
      <c r="D3165">
        <v>82.59</v>
      </c>
      <c r="E3165">
        <v>33.44</v>
      </c>
      <c r="F3165">
        <v>16.03</v>
      </c>
      <c r="G3165">
        <v>13.23</v>
      </c>
      <c r="H3165">
        <v>66608</v>
      </c>
      <c r="I3165">
        <v>2.86</v>
      </c>
      <c r="J3165">
        <v>176.65</v>
      </c>
      <c r="K3165" t="s">
        <v>226</v>
      </c>
    </row>
    <row r="3166" spans="1:11">
      <c r="A3166" t="str">
        <f>"600376"</f>
        <v>600376</v>
      </c>
      <c r="B3166" t="s">
        <v>3513</v>
      </c>
      <c r="C3166">
        <v>148.58</v>
      </c>
      <c r="D3166">
        <v>2069.32</v>
      </c>
      <c r="E3166">
        <v>132.81</v>
      </c>
      <c r="F3166">
        <v>25.8</v>
      </c>
      <c r="G3166">
        <v>25.8</v>
      </c>
      <c r="H3166">
        <v>194252</v>
      </c>
      <c r="I3166">
        <v>2.28</v>
      </c>
      <c r="J3166" t="s">
        <v>14</v>
      </c>
      <c r="K3166" t="s">
        <v>15</v>
      </c>
    </row>
    <row r="3167" spans="1:11">
      <c r="A3167" t="str">
        <f>"600377"</f>
        <v>600377</v>
      </c>
      <c r="B3167" t="s">
        <v>3514</v>
      </c>
      <c r="C3167">
        <v>444.86</v>
      </c>
      <c r="D3167">
        <v>928.52</v>
      </c>
      <c r="E3167">
        <v>402.83</v>
      </c>
      <c r="F3167">
        <v>50.38</v>
      </c>
      <c r="G3167">
        <v>38.02</v>
      </c>
      <c r="H3167">
        <v>38110</v>
      </c>
      <c r="I3167">
        <v>1.46</v>
      </c>
      <c r="J3167">
        <v>11.52</v>
      </c>
      <c r="K3167" t="s">
        <v>161</v>
      </c>
    </row>
    <row r="3168" spans="1:11">
      <c r="A3168" t="str">
        <f>"600378"</f>
        <v>600378</v>
      </c>
      <c r="B3168" t="s">
        <v>3515</v>
      </c>
      <c r="C3168">
        <v>367.46</v>
      </c>
      <c r="D3168">
        <v>308.11</v>
      </c>
      <c r="E3168">
        <v>179.97</v>
      </c>
      <c r="F3168">
        <v>12.9</v>
      </c>
      <c r="G3168">
        <v>10.73</v>
      </c>
      <c r="H3168">
        <v>27018</v>
      </c>
      <c r="I3168">
        <v>2.46</v>
      </c>
      <c r="J3168">
        <v>26.91</v>
      </c>
      <c r="K3168" t="s">
        <v>1115</v>
      </c>
    </row>
    <row r="3169" spans="1:11">
      <c r="A3169" t="str">
        <f>"600379"</f>
        <v>600379</v>
      </c>
      <c r="B3169" t="s">
        <v>3516</v>
      </c>
      <c r="C3169">
        <v>40.81</v>
      </c>
      <c r="D3169">
        <v>18.31</v>
      </c>
      <c r="E3169">
        <v>7.76</v>
      </c>
      <c r="F3169">
        <v>3.3</v>
      </c>
      <c r="G3169">
        <v>3.3</v>
      </c>
      <c r="H3169">
        <v>19398</v>
      </c>
      <c r="I3169">
        <v>5.26</v>
      </c>
      <c r="J3169">
        <v>61.87</v>
      </c>
      <c r="K3169" t="s">
        <v>208</v>
      </c>
    </row>
    <row r="3170" spans="1:11">
      <c r="A3170" t="str">
        <f>"600380"</f>
        <v>600380</v>
      </c>
      <c r="B3170" t="s">
        <v>3517</v>
      </c>
      <c r="C3170">
        <v>221.18</v>
      </c>
      <c r="D3170">
        <v>360.14</v>
      </c>
      <c r="E3170">
        <v>148.67</v>
      </c>
      <c r="F3170">
        <v>18.29</v>
      </c>
      <c r="G3170">
        <v>18.29</v>
      </c>
      <c r="H3170">
        <v>81433</v>
      </c>
      <c r="I3170">
        <v>1.49</v>
      </c>
      <c r="J3170">
        <v>15.2</v>
      </c>
      <c r="K3170" t="s">
        <v>109</v>
      </c>
    </row>
    <row r="3171" spans="1:11">
      <c r="A3171" t="str">
        <f>"600381"</f>
        <v>600381</v>
      </c>
      <c r="B3171" t="s">
        <v>3518</v>
      </c>
      <c r="C3171">
        <v>23.95</v>
      </c>
      <c r="D3171">
        <v>10.8</v>
      </c>
      <c r="E3171">
        <v>10.3</v>
      </c>
      <c r="F3171">
        <v>5.87</v>
      </c>
      <c r="G3171">
        <v>5.87</v>
      </c>
      <c r="H3171">
        <v>26465</v>
      </c>
      <c r="I3171">
        <v>2.33</v>
      </c>
      <c r="J3171" t="s">
        <v>14</v>
      </c>
      <c r="K3171" t="s">
        <v>1409</v>
      </c>
    </row>
    <row r="3172" spans="1:11">
      <c r="A3172" t="str">
        <f>"600382"</f>
        <v>600382</v>
      </c>
      <c r="B3172" t="s">
        <v>3519</v>
      </c>
      <c r="C3172">
        <v>55</v>
      </c>
      <c r="D3172">
        <v>34.22</v>
      </c>
      <c r="E3172">
        <v>28.42</v>
      </c>
      <c r="F3172">
        <v>6.94</v>
      </c>
      <c r="G3172">
        <v>6.94</v>
      </c>
      <c r="H3172">
        <v>18384</v>
      </c>
      <c r="I3172">
        <v>1.94</v>
      </c>
      <c r="J3172">
        <v>17.65</v>
      </c>
      <c r="K3172" t="s">
        <v>319</v>
      </c>
    </row>
    <row r="3173" spans="1:11">
      <c r="A3173" t="str">
        <f>"600383"</f>
        <v>600383</v>
      </c>
      <c r="B3173" t="s">
        <v>3520</v>
      </c>
      <c r="C3173">
        <v>140.4</v>
      </c>
      <c r="D3173">
        <v>2620.87</v>
      </c>
      <c r="E3173">
        <v>545.29</v>
      </c>
      <c r="F3173">
        <v>45.15</v>
      </c>
      <c r="G3173">
        <v>45.15</v>
      </c>
      <c r="H3173">
        <v>101000</v>
      </c>
      <c r="I3173">
        <v>0.26</v>
      </c>
      <c r="J3173" t="s">
        <v>14</v>
      </c>
      <c r="K3173" t="s">
        <v>15</v>
      </c>
    </row>
    <row r="3174" spans="1:11">
      <c r="A3174" t="str">
        <f>"600386"</f>
        <v>600386</v>
      </c>
      <c r="B3174" t="s">
        <v>3521</v>
      </c>
      <c r="C3174">
        <v>37.09</v>
      </c>
      <c r="D3174">
        <v>44.85</v>
      </c>
      <c r="E3174">
        <v>17.86</v>
      </c>
      <c r="F3174">
        <v>8.06</v>
      </c>
      <c r="G3174">
        <v>8.06</v>
      </c>
      <c r="H3174">
        <v>24793</v>
      </c>
      <c r="I3174">
        <v>2.08</v>
      </c>
      <c r="J3174">
        <v>541.34</v>
      </c>
      <c r="K3174" t="s">
        <v>412</v>
      </c>
    </row>
    <row r="3175" spans="1:11">
      <c r="A3175" t="str">
        <f>"600388"</f>
        <v>600388</v>
      </c>
      <c r="B3175" t="s">
        <v>3522</v>
      </c>
      <c r="C3175">
        <v>197.62</v>
      </c>
      <c r="D3175">
        <v>284.24</v>
      </c>
      <c r="E3175">
        <v>106.32</v>
      </c>
      <c r="F3175">
        <v>12.7</v>
      </c>
      <c r="G3175">
        <v>12.7</v>
      </c>
      <c r="H3175">
        <v>44360</v>
      </c>
      <c r="I3175">
        <v>1.86</v>
      </c>
      <c r="J3175">
        <v>18.99</v>
      </c>
      <c r="K3175" t="s">
        <v>228</v>
      </c>
    </row>
    <row r="3176" spans="1:11">
      <c r="A3176" t="str">
        <f>"600389"</f>
        <v>600389</v>
      </c>
      <c r="B3176" t="s">
        <v>3523</v>
      </c>
      <c r="C3176">
        <v>98.75</v>
      </c>
      <c r="D3176">
        <v>94.36</v>
      </c>
      <c r="E3176">
        <v>40.96</v>
      </c>
      <c r="F3176">
        <v>4.31</v>
      </c>
      <c r="G3176">
        <v>4.31</v>
      </c>
      <c r="H3176">
        <v>19132</v>
      </c>
      <c r="I3176">
        <v>2.41</v>
      </c>
      <c r="J3176">
        <v>17.42</v>
      </c>
      <c r="K3176" t="s">
        <v>196</v>
      </c>
    </row>
    <row r="3177" spans="1:11">
      <c r="A3177" t="str">
        <f>"600390"</f>
        <v>600390</v>
      </c>
      <c r="B3177" t="s">
        <v>3524</v>
      </c>
      <c r="C3177">
        <v>273.03</v>
      </c>
      <c r="D3177">
        <v>1554.19</v>
      </c>
      <c r="E3177">
        <v>443.95</v>
      </c>
      <c r="F3177">
        <v>44.98</v>
      </c>
      <c r="G3177">
        <v>44.98</v>
      </c>
      <c r="H3177">
        <v>130107</v>
      </c>
      <c r="I3177">
        <v>0.64</v>
      </c>
      <c r="J3177">
        <v>27.15</v>
      </c>
      <c r="K3177" t="s">
        <v>292</v>
      </c>
    </row>
    <row r="3178" spans="1:11">
      <c r="A3178" t="str">
        <f>"600391"</f>
        <v>600391</v>
      </c>
      <c r="B3178" t="s">
        <v>3525</v>
      </c>
      <c r="C3178">
        <v>133.11</v>
      </c>
      <c r="D3178">
        <v>79.99</v>
      </c>
      <c r="E3178">
        <v>17.55</v>
      </c>
      <c r="F3178">
        <v>3.3</v>
      </c>
      <c r="G3178">
        <v>3.3</v>
      </c>
      <c r="H3178">
        <v>55318</v>
      </c>
      <c r="I3178">
        <v>7.58</v>
      </c>
      <c r="J3178">
        <v>340.5</v>
      </c>
      <c r="K3178" t="s">
        <v>353</v>
      </c>
    </row>
    <row r="3179" spans="1:11">
      <c r="A3179" t="str">
        <f>"600392"</f>
        <v>600392</v>
      </c>
      <c r="B3179" t="s">
        <v>3526</v>
      </c>
      <c r="C3179">
        <v>410.34</v>
      </c>
      <c r="D3179">
        <v>221.59</v>
      </c>
      <c r="E3179">
        <v>133.06</v>
      </c>
      <c r="F3179">
        <v>17.53</v>
      </c>
      <c r="G3179">
        <v>17.53</v>
      </c>
      <c r="H3179">
        <v>200720</v>
      </c>
      <c r="I3179">
        <v>3.08</v>
      </c>
      <c r="J3179">
        <v>39.07</v>
      </c>
      <c r="K3179" t="s">
        <v>481</v>
      </c>
    </row>
    <row r="3180" spans="1:11">
      <c r="A3180" t="str">
        <f>"600395"</f>
        <v>600395</v>
      </c>
      <c r="B3180" t="s">
        <v>3527</v>
      </c>
      <c r="C3180">
        <v>102.18</v>
      </c>
      <c r="D3180">
        <v>465.04</v>
      </c>
      <c r="E3180">
        <v>105.06</v>
      </c>
      <c r="F3180">
        <v>21.47</v>
      </c>
      <c r="G3180">
        <v>21.47</v>
      </c>
      <c r="H3180">
        <v>42474</v>
      </c>
      <c r="I3180">
        <v>0.97</v>
      </c>
      <c r="J3180" t="s">
        <v>14</v>
      </c>
      <c r="K3180" t="s">
        <v>567</v>
      </c>
    </row>
    <row r="3181" spans="1:11">
      <c r="A3181" t="str">
        <f>"600396"</f>
        <v>600396</v>
      </c>
      <c r="B3181" t="s">
        <v>3528</v>
      </c>
      <c r="C3181">
        <v>43.89</v>
      </c>
      <c r="D3181">
        <v>140.33</v>
      </c>
      <c r="E3181">
        <v>13.51</v>
      </c>
      <c r="F3181">
        <v>14.73</v>
      </c>
      <c r="G3181">
        <v>14.73</v>
      </c>
      <c r="H3181">
        <v>64315</v>
      </c>
      <c r="I3181">
        <v>3.25</v>
      </c>
      <c r="J3181">
        <v>990.16</v>
      </c>
      <c r="K3181" t="s">
        <v>46</v>
      </c>
    </row>
    <row r="3182" spans="1:11">
      <c r="A3182" t="str">
        <f>"600397"</f>
        <v>600397</v>
      </c>
      <c r="B3182" t="s">
        <v>3529</v>
      </c>
      <c r="C3182">
        <v>91.47</v>
      </c>
      <c r="D3182">
        <v>8</v>
      </c>
      <c r="E3182">
        <v>1.55</v>
      </c>
      <c r="F3182">
        <v>9.9</v>
      </c>
      <c r="G3182">
        <v>9.9</v>
      </c>
      <c r="H3182">
        <v>49695</v>
      </c>
      <c r="I3182">
        <v>58.85</v>
      </c>
      <c r="J3182" t="s">
        <v>14</v>
      </c>
      <c r="K3182" t="s">
        <v>230</v>
      </c>
    </row>
    <row r="3183" spans="1:11">
      <c r="A3183" t="str">
        <f>"600398"</f>
        <v>600398</v>
      </c>
      <c r="B3183" t="s">
        <v>3530</v>
      </c>
      <c r="C3183">
        <v>297.29</v>
      </c>
      <c r="D3183">
        <v>330.87</v>
      </c>
      <c r="E3183">
        <v>180.12</v>
      </c>
      <c r="F3183">
        <v>48.03</v>
      </c>
      <c r="G3183">
        <v>48.03</v>
      </c>
      <c r="H3183">
        <v>62651</v>
      </c>
      <c r="I3183">
        <v>1.65</v>
      </c>
      <c r="J3183">
        <v>11.97</v>
      </c>
      <c r="K3183" t="s">
        <v>622</v>
      </c>
    </row>
    <row r="3184" spans="1:11">
      <c r="A3184" t="str">
        <f>"600399"</f>
        <v>600399</v>
      </c>
      <c r="B3184" t="s">
        <v>3531</v>
      </c>
      <c r="C3184">
        <v>138.84</v>
      </c>
      <c r="D3184">
        <v>127.25</v>
      </c>
      <c r="E3184">
        <v>57.64</v>
      </c>
      <c r="F3184">
        <v>19.72</v>
      </c>
      <c r="G3184">
        <v>19.72</v>
      </c>
      <c r="H3184">
        <v>93982</v>
      </c>
      <c r="I3184">
        <v>2.41</v>
      </c>
      <c r="J3184" t="s">
        <v>14</v>
      </c>
      <c r="K3184" t="s">
        <v>364</v>
      </c>
    </row>
    <row r="3185" spans="1:11">
      <c r="A3185" t="str">
        <f>"600400"</f>
        <v>600400</v>
      </c>
      <c r="B3185" t="s">
        <v>3532</v>
      </c>
      <c r="C3185">
        <v>57.06</v>
      </c>
      <c r="D3185">
        <v>36.89</v>
      </c>
      <c r="E3185">
        <v>23.32</v>
      </c>
      <c r="F3185">
        <v>22.91</v>
      </c>
      <c r="G3185">
        <v>22.91</v>
      </c>
      <c r="H3185">
        <v>96321</v>
      </c>
      <c r="I3185">
        <v>2.45</v>
      </c>
      <c r="J3185" t="s">
        <v>14</v>
      </c>
      <c r="K3185" t="s">
        <v>622</v>
      </c>
    </row>
    <row r="3186" spans="1:11">
      <c r="A3186" t="str">
        <f>"600403"</f>
        <v>600403</v>
      </c>
      <c r="B3186" t="s">
        <v>3533</v>
      </c>
      <c r="C3186">
        <v>183.38</v>
      </c>
      <c r="D3186">
        <v>197.24</v>
      </c>
      <c r="E3186">
        <v>45.84</v>
      </c>
      <c r="F3186">
        <v>23.91</v>
      </c>
      <c r="G3186">
        <v>23.91</v>
      </c>
      <c r="H3186">
        <v>39325</v>
      </c>
      <c r="I3186">
        <v>4</v>
      </c>
      <c r="J3186" t="s">
        <v>14</v>
      </c>
      <c r="K3186" t="s">
        <v>230</v>
      </c>
    </row>
    <row r="3187" spans="1:11">
      <c r="A3187" t="str">
        <f>"600405"</f>
        <v>600405</v>
      </c>
      <c r="B3187" t="s">
        <v>3534</v>
      </c>
      <c r="C3187">
        <v>33.86</v>
      </c>
      <c r="D3187">
        <v>15.56</v>
      </c>
      <c r="E3187">
        <v>2.07</v>
      </c>
      <c r="F3187">
        <v>6.13</v>
      </c>
      <c r="G3187">
        <v>6.1</v>
      </c>
      <c r="H3187">
        <v>64530</v>
      </c>
      <c r="I3187">
        <v>16.42</v>
      </c>
      <c r="J3187" t="s">
        <v>14</v>
      </c>
      <c r="K3187" t="s">
        <v>1010</v>
      </c>
    </row>
    <row r="3188" spans="1:11">
      <c r="A3188" t="str">
        <f>"600406"</f>
        <v>600406</v>
      </c>
      <c r="B3188" t="s">
        <v>3535</v>
      </c>
      <c r="C3188">
        <v>1896.77</v>
      </c>
      <c r="D3188">
        <v>928.18</v>
      </c>
      <c r="E3188">
        <v>492.2</v>
      </c>
      <c r="F3188">
        <v>80.32</v>
      </c>
      <c r="G3188">
        <v>79.96</v>
      </c>
      <c r="H3188">
        <v>150105</v>
      </c>
      <c r="I3188">
        <v>3.87</v>
      </c>
      <c r="J3188">
        <v>29.43</v>
      </c>
      <c r="K3188" t="s">
        <v>127</v>
      </c>
    </row>
    <row r="3189" spans="1:11">
      <c r="A3189" t="str">
        <f>"600408"</f>
        <v>600408</v>
      </c>
      <c r="B3189" t="s">
        <v>3536</v>
      </c>
      <c r="C3189">
        <v>43.39</v>
      </c>
      <c r="D3189">
        <v>43.57</v>
      </c>
      <c r="E3189">
        <v>13.58</v>
      </c>
      <c r="F3189">
        <v>10.07</v>
      </c>
      <c r="G3189">
        <v>10.07</v>
      </c>
      <c r="H3189">
        <v>50348</v>
      </c>
      <c r="I3189">
        <v>3.2</v>
      </c>
      <c r="J3189" t="s">
        <v>14</v>
      </c>
      <c r="K3189" t="s">
        <v>388</v>
      </c>
    </row>
    <row r="3190" spans="1:11">
      <c r="A3190" t="str">
        <f>"600409"</f>
        <v>600409</v>
      </c>
      <c r="B3190" t="s">
        <v>3537</v>
      </c>
      <c r="C3190">
        <v>138.1</v>
      </c>
      <c r="D3190">
        <v>266.48</v>
      </c>
      <c r="E3190">
        <v>139.03</v>
      </c>
      <c r="F3190">
        <v>20.64</v>
      </c>
      <c r="G3190">
        <v>20.64</v>
      </c>
      <c r="H3190">
        <v>72113</v>
      </c>
      <c r="I3190">
        <v>0.99</v>
      </c>
      <c r="J3190">
        <v>85.14</v>
      </c>
      <c r="K3190" t="s">
        <v>150</v>
      </c>
    </row>
    <row r="3191" spans="1:11">
      <c r="A3191" t="str">
        <f>"600410"</f>
        <v>600410</v>
      </c>
      <c r="B3191" t="s">
        <v>3538</v>
      </c>
      <c r="C3191">
        <v>243.42</v>
      </c>
      <c r="D3191">
        <v>94.87</v>
      </c>
      <c r="E3191">
        <v>47.43</v>
      </c>
      <c r="F3191">
        <v>10.96</v>
      </c>
      <c r="G3191">
        <v>10.96</v>
      </c>
      <c r="H3191">
        <v>354000</v>
      </c>
      <c r="I3191">
        <v>5.13</v>
      </c>
      <c r="J3191">
        <v>50.95</v>
      </c>
      <c r="K3191" t="s">
        <v>57</v>
      </c>
    </row>
    <row r="3192" spans="1:11">
      <c r="A3192" t="str">
        <f>"600415"</f>
        <v>600415</v>
      </c>
      <c r="B3192" t="s">
        <v>3539</v>
      </c>
      <c r="C3192">
        <v>985.94</v>
      </c>
      <c r="D3192">
        <v>452.98</v>
      </c>
      <c r="E3192">
        <v>221.85</v>
      </c>
      <c r="F3192">
        <v>54.84</v>
      </c>
      <c r="G3192">
        <v>54.84</v>
      </c>
      <c r="H3192">
        <v>132487</v>
      </c>
      <c r="I3192">
        <v>4.44</v>
      </c>
      <c r="J3192">
        <v>21.39</v>
      </c>
      <c r="K3192" t="s">
        <v>20</v>
      </c>
    </row>
    <row r="3193" spans="1:11">
      <c r="A3193" t="str">
        <f>"600416"</f>
        <v>600416</v>
      </c>
      <c r="B3193" t="s">
        <v>3540</v>
      </c>
      <c r="C3193">
        <v>213.92</v>
      </c>
      <c r="D3193">
        <v>173.2</v>
      </c>
      <c r="E3193">
        <v>96.61</v>
      </c>
      <c r="F3193">
        <v>14.76</v>
      </c>
      <c r="G3193">
        <v>13.25</v>
      </c>
      <c r="H3193">
        <v>61273</v>
      </c>
      <c r="I3193">
        <v>2.47</v>
      </c>
      <c r="J3193">
        <v>89.06</v>
      </c>
      <c r="K3193" t="s">
        <v>552</v>
      </c>
    </row>
    <row r="3194" spans="1:11">
      <c r="A3194" t="str">
        <f>"600418"</f>
        <v>600418</v>
      </c>
      <c r="B3194" t="s">
        <v>3541</v>
      </c>
      <c r="C3194">
        <v>1046.58</v>
      </c>
      <c r="D3194">
        <v>481.73</v>
      </c>
      <c r="E3194">
        <v>99.29</v>
      </c>
      <c r="F3194">
        <v>21.84</v>
      </c>
      <c r="G3194">
        <v>21.84</v>
      </c>
      <c r="H3194">
        <v>176438</v>
      </c>
      <c r="I3194">
        <v>10.54</v>
      </c>
      <c r="J3194" t="s">
        <v>14</v>
      </c>
      <c r="K3194" t="s">
        <v>226</v>
      </c>
    </row>
    <row r="3195" spans="1:11">
      <c r="A3195" t="str">
        <f>"600419"</f>
        <v>600419</v>
      </c>
      <c r="B3195" t="s">
        <v>3542</v>
      </c>
      <c r="C3195">
        <v>31.71</v>
      </c>
      <c r="D3195">
        <v>57.67</v>
      </c>
      <c r="E3195">
        <v>23.97</v>
      </c>
      <c r="F3195">
        <v>3.16</v>
      </c>
      <c r="G3195">
        <v>3.16</v>
      </c>
      <c r="H3195">
        <v>24657</v>
      </c>
      <c r="I3195">
        <v>1.33</v>
      </c>
      <c r="J3195" t="s">
        <v>14</v>
      </c>
      <c r="K3195" t="s">
        <v>699</v>
      </c>
    </row>
    <row r="3196" spans="1:11">
      <c r="A3196" t="str">
        <f>"600420"</f>
        <v>600420</v>
      </c>
      <c r="B3196" t="s">
        <v>3543</v>
      </c>
      <c r="C3196">
        <v>141.36</v>
      </c>
      <c r="D3196">
        <v>193.31</v>
      </c>
      <c r="E3196">
        <v>136.38</v>
      </c>
      <c r="F3196">
        <v>13.41</v>
      </c>
      <c r="G3196">
        <v>13.41</v>
      </c>
      <c r="H3196">
        <v>37848</v>
      </c>
      <c r="I3196">
        <v>1.04</v>
      </c>
      <c r="J3196">
        <v>13.23</v>
      </c>
      <c r="K3196" t="s">
        <v>109</v>
      </c>
    </row>
    <row r="3197" spans="1:11">
      <c r="A3197" t="str">
        <f>"600421"</f>
        <v>600421</v>
      </c>
      <c r="B3197" t="s">
        <v>3544</v>
      </c>
      <c r="C3197">
        <v>13.01</v>
      </c>
      <c r="D3197">
        <v>1.83</v>
      </c>
      <c r="E3197">
        <v>0.06</v>
      </c>
      <c r="F3197">
        <v>1.96</v>
      </c>
      <c r="G3197">
        <v>1.96</v>
      </c>
      <c r="H3197">
        <v>6377</v>
      </c>
      <c r="I3197">
        <v>207.81</v>
      </c>
      <c r="J3197" t="s">
        <v>14</v>
      </c>
      <c r="K3197" t="s">
        <v>63</v>
      </c>
    </row>
    <row r="3198" spans="1:11">
      <c r="A3198" t="str">
        <f>"600422"</f>
        <v>600422</v>
      </c>
      <c r="B3198" t="s">
        <v>3545</v>
      </c>
      <c r="C3198">
        <v>98.26</v>
      </c>
      <c r="D3198">
        <v>120.06</v>
      </c>
      <c r="E3198">
        <v>53.09</v>
      </c>
      <c r="F3198">
        <v>7.57</v>
      </c>
      <c r="G3198">
        <v>7.57</v>
      </c>
      <c r="H3198">
        <v>53735</v>
      </c>
      <c r="I3198">
        <v>1.85</v>
      </c>
      <c r="J3198">
        <v>27.36</v>
      </c>
      <c r="K3198" t="s">
        <v>155</v>
      </c>
    </row>
    <row r="3199" spans="1:11">
      <c r="A3199" t="str">
        <f>"600423"</f>
        <v>600423</v>
      </c>
      <c r="B3199" t="s">
        <v>3546</v>
      </c>
      <c r="C3199">
        <v>29.07</v>
      </c>
      <c r="D3199">
        <v>6.18</v>
      </c>
      <c r="E3199">
        <v>5.59</v>
      </c>
      <c r="F3199">
        <v>7.99</v>
      </c>
      <c r="G3199">
        <v>7.99</v>
      </c>
      <c r="H3199">
        <v>27579</v>
      </c>
      <c r="I3199">
        <v>5.2</v>
      </c>
      <c r="J3199">
        <v>311.24</v>
      </c>
      <c r="K3199" t="s">
        <v>1201</v>
      </c>
    </row>
    <row r="3200" spans="1:11">
      <c r="A3200" t="str">
        <f>"600425"</f>
        <v>600425</v>
      </c>
      <c r="B3200" t="s">
        <v>3547</v>
      </c>
      <c r="C3200">
        <v>59.56</v>
      </c>
      <c r="D3200">
        <v>96.61</v>
      </c>
      <c r="E3200">
        <v>65.36</v>
      </c>
      <c r="F3200">
        <v>16.05</v>
      </c>
      <c r="G3200">
        <v>13.79</v>
      </c>
      <c r="H3200">
        <v>65400</v>
      </c>
      <c r="I3200">
        <v>1.06</v>
      </c>
      <c r="J3200">
        <v>16.61</v>
      </c>
      <c r="K3200" t="s">
        <v>129</v>
      </c>
    </row>
    <row r="3201" spans="1:11">
      <c r="A3201" t="str">
        <f>"600426"</f>
        <v>600426</v>
      </c>
      <c r="B3201" t="s">
        <v>3548</v>
      </c>
      <c r="C3201">
        <v>705.57</v>
      </c>
      <c r="D3201">
        <v>492.57</v>
      </c>
      <c r="E3201">
        <v>327.02</v>
      </c>
      <c r="F3201">
        <v>21.23</v>
      </c>
      <c r="G3201">
        <v>21.19</v>
      </c>
      <c r="H3201">
        <v>43960</v>
      </c>
      <c r="I3201">
        <v>2.16</v>
      </c>
      <c r="J3201">
        <v>22.33</v>
      </c>
      <c r="K3201" t="s">
        <v>479</v>
      </c>
    </row>
    <row r="3202" spans="1:11">
      <c r="A3202" t="str">
        <f>"600428"</f>
        <v>600428</v>
      </c>
      <c r="B3202" t="s">
        <v>3549</v>
      </c>
      <c r="C3202">
        <v>181.2</v>
      </c>
      <c r="D3202">
        <v>428.79</v>
      </c>
      <c r="E3202">
        <v>165.24</v>
      </c>
      <c r="F3202">
        <v>27.44</v>
      </c>
      <c r="G3202">
        <v>24.45</v>
      </c>
      <c r="H3202">
        <v>78541</v>
      </c>
      <c r="I3202">
        <v>1.23</v>
      </c>
      <c r="J3202">
        <v>11.47</v>
      </c>
      <c r="K3202" t="s">
        <v>188</v>
      </c>
    </row>
    <row r="3203" spans="1:11">
      <c r="A3203" t="str">
        <f>"600429"</f>
        <v>600429</v>
      </c>
      <c r="B3203" t="s">
        <v>3550</v>
      </c>
      <c r="C3203">
        <v>78.77</v>
      </c>
      <c r="D3203">
        <v>93.24</v>
      </c>
      <c r="E3203">
        <v>52.38</v>
      </c>
      <c r="F3203">
        <v>15.02</v>
      </c>
      <c r="G3203">
        <v>14.98</v>
      </c>
      <c r="H3203">
        <v>31345</v>
      </c>
      <c r="I3203">
        <v>1.52</v>
      </c>
      <c r="J3203">
        <v>25.1</v>
      </c>
      <c r="K3203" t="s">
        <v>699</v>
      </c>
    </row>
    <row r="3204" spans="1:11">
      <c r="A3204" t="str">
        <f>"600433"</f>
        <v>600433</v>
      </c>
      <c r="B3204" t="s">
        <v>3551</v>
      </c>
      <c r="C3204">
        <v>56.88</v>
      </c>
      <c r="D3204">
        <v>118.63</v>
      </c>
      <c r="E3204">
        <v>44.47</v>
      </c>
      <c r="F3204">
        <v>17.5</v>
      </c>
      <c r="G3204">
        <v>17.5</v>
      </c>
      <c r="H3204">
        <v>43561</v>
      </c>
      <c r="I3204">
        <v>1.28</v>
      </c>
      <c r="J3204" t="s">
        <v>14</v>
      </c>
      <c r="K3204" t="s">
        <v>765</v>
      </c>
    </row>
    <row r="3205" spans="1:11">
      <c r="A3205" t="str">
        <f>"600435"</f>
        <v>600435</v>
      </c>
      <c r="B3205" t="s">
        <v>3552</v>
      </c>
      <c r="C3205">
        <v>282.05</v>
      </c>
      <c r="D3205">
        <v>80.36</v>
      </c>
      <c r="E3205">
        <v>29.15</v>
      </c>
      <c r="F3205">
        <v>15.12</v>
      </c>
      <c r="G3205">
        <v>15.12</v>
      </c>
      <c r="H3205">
        <v>212800</v>
      </c>
      <c r="I3205">
        <v>9.67</v>
      </c>
      <c r="J3205">
        <v>169.89</v>
      </c>
      <c r="K3205" t="s">
        <v>186</v>
      </c>
    </row>
    <row r="3206" spans="1:11">
      <c r="A3206" t="str">
        <f>"600436"</f>
        <v>600436</v>
      </c>
      <c r="B3206" t="s">
        <v>3553</v>
      </c>
      <c r="C3206">
        <v>1022.44</v>
      </c>
      <c r="D3206">
        <v>174.79</v>
      </c>
      <c r="E3206">
        <v>144.72</v>
      </c>
      <c r="F3206">
        <v>6.03</v>
      </c>
      <c r="G3206">
        <v>6.03</v>
      </c>
      <c r="H3206">
        <v>130412</v>
      </c>
      <c r="I3206">
        <v>7.06</v>
      </c>
      <c r="J3206">
        <v>36.01</v>
      </c>
      <c r="K3206" t="s">
        <v>155</v>
      </c>
    </row>
    <row r="3207" spans="1:11">
      <c r="A3207" t="str">
        <f>"600438"</f>
        <v>600438</v>
      </c>
      <c r="B3207" t="s">
        <v>3554</v>
      </c>
      <c r="C3207">
        <v>926.06</v>
      </c>
      <c r="D3207">
        <v>2013.15</v>
      </c>
      <c r="E3207">
        <v>437.06</v>
      </c>
      <c r="F3207">
        <v>45.02</v>
      </c>
      <c r="G3207">
        <v>45.02</v>
      </c>
      <c r="H3207">
        <v>293532</v>
      </c>
      <c r="I3207">
        <v>2.22</v>
      </c>
      <c r="J3207" t="s">
        <v>14</v>
      </c>
      <c r="K3207" t="s">
        <v>2134</v>
      </c>
    </row>
    <row r="3208" spans="1:11">
      <c r="A3208" t="str">
        <f>"600439"</f>
        <v>600439</v>
      </c>
      <c r="B3208" t="s">
        <v>3555</v>
      </c>
      <c r="C3208">
        <v>32.37</v>
      </c>
      <c r="D3208">
        <v>45.46</v>
      </c>
      <c r="E3208">
        <v>26.35</v>
      </c>
      <c r="F3208">
        <v>11.32</v>
      </c>
      <c r="G3208">
        <v>11.32</v>
      </c>
      <c r="H3208">
        <v>71064</v>
      </c>
      <c r="I3208">
        <v>1.23</v>
      </c>
      <c r="J3208">
        <v>207.39</v>
      </c>
      <c r="K3208" t="s">
        <v>3556</v>
      </c>
    </row>
    <row r="3209" spans="1:11">
      <c r="A3209" t="str">
        <f>"600444"</f>
        <v>600444</v>
      </c>
      <c r="B3209" t="s">
        <v>3557</v>
      </c>
      <c r="C3209">
        <v>27.97</v>
      </c>
      <c r="D3209">
        <v>14.89</v>
      </c>
      <c r="E3209">
        <v>7.28</v>
      </c>
      <c r="F3209">
        <v>1.46</v>
      </c>
      <c r="G3209">
        <v>1.46</v>
      </c>
      <c r="H3209">
        <v>18097</v>
      </c>
      <c r="I3209">
        <v>3.84</v>
      </c>
      <c r="J3209">
        <v>58.38</v>
      </c>
      <c r="K3209" t="s">
        <v>493</v>
      </c>
    </row>
    <row r="3210" spans="1:11">
      <c r="A3210" t="str">
        <f>"600446"</f>
        <v>600446</v>
      </c>
      <c r="B3210" t="s">
        <v>3558</v>
      </c>
      <c r="C3210">
        <v>166.13</v>
      </c>
      <c r="D3210">
        <v>53.53</v>
      </c>
      <c r="E3210">
        <v>36.82</v>
      </c>
      <c r="F3210">
        <v>9.41</v>
      </c>
      <c r="G3210">
        <v>9.41</v>
      </c>
      <c r="H3210">
        <v>78832</v>
      </c>
      <c r="I3210">
        <v>4.51</v>
      </c>
      <c r="J3210" t="s">
        <v>14</v>
      </c>
      <c r="K3210" t="s">
        <v>117</v>
      </c>
    </row>
    <row r="3211" spans="1:11">
      <c r="A3211" t="str">
        <f>"600448"</f>
        <v>600448</v>
      </c>
      <c r="B3211" t="s">
        <v>3559</v>
      </c>
      <c r="C3211">
        <v>20.34</v>
      </c>
      <c r="D3211">
        <v>36.96</v>
      </c>
      <c r="E3211">
        <v>11.27</v>
      </c>
      <c r="F3211">
        <v>6.3</v>
      </c>
      <c r="G3211">
        <v>6.3</v>
      </c>
      <c r="H3211">
        <v>40000</v>
      </c>
      <c r="I3211">
        <v>1.81</v>
      </c>
      <c r="J3211" t="s">
        <v>14</v>
      </c>
      <c r="K3211" t="s">
        <v>3560</v>
      </c>
    </row>
    <row r="3212" spans="1:11">
      <c r="A3212" t="str">
        <f>"600449"</f>
        <v>600449</v>
      </c>
      <c r="B3212" t="s">
        <v>3561</v>
      </c>
      <c r="C3212">
        <v>61.49</v>
      </c>
      <c r="D3212">
        <v>104.37</v>
      </c>
      <c r="E3212">
        <v>74.11</v>
      </c>
      <c r="F3212">
        <v>4.78</v>
      </c>
      <c r="G3212">
        <v>4.78</v>
      </c>
      <c r="H3212">
        <v>28263</v>
      </c>
      <c r="I3212">
        <v>0.83</v>
      </c>
      <c r="J3212">
        <v>20.83</v>
      </c>
      <c r="K3212" t="s">
        <v>129</v>
      </c>
    </row>
    <row r="3213" spans="1:11">
      <c r="A3213" t="str">
        <f>"600452"</f>
        <v>600452</v>
      </c>
      <c r="B3213" t="s">
        <v>3562</v>
      </c>
      <c r="C3213">
        <v>163.18</v>
      </c>
      <c r="D3213">
        <v>64.1</v>
      </c>
      <c r="E3213">
        <v>54.72</v>
      </c>
      <c r="F3213">
        <v>15.37</v>
      </c>
      <c r="G3213">
        <v>15.37</v>
      </c>
      <c r="H3213">
        <v>36212</v>
      </c>
      <c r="I3213">
        <v>2.98</v>
      </c>
      <c r="J3213">
        <v>41.37</v>
      </c>
      <c r="K3213" t="s">
        <v>505</v>
      </c>
    </row>
    <row r="3214" spans="1:11">
      <c r="A3214" t="str">
        <f>"600455"</f>
        <v>600455</v>
      </c>
      <c r="B3214" t="s">
        <v>3563</v>
      </c>
      <c r="C3214">
        <v>17.02</v>
      </c>
      <c r="D3214">
        <v>14.52</v>
      </c>
      <c r="E3214">
        <v>3.31</v>
      </c>
      <c r="F3214">
        <v>0.62</v>
      </c>
      <c r="G3214">
        <v>0.62</v>
      </c>
      <c r="H3214">
        <v>10059</v>
      </c>
      <c r="I3214">
        <v>5.15</v>
      </c>
      <c r="J3214">
        <v>44.34</v>
      </c>
      <c r="K3214" t="s">
        <v>198</v>
      </c>
    </row>
    <row r="3215" spans="1:11">
      <c r="A3215" t="str">
        <f>"600456"</f>
        <v>600456</v>
      </c>
      <c r="B3215" t="s">
        <v>3564</v>
      </c>
      <c r="C3215">
        <v>183.42</v>
      </c>
      <c r="D3215">
        <v>155.03</v>
      </c>
      <c r="E3215">
        <v>70.64</v>
      </c>
      <c r="F3215">
        <v>4.78</v>
      </c>
      <c r="G3215">
        <v>4.78</v>
      </c>
      <c r="H3215">
        <v>56911</v>
      </c>
      <c r="I3215">
        <v>2.6</v>
      </c>
      <c r="J3215">
        <v>47.84</v>
      </c>
      <c r="K3215" t="s">
        <v>919</v>
      </c>
    </row>
    <row r="3216" spans="1:11">
      <c r="A3216" t="str">
        <f>"600458"</f>
        <v>600458</v>
      </c>
      <c r="B3216" t="s">
        <v>3565</v>
      </c>
      <c r="C3216">
        <v>119.24</v>
      </c>
      <c r="D3216">
        <v>268.44</v>
      </c>
      <c r="E3216">
        <v>77.28</v>
      </c>
      <c r="F3216">
        <v>9.31</v>
      </c>
      <c r="G3216">
        <v>8.62</v>
      </c>
      <c r="H3216">
        <v>41839</v>
      </c>
      <c r="I3216">
        <v>1.67</v>
      </c>
      <c r="J3216">
        <v>22.56</v>
      </c>
      <c r="K3216" t="s">
        <v>456</v>
      </c>
    </row>
    <row r="3217" spans="1:11">
      <c r="A3217" t="str">
        <f>"600459"</f>
        <v>600459</v>
      </c>
      <c r="B3217" t="s">
        <v>3566</v>
      </c>
      <c r="C3217">
        <v>160.3</v>
      </c>
      <c r="D3217">
        <v>217.62</v>
      </c>
      <c r="E3217">
        <v>74.09</v>
      </c>
      <c r="F3217">
        <v>7.6</v>
      </c>
      <c r="G3217">
        <v>7.6</v>
      </c>
      <c r="H3217">
        <v>55689</v>
      </c>
      <c r="I3217">
        <v>2.16</v>
      </c>
      <c r="J3217">
        <v>24.02</v>
      </c>
      <c r="K3217" t="s">
        <v>301</v>
      </c>
    </row>
    <row r="3218" spans="1:11">
      <c r="A3218" t="str">
        <f>"600460"</f>
        <v>600460</v>
      </c>
      <c r="B3218" t="s">
        <v>3567</v>
      </c>
      <c r="C3218">
        <v>481.42</v>
      </c>
      <c r="D3218">
        <v>251.7</v>
      </c>
      <c r="E3218">
        <v>119.41</v>
      </c>
      <c r="F3218">
        <v>16.64</v>
      </c>
      <c r="G3218">
        <v>16.64</v>
      </c>
      <c r="H3218">
        <v>296179</v>
      </c>
      <c r="I3218">
        <v>4.03</v>
      </c>
      <c r="J3218">
        <v>103.44</v>
      </c>
      <c r="K3218" t="s">
        <v>1852</v>
      </c>
    </row>
    <row r="3219" spans="1:11">
      <c r="A3219" t="str">
        <f>"600461"</f>
        <v>600461</v>
      </c>
      <c r="B3219" t="s">
        <v>3568</v>
      </c>
      <c r="C3219">
        <v>119.04</v>
      </c>
      <c r="D3219">
        <v>250.35</v>
      </c>
      <c r="E3219">
        <v>97.31</v>
      </c>
      <c r="F3219">
        <v>12.84</v>
      </c>
      <c r="G3219">
        <v>12.84</v>
      </c>
      <c r="H3219">
        <v>22867</v>
      </c>
      <c r="I3219">
        <v>1.23</v>
      </c>
      <c r="J3219">
        <v>9.57</v>
      </c>
      <c r="K3219" t="s">
        <v>274</v>
      </c>
    </row>
    <row r="3220" spans="1:11">
      <c r="A3220" t="str">
        <f>"600463"</f>
        <v>600463</v>
      </c>
      <c r="B3220" t="s">
        <v>3569</v>
      </c>
      <c r="C3220">
        <v>33.24</v>
      </c>
      <c r="D3220">
        <v>25.75</v>
      </c>
      <c r="E3220">
        <v>9.19</v>
      </c>
      <c r="F3220">
        <v>3</v>
      </c>
      <c r="G3220">
        <v>3</v>
      </c>
      <c r="H3220">
        <v>14217</v>
      </c>
      <c r="I3220">
        <v>3.62</v>
      </c>
      <c r="J3220" t="s">
        <v>14</v>
      </c>
      <c r="K3220" t="s">
        <v>3274</v>
      </c>
    </row>
    <row r="3221" spans="1:11">
      <c r="A3221" t="str">
        <f>"600467"</f>
        <v>600467</v>
      </c>
      <c r="B3221" t="s">
        <v>3570</v>
      </c>
      <c r="C3221">
        <v>38.86</v>
      </c>
      <c r="D3221">
        <v>65.6</v>
      </c>
      <c r="E3221">
        <v>34.21</v>
      </c>
      <c r="F3221">
        <v>14.61</v>
      </c>
      <c r="G3221">
        <v>14.61</v>
      </c>
      <c r="H3221">
        <v>81426</v>
      </c>
      <c r="I3221">
        <v>1.14</v>
      </c>
      <c r="J3221">
        <v>107.82</v>
      </c>
      <c r="K3221" t="s">
        <v>831</v>
      </c>
    </row>
    <row r="3222" spans="1:11">
      <c r="A3222" t="str">
        <f>"600468"</f>
        <v>600468</v>
      </c>
      <c r="B3222" t="s">
        <v>3571</v>
      </c>
      <c r="C3222">
        <v>84.52</v>
      </c>
      <c r="D3222">
        <v>39.52</v>
      </c>
      <c r="E3222">
        <v>20.08</v>
      </c>
      <c r="F3222">
        <v>10.88</v>
      </c>
      <c r="G3222">
        <v>10.88</v>
      </c>
      <c r="H3222">
        <v>89357</v>
      </c>
      <c r="I3222">
        <v>4.21</v>
      </c>
      <c r="J3222">
        <v>76.59</v>
      </c>
      <c r="K3222" t="s">
        <v>943</v>
      </c>
    </row>
    <row r="3223" spans="1:11">
      <c r="A3223" t="str">
        <f>"600469"</f>
        <v>600469</v>
      </c>
      <c r="B3223" t="s">
        <v>3572</v>
      </c>
      <c r="C3223">
        <v>46.98</v>
      </c>
      <c r="D3223">
        <v>78.44</v>
      </c>
      <c r="E3223">
        <v>35.24</v>
      </c>
      <c r="F3223">
        <v>7.29</v>
      </c>
      <c r="G3223">
        <v>7.29</v>
      </c>
      <c r="H3223">
        <v>20657</v>
      </c>
      <c r="I3223">
        <v>1.33</v>
      </c>
      <c r="J3223">
        <v>15.75</v>
      </c>
      <c r="K3223" t="s">
        <v>263</v>
      </c>
    </row>
    <row r="3224" spans="1:11">
      <c r="A3224" t="str">
        <f>"600470"</f>
        <v>600470</v>
      </c>
      <c r="B3224" t="s">
        <v>3573</v>
      </c>
      <c r="C3224">
        <v>31.66</v>
      </c>
      <c r="D3224">
        <v>73.72</v>
      </c>
      <c r="E3224">
        <v>16.27</v>
      </c>
      <c r="F3224">
        <v>5.22</v>
      </c>
      <c r="G3224">
        <v>5.22</v>
      </c>
      <c r="H3224">
        <v>46642</v>
      </c>
      <c r="I3224">
        <v>1.95</v>
      </c>
      <c r="J3224" t="s">
        <v>14</v>
      </c>
      <c r="K3224" t="s">
        <v>153</v>
      </c>
    </row>
    <row r="3225" spans="1:11">
      <c r="A3225" t="str">
        <f>"600475"</f>
        <v>600475</v>
      </c>
      <c r="B3225" t="s">
        <v>3574</v>
      </c>
      <c r="C3225">
        <v>221.67</v>
      </c>
      <c r="D3225">
        <v>271.68</v>
      </c>
      <c r="E3225">
        <v>86.93</v>
      </c>
      <c r="F3225">
        <v>9.56</v>
      </c>
      <c r="G3225">
        <v>9.43</v>
      </c>
      <c r="H3225">
        <v>34731</v>
      </c>
      <c r="I3225">
        <v>2.59</v>
      </c>
      <c r="J3225">
        <v>48.96</v>
      </c>
      <c r="K3225" t="s">
        <v>505</v>
      </c>
    </row>
    <row r="3226" spans="1:11">
      <c r="A3226" t="str">
        <f>"600476"</f>
        <v>600476</v>
      </c>
      <c r="B3226" t="s">
        <v>3575</v>
      </c>
      <c r="C3226">
        <v>27.64</v>
      </c>
      <c r="D3226">
        <v>12.08</v>
      </c>
      <c r="E3226">
        <v>1.14</v>
      </c>
      <c r="F3226">
        <v>1.61</v>
      </c>
      <c r="G3226">
        <v>1.61</v>
      </c>
      <c r="H3226">
        <v>24387</v>
      </c>
      <c r="I3226">
        <v>24.34</v>
      </c>
      <c r="J3226" t="s">
        <v>14</v>
      </c>
      <c r="K3226" t="s">
        <v>117</v>
      </c>
    </row>
    <row r="3227" spans="1:11">
      <c r="A3227" t="str">
        <f>"600477"</f>
        <v>600477</v>
      </c>
      <c r="B3227" t="s">
        <v>3576</v>
      </c>
      <c r="C3227">
        <v>105.42</v>
      </c>
      <c r="D3227">
        <v>154.86</v>
      </c>
      <c r="E3227">
        <v>50.82</v>
      </c>
      <c r="F3227">
        <v>23.69</v>
      </c>
      <c r="G3227">
        <v>23.69</v>
      </c>
      <c r="H3227">
        <v>62744</v>
      </c>
      <c r="I3227">
        <v>2.07</v>
      </c>
      <c r="J3227">
        <v>53.13</v>
      </c>
      <c r="K3227" t="s">
        <v>904</v>
      </c>
    </row>
    <row r="3228" spans="1:11">
      <c r="A3228" t="str">
        <f>"600478"</f>
        <v>600478</v>
      </c>
      <c r="B3228" t="s">
        <v>3577</v>
      </c>
      <c r="C3228">
        <v>119.75</v>
      </c>
      <c r="D3228">
        <v>103.52</v>
      </c>
      <c r="E3228">
        <v>29.02</v>
      </c>
      <c r="F3228">
        <v>16.66</v>
      </c>
      <c r="G3228">
        <v>16.66</v>
      </c>
      <c r="H3228">
        <v>85729</v>
      </c>
      <c r="I3228">
        <v>4.13</v>
      </c>
      <c r="J3228">
        <v>68.22</v>
      </c>
      <c r="K3228" t="s">
        <v>70</v>
      </c>
    </row>
    <row r="3229" spans="1:11">
      <c r="A3229" t="str">
        <f>"600479"</f>
        <v>600479</v>
      </c>
      <c r="B3229" t="s">
        <v>3578</v>
      </c>
      <c r="C3229">
        <v>43.48</v>
      </c>
      <c r="D3229">
        <v>49.01</v>
      </c>
      <c r="E3229">
        <v>25.02</v>
      </c>
      <c r="F3229">
        <v>4.92</v>
      </c>
      <c r="G3229">
        <v>4.19</v>
      </c>
      <c r="H3229">
        <v>36839</v>
      </c>
      <c r="I3229">
        <v>1.74</v>
      </c>
      <c r="J3229">
        <v>20.47</v>
      </c>
      <c r="K3229" t="s">
        <v>155</v>
      </c>
    </row>
    <row r="3230" spans="1:11">
      <c r="A3230" t="str">
        <f>"600480"</f>
        <v>600480</v>
      </c>
      <c r="B3230" t="s">
        <v>3579</v>
      </c>
      <c r="C3230">
        <v>147.39</v>
      </c>
      <c r="D3230">
        <v>202.23</v>
      </c>
      <c r="E3230">
        <v>77.92</v>
      </c>
      <c r="F3230">
        <v>12.22</v>
      </c>
      <c r="G3230">
        <v>12.04</v>
      </c>
      <c r="H3230">
        <v>55884</v>
      </c>
      <c r="I3230">
        <v>1.92</v>
      </c>
      <c r="J3230">
        <v>19.07</v>
      </c>
      <c r="K3230" t="s">
        <v>517</v>
      </c>
    </row>
    <row r="3231" spans="1:11">
      <c r="A3231" t="str">
        <f>"600481"</f>
        <v>600481</v>
      </c>
      <c r="B3231" t="s">
        <v>3580</v>
      </c>
      <c r="C3231">
        <v>133.23</v>
      </c>
      <c r="D3231">
        <v>254.97</v>
      </c>
      <c r="E3231">
        <v>43.1</v>
      </c>
      <c r="F3231">
        <v>18.74</v>
      </c>
      <c r="G3231">
        <v>18.74</v>
      </c>
      <c r="H3231">
        <v>108454</v>
      </c>
      <c r="I3231">
        <v>3.23</v>
      </c>
      <c r="J3231" t="s">
        <v>14</v>
      </c>
      <c r="K3231" t="s">
        <v>897</v>
      </c>
    </row>
    <row r="3232" spans="1:11">
      <c r="A3232" t="str">
        <f>"600482"</f>
        <v>600482</v>
      </c>
      <c r="B3232" t="s">
        <v>3581</v>
      </c>
      <c r="C3232">
        <v>561.6</v>
      </c>
      <c r="D3232">
        <v>1146.57</v>
      </c>
      <c r="E3232">
        <v>401.3</v>
      </c>
      <c r="F3232">
        <v>22.54</v>
      </c>
      <c r="G3232">
        <v>22.54</v>
      </c>
      <c r="H3232">
        <v>75068</v>
      </c>
      <c r="I3232">
        <v>1.4</v>
      </c>
      <c r="J3232">
        <v>34.88</v>
      </c>
      <c r="K3232" t="s">
        <v>1816</v>
      </c>
    </row>
    <row r="3233" spans="1:11">
      <c r="A3233" t="str">
        <f>"600483"</f>
        <v>600483</v>
      </c>
      <c r="B3233" t="s">
        <v>3582</v>
      </c>
      <c r="C3233">
        <v>259.11</v>
      </c>
      <c r="D3233">
        <v>532.33</v>
      </c>
      <c r="E3233">
        <v>262.43</v>
      </c>
      <c r="F3233">
        <v>27.8</v>
      </c>
      <c r="G3233">
        <v>27.8</v>
      </c>
      <c r="H3233">
        <v>37693</v>
      </c>
      <c r="I3233">
        <v>0.99</v>
      </c>
      <c r="J3233">
        <v>9.77</v>
      </c>
      <c r="K3233" t="s">
        <v>505</v>
      </c>
    </row>
    <row r="3234" spans="1:11">
      <c r="A3234" t="str">
        <f>"600486"</f>
        <v>600486</v>
      </c>
      <c r="B3234" t="s">
        <v>3583</v>
      </c>
      <c r="C3234">
        <v>276.93</v>
      </c>
      <c r="D3234">
        <v>186.19</v>
      </c>
      <c r="E3234">
        <v>112.7</v>
      </c>
      <c r="F3234">
        <v>4.05</v>
      </c>
      <c r="G3234">
        <v>4.04</v>
      </c>
      <c r="H3234">
        <v>16915</v>
      </c>
      <c r="I3234">
        <v>2.47</v>
      </c>
      <c r="J3234">
        <v>19.74</v>
      </c>
      <c r="K3234" t="s">
        <v>196</v>
      </c>
    </row>
    <row r="3235" spans="1:11">
      <c r="A3235" t="str">
        <f>"600487"</f>
        <v>600487</v>
      </c>
      <c r="B3235" t="s">
        <v>3584</v>
      </c>
      <c r="C3235">
        <v>610.07</v>
      </c>
      <c r="D3235">
        <v>719.11</v>
      </c>
      <c r="E3235">
        <v>307.77</v>
      </c>
      <c r="F3235">
        <v>24.67</v>
      </c>
      <c r="G3235">
        <v>24.45</v>
      </c>
      <c r="H3235">
        <v>191817</v>
      </c>
      <c r="I3235">
        <v>2</v>
      </c>
      <c r="J3235">
        <v>19.43</v>
      </c>
      <c r="K3235" t="s">
        <v>93</v>
      </c>
    </row>
    <row r="3236" spans="1:11">
      <c r="A3236" t="str">
        <f>"600488"</f>
        <v>600488</v>
      </c>
      <c r="B3236" t="s">
        <v>3585</v>
      </c>
      <c r="C3236">
        <v>45.75</v>
      </c>
      <c r="D3236">
        <v>57.43</v>
      </c>
      <c r="E3236">
        <v>30.23</v>
      </c>
      <c r="F3236">
        <v>10.92</v>
      </c>
      <c r="G3236">
        <v>10.92</v>
      </c>
      <c r="H3236">
        <v>37669</v>
      </c>
      <c r="I3236">
        <v>1.51</v>
      </c>
      <c r="J3236">
        <v>49.34</v>
      </c>
      <c r="K3236" t="s">
        <v>404</v>
      </c>
    </row>
    <row r="3237" spans="1:11">
      <c r="A3237" t="str">
        <f>"600489"</f>
        <v>600489</v>
      </c>
      <c r="B3237" t="s">
        <v>3586</v>
      </c>
      <c r="C3237">
        <v>1267.57</v>
      </c>
      <c r="D3237">
        <v>634.59</v>
      </c>
      <c r="E3237">
        <v>291.96</v>
      </c>
      <c r="F3237">
        <v>48.47</v>
      </c>
      <c r="G3237">
        <v>48.47</v>
      </c>
      <c r="H3237">
        <v>149339</v>
      </c>
      <c r="I3237">
        <v>4.34</v>
      </c>
      <c r="J3237">
        <v>25.84</v>
      </c>
      <c r="K3237" t="s">
        <v>173</v>
      </c>
    </row>
    <row r="3238" spans="1:11">
      <c r="A3238" t="str">
        <f>"600490"</f>
        <v>600490</v>
      </c>
      <c r="B3238" t="s">
        <v>3587</v>
      </c>
      <c r="C3238">
        <v>164.79</v>
      </c>
      <c r="D3238">
        <v>76.73</v>
      </c>
      <c r="E3238">
        <v>63.47</v>
      </c>
      <c r="F3238">
        <v>22.13</v>
      </c>
      <c r="G3238">
        <v>19.93</v>
      </c>
      <c r="H3238">
        <v>74595</v>
      </c>
      <c r="I3238">
        <v>2.88</v>
      </c>
      <c r="J3238">
        <v>58.64</v>
      </c>
      <c r="K3238" t="s">
        <v>303</v>
      </c>
    </row>
    <row r="3239" spans="1:11">
      <c r="A3239" t="str">
        <f>"600491"</f>
        <v>600491</v>
      </c>
      <c r="B3239" t="s">
        <v>3588</v>
      </c>
      <c r="C3239">
        <v>46.05</v>
      </c>
      <c r="D3239">
        <v>526.18</v>
      </c>
      <c r="E3239">
        <v>98.13</v>
      </c>
      <c r="F3239">
        <v>15.3</v>
      </c>
      <c r="G3239">
        <v>15.3</v>
      </c>
      <c r="H3239">
        <v>41886</v>
      </c>
      <c r="I3239">
        <v>0.47</v>
      </c>
      <c r="J3239" t="s">
        <v>14</v>
      </c>
      <c r="K3239" t="s">
        <v>299</v>
      </c>
    </row>
    <row r="3240" spans="1:11">
      <c r="A3240" t="str">
        <f>"600493"</f>
        <v>600493</v>
      </c>
      <c r="B3240" t="s">
        <v>3589</v>
      </c>
      <c r="C3240">
        <v>19.91</v>
      </c>
      <c r="D3240">
        <v>17.82</v>
      </c>
      <c r="E3240">
        <v>11.24</v>
      </c>
      <c r="F3240">
        <v>2.72</v>
      </c>
      <c r="G3240">
        <v>2.72</v>
      </c>
      <c r="H3240">
        <v>16179</v>
      </c>
      <c r="I3240">
        <v>1.77</v>
      </c>
      <c r="J3240">
        <v>94.9</v>
      </c>
      <c r="K3240" t="s">
        <v>391</v>
      </c>
    </row>
    <row r="3241" spans="1:11">
      <c r="A3241" t="str">
        <f>"600495"</f>
        <v>600495</v>
      </c>
      <c r="B3241" t="s">
        <v>3590</v>
      </c>
      <c r="C3241">
        <v>58.96</v>
      </c>
      <c r="D3241">
        <v>39.74</v>
      </c>
      <c r="E3241">
        <v>32.68</v>
      </c>
      <c r="F3241">
        <v>12.08</v>
      </c>
      <c r="G3241">
        <v>12.08</v>
      </c>
      <c r="H3241">
        <v>90437</v>
      </c>
      <c r="I3241">
        <v>1.8</v>
      </c>
      <c r="J3241">
        <v>199.96</v>
      </c>
      <c r="K3241" t="s">
        <v>22</v>
      </c>
    </row>
    <row r="3242" spans="1:11">
      <c r="A3242" t="str">
        <f>"600496"</f>
        <v>600496</v>
      </c>
      <c r="B3242" t="s">
        <v>3591</v>
      </c>
      <c r="C3242">
        <v>88.56</v>
      </c>
      <c r="D3242">
        <v>266.3</v>
      </c>
      <c r="E3242">
        <v>93.56</v>
      </c>
      <c r="F3242">
        <v>19.9</v>
      </c>
      <c r="G3242">
        <v>19.9</v>
      </c>
      <c r="H3242">
        <v>78355</v>
      </c>
      <c r="I3242">
        <v>0.96</v>
      </c>
      <c r="J3242">
        <v>11.26</v>
      </c>
      <c r="K3242" t="s">
        <v>904</v>
      </c>
    </row>
    <row r="3243" spans="1:11">
      <c r="A3243" t="str">
        <f>"600497"</f>
        <v>600497</v>
      </c>
      <c r="B3243" t="s">
        <v>3592</v>
      </c>
      <c r="C3243">
        <v>431.96</v>
      </c>
      <c r="D3243">
        <v>259.15</v>
      </c>
      <c r="E3243">
        <v>167.62</v>
      </c>
      <c r="F3243">
        <v>50.4</v>
      </c>
      <c r="G3243">
        <v>50.4</v>
      </c>
      <c r="H3243">
        <v>146200</v>
      </c>
      <c r="I3243">
        <v>2.58</v>
      </c>
      <c r="J3243">
        <v>24.47</v>
      </c>
      <c r="K3243" t="s">
        <v>79</v>
      </c>
    </row>
    <row r="3244" spans="1:11">
      <c r="A3244" t="str">
        <f>"600498"</f>
        <v>600498</v>
      </c>
      <c r="B3244" t="s">
        <v>3593</v>
      </c>
      <c r="C3244">
        <v>608.6</v>
      </c>
      <c r="D3244">
        <v>452.96</v>
      </c>
      <c r="E3244">
        <v>157.66</v>
      </c>
      <c r="F3244">
        <v>13.58</v>
      </c>
      <c r="G3244">
        <v>12.72</v>
      </c>
      <c r="H3244">
        <v>119329</v>
      </c>
      <c r="I3244">
        <v>4.08</v>
      </c>
      <c r="J3244">
        <v>95.09</v>
      </c>
      <c r="K3244" t="s">
        <v>84</v>
      </c>
    </row>
    <row r="3245" spans="1:11">
      <c r="A3245" t="str">
        <f>"600499"</f>
        <v>600499</v>
      </c>
      <c r="B3245" t="s">
        <v>3594</v>
      </c>
      <c r="C3245">
        <v>283.46</v>
      </c>
      <c r="D3245">
        <v>299.14</v>
      </c>
      <c r="E3245">
        <v>125.76</v>
      </c>
      <c r="F3245">
        <v>19.18</v>
      </c>
      <c r="G3245">
        <v>19.18</v>
      </c>
      <c r="H3245">
        <v>56377</v>
      </c>
      <c r="I3245">
        <v>2.25</v>
      </c>
      <c r="J3245">
        <v>18.5</v>
      </c>
      <c r="K3245" t="s">
        <v>493</v>
      </c>
    </row>
    <row r="3246" spans="1:11">
      <c r="A3246" t="str">
        <f>"600500"</f>
        <v>600500</v>
      </c>
      <c r="B3246" t="s">
        <v>3595</v>
      </c>
      <c r="C3246">
        <v>144.97</v>
      </c>
      <c r="D3246">
        <v>517.81</v>
      </c>
      <c r="E3246">
        <v>113.52</v>
      </c>
      <c r="F3246">
        <v>35.89</v>
      </c>
      <c r="G3246">
        <v>35.88</v>
      </c>
      <c r="H3246">
        <v>67015</v>
      </c>
      <c r="I3246">
        <v>1.28</v>
      </c>
      <c r="J3246" t="s">
        <v>14</v>
      </c>
      <c r="K3246" t="s">
        <v>511</v>
      </c>
    </row>
    <row r="3247" spans="1:11">
      <c r="A3247" t="str">
        <f>"600501"</f>
        <v>600501</v>
      </c>
      <c r="B3247" t="s">
        <v>3596</v>
      </c>
      <c r="C3247">
        <v>133.95</v>
      </c>
      <c r="D3247">
        <v>48.26</v>
      </c>
      <c r="E3247">
        <v>17.23</v>
      </c>
      <c r="F3247">
        <v>4.28</v>
      </c>
      <c r="G3247">
        <v>4.28</v>
      </c>
      <c r="H3247">
        <v>30921</v>
      </c>
      <c r="I3247">
        <v>7.77</v>
      </c>
      <c r="J3247" t="s">
        <v>14</v>
      </c>
      <c r="K3247" t="s">
        <v>493</v>
      </c>
    </row>
    <row r="3248" spans="1:11">
      <c r="A3248" t="str">
        <f>"600502"</f>
        <v>600502</v>
      </c>
      <c r="B3248" t="s">
        <v>3597</v>
      </c>
      <c r="C3248">
        <v>80.33</v>
      </c>
      <c r="D3248">
        <v>2055.73</v>
      </c>
      <c r="E3248">
        <v>166.49</v>
      </c>
      <c r="F3248">
        <v>17.17</v>
      </c>
      <c r="G3248">
        <v>17.17</v>
      </c>
      <c r="H3248">
        <v>55642</v>
      </c>
      <c r="I3248">
        <v>0.72</v>
      </c>
      <c r="J3248">
        <v>7.45</v>
      </c>
      <c r="K3248" t="s">
        <v>100</v>
      </c>
    </row>
    <row r="3249" spans="1:11">
      <c r="A3249" t="str">
        <f>"600503"</f>
        <v>600503</v>
      </c>
      <c r="B3249" t="s">
        <v>3598</v>
      </c>
      <c r="C3249">
        <v>44.86</v>
      </c>
      <c r="D3249">
        <v>46.65</v>
      </c>
      <c r="E3249">
        <v>35.55</v>
      </c>
      <c r="F3249">
        <v>16.02</v>
      </c>
      <c r="G3249">
        <v>16.02</v>
      </c>
      <c r="H3249">
        <v>112998</v>
      </c>
      <c r="I3249">
        <v>1.26</v>
      </c>
      <c r="J3249" t="s">
        <v>14</v>
      </c>
      <c r="K3249" t="s">
        <v>15</v>
      </c>
    </row>
    <row r="3250" spans="1:11">
      <c r="A3250" t="str">
        <f>"600505"</f>
        <v>600505</v>
      </c>
      <c r="B3250" t="s">
        <v>3599</v>
      </c>
      <c r="C3250">
        <v>52.02</v>
      </c>
      <c r="D3250">
        <v>41.23</v>
      </c>
      <c r="E3250">
        <v>12.2</v>
      </c>
      <c r="F3250">
        <v>3.65</v>
      </c>
      <c r="G3250">
        <v>3.65</v>
      </c>
      <c r="H3250">
        <v>48330</v>
      </c>
      <c r="I3250">
        <v>4.26</v>
      </c>
      <c r="J3250">
        <v>315.7</v>
      </c>
      <c r="K3250" t="s">
        <v>278</v>
      </c>
    </row>
    <row r="3251" spans="1:11">
      <c r="A3251" t="str">
        <f>"600506"</f>
        <v>600506</v>
      </c>
      <c r="B3251" t="s">
        <v>3600</v>
      </c>
      <c r="C3251">
        <v>51.56</v>
      </c>
      <c r="D3251">
        <v>21.16</v>
      </c>
      <c r="E3251">
        <v>4.8</v>
      </c>
      <c r="F3251">
        <v>1.92</v>
      </c>
      <c r="G3251">
        <v>1.92</v>
      </c>
      <c r="H3251">
        <v>28380</v>
      </c>
      <c r="I3251">
        <v>10.75</v>
      </c>
      <c r="J3251">
        <v>78.59</v>
      </c>
      <c r="K3251" t="s">
        <v>312</v>
      </c>
    </row>
    <row r="3252" spans="1:11">
      <c r="A3252" t="str">
        <f>"600507"</f>
        <v>600507</v>
      </c>
      <c r="B3252" t="s">
        <v>3601</v>
      </c>
      <c r="C3252">
        <v>133.93</v>
      </c>
      <c r="D3252">
        <v>220.37</v>
      </c>
      <c r="E3252">
        <v>100.25</v>
      </c>
      <c r="F3252">
        <v>23.13</v>
      </c>
      <c r="G3252">
        <v>23.13</v>
      </c>
      <c r="H3252">
        <v>70082</v>
      </c>
      <c r="I3252">
        <v>1.34</v>
      </c>
      <c r="J3252">
        <v>12.73</v>
      </c>
      <c r="K3252" t="s">
        <v>364</v>
      </c>
    </row>
    <row r="3253" spans="1:11">
      <c r="A3253" t="str">
        <f>"600508"</f>
        <v>600508</v>
      </c>
      <c r="B3253" t="s">
        <v>3602</v>
      </c>
      <c r="C3253">
        <v>88.24</v>
      </c>
      <c r="D3253">
        <v>193.81</v>
      </c>
      <c r="E3253">
        <v>128.14</v>
      </c>
      <c r="F3253">
        <v>7.23</v>
      </c>
      <c r="G3253">
        <v>7.23</v>
      </c>
      <c r="H3253">
        <v>34211</v>
      </c>
      <c r="I3253">
        <v>0.69</v>
      </c>
      <c r="J3253">
        <v>25.94</v>
      </c>
      <c r="K3253" t="s">
        <v>567</v>
      </c>
    </row>
    <row r="3254" spans="1:11">
      <c r="A3254" t="str">
        <f>"600509"</f>
        <v>600509</v>
      </c>
      <c r="B3254" t="s">
        <v>3603</v>
      </c>
      <c r="C3254">
        <v>115.86</v>
      </c>
      <c r="D3254">
        <v>304.98</v>
      </c>
      <c r="E3254">
        <v>77.75</v>
      </c>
      <c r="F3254">
        <v>13.74</v>
      </c>
      <c r="G3254">
        <v>13.74</v>
      </c>
      <c r="H3254">
        <v>70000</v>
      </c>
      <c r="I3254">
        <v>1.49</v>
      </c>
      <c r="J3254">
        <v>23.22</v>
      </c>
      <c r="K3254" t="s">
        <v>46</v>
      </c>
    </row>
    <row r="3255" spans="1:11">
      <c r="A3255" t="str">
        <f>"600510"</f>
        <v>600510</v>
      </c>
      <c r="B3255" t="s">
        <v>3604</v>
      </c>
      <c r="C3255">
        <v>90.61</v>
      </c>
      <c r="D3255">
        <v>274.63</v>
      </c>
      <c r="E3255">
        <v>104.13</v>
      </c>
      <c r="F3255">
        <v>10.32</v>
      </c>
      <c r="G3255">
        <v>10.32</v>
      </c>
      <c r="H3255">
        <v>27790</v>
      </c>
      <c r="I3255">
        <v>0.87</v>
      </c>
      <c r="J3255">
        <v>106.53</v>
      </c>
      <c r="K3255" t="s">
        <v>15</v>
      </c>
    </row>
    <row r="3256" spans="1:11">
      <c r="A3256" t="str">
        <f>"600511"</f>
        <v>600511</v>
      </c>
      <c r="B3256" t="s">
        <v>3605</v>
      </c>
      <c r="C3256">
        <v>160.36</v>
      </c>
      <c r="D3256">
        <v>351.25</v>
      </c>
      <c r="E3256">
        <v>180.43</v>
      </c>
      <c r="F3256">
        <v>7.55</v>
      </c>
      <c r="G3256">
        <v>5.53</v>
      </c>
      <c r="H3256">
        <v>49584</v>
      </c>
      <c r="I3256">
        <v>1.21</v>
      </c>
      <c r="J3256">
        <v>10.99</v>
      </c>
      <c r="K3256" t="s">
        <v>48</v>
      </c>
    </row>
    <row r="3257" spans="1:11">
      <c r="A3257" t="str">
        <f>"600512"</f>
        <v>600512</v>
      </c>
      <c r="B3257" t="s">
        <v>3606</v>
      </c>
      <c r="C3257">
        <v>39.05</v>
      </c>
      <c r="D3257">
        <v>106.74</v>
      </c>
      <c r="E3257">
        <v>62.85</v>
      </c>
      <c r="F3257">
        <v>15.94</v>
      </c>
      <c r="G3257">
        <v>15.87</v>
      </c>
      <c r="H3257">
        <v>59116</v>
      </c>
      <c r="I3257">
        <v>0.62</v>
      </c>
      <c r="J3257">
        <v>18.67</v>
      </c>
      <c r="K3257" t="s">
        <v>100</v>
      </c>
    </row>
    <row r="3258" spans="1:11">
      <c r="A3258" t="str">
        <f>"600513"</f>
        <v>600513</v>
      </c>
      <c r="B3258" t="s">
        <v>3607</v>
      </c>
      <c r="C3258">
        <v>59.55</v>
      </c>
      <c r="D3258">
        <v>41.09</v>
      </c>
      <c r="E3258">
        <v>13.35</v>
      </c>
      <c r="F3258">
        <v>2.85</v>
      </c>
      <c r="G3258">
        <v>2.85</v>
      </c>
      <c r="H3258">
        <v>46562</v>
      </c>
      <c r="I3258">
        <v>4.46</v>
      </c>
      <c r="J3258" t="s">
        <v>14</v>
      </c>
      <c r="K3258" t="s">
        <v>109</v>
      </c>
    </row>
    <row r="3259" spans="1:11">
      <c r="A3259" t="str">
        <f>"600515"</f>
        <v>600515</v>
      </c>
      <c r="B3259" t="s">
        <v>3608</v>
      </c>
      <c r="C3259">
        <v>426.68</v>
      </c>
      <c r="D3259">
        <v>529.69</v>
      </c>
      <c r="E3259">
        <v>235.43</v>
      </c>
      <c r="F3259">
        <v>114.25</v>
      </c>
      <c r="G3259">
        <v>91.76</v>
      </c>
      <c r="H3259">
        <v>234864</v>
      </c>
      <c r="I3259">
        <v>2.26</v>
      </c>
      <c r="J3259">
        <v>619.2</v>
      </c>
      <c r="K3259" t="s">
        <v>98</v>
      </c>
    </row>
    <row r="3260" spans="1:11">
      <c r="A3260" t="str">
        <f>"600516"</f>
        <v>600516</v>
      </c>
      <c r="B3260" t="s">
        <v>3609</v>
      </c>
      <c r="C3260">
        <v>239.95</v>
      </c>
      <c r="D3260">
        <v>205.51</v>
      </c>
      <c r="E3260">
        <v>161.92</v>
      </c>
      <c r="F3260">
        <v>40.26</v>
      </c>
      <c r="G3260">
        <v>40.26</v>
      </c>
      <c r="H3260">
        <v>223512</v>
      </c>
      <c r="I3260">
        <v>1.48</v>
      </c>
      <c r="J3260">
        <v>159</v>
      </c>
      <c r="K3260" t="s">
        <v>3448</v>
      </c>
    </row>
    <row r="3261" spans="1:11">
      <c r="A3261" t="str">
        <f>"600517"</f>
        <v>600517</v>
      </c>
      <c r="B3261" t="s">
        <v>3610</v>
      </c>
      <c r="C3261">
        <v>363.69</v>
      </c>
      <c r="D3261">
        <v>493.02</v>
      </c>
      <c r="E3261">
        <v>231.59</v>
      </c>
      <c r="F3261">
        <v>57.18</v>
      </c>
      <c r="G3261">
        <v>57.18</v>
      </c>
      <c r="H3261">
        <v>66773</v>
      </c>
      <c r="I3261">
        <v>1.57</v>
      </c>
      <c r="J3261">
        <v>12.22</v>
      </c>
      <c r="K3261" t="s">
        <v>243</v>
      </c>
    </row>
    <row r="3262" spans="1:11">
      <c r="A3262" t="str">
        <f>"600518"</f>
        <v>600518</v>
      </c>
      <c r="B3262" t="s">
        <v>3611</v>
      </c>
      <c r="C3262">
        <v>270.92</v>
      </c>
      <c r="D3262">
        <v>136.83</v>
      </c>
      <c r="E3262">
        <v>71.87</v>
      </c>
      <c r="F3262">
        <v>138.29</v>
      </c>
      <c r="G3262">
        <v>138.22</v>
      </c>
      <c r="H3262">
        <v>300150</v>
      </c>
      <c r="I3262">
        <v>3.77</v>
      </c>
      <c r="J3262">
        <v>1553.9</v>
      </c>
      <c r="K3262" t="s">
        <v>155</v>
      </c>
    </row>
    <row r="3263" spans="1:11">
      <c r="A3263" t="str">
        <f>"600519"</f>
        <v>600519</v>
      </c>
      <c r="B3263" t="s">
        <v>3612</v>
      </c>
      <c r="C3263">
        <v>17506.86</v>
      </c>
      <c r="D3263">
        <v>3047.38</v>
      </c>
      <c r="E3263">
        <v>2570.7</v>
      </c>
      <c r="F3263">
        <v>12.52</v>
      </c>
      <c r="G3263">
        <v>12.52</v>
      </c>
      <c r="H3263">
        <v>238512</v>
      </c>
      <c r="I3263">
        <v>6.81</v>
      </c>
      <c r="J3263">
        <v>20.32</v>
      </c>
      <c r="K3263" t="s">
        <v>251</v>
      </c>
    </row>
    <row r="3264" spans="1:11">
      <c r="A3264" t="str">
        <f>"600520"</f>
        <v>600520</v>
      </c>
      <c r="B3264" t="s">
        <v>3613</v>
      </c>
      <c r="C3264">
        <v>41.54</v>
      </c>
      <c r="D3264">
        <v>8.78</v>
      </c>
      <c r="E3264">
        <v>3.88</v>
      </c>
      <c r="F3264">
        <v>1.58</v>
      </c>
      <c r="G3264">
        <v>1.58</v>
      </c>
      <c r="H3264">
        <v>41708</v>
      </c>
      <c r="I3264">
        <v>10.7</v>
      </c>
      <c r="J3264">
        <v>615.62</v>
      </c>
      <c r="K3264" t="s">
        <v>1160</v>
      </c>
    </row>
    <row r="3265" spans="1:11">
      <c r="A3265" t="str">
        <f>"600521"</f>
        <v>600521</v>
      </c>
      <c r="B3265" t="s">
        <v>3614</v>
      </c>
      <c r="C3265">
        <v>262.77</v>
      </c>
      <c r="D3265">
        <v>211.53</v>
      </c>
      <c r="E3265">
        <v>95.1</v>
      </c>
      <c r="F3265">
        <v>14.97</v>
      </c>
      <c r="G3265">
        <v>14.97</v>
      </c>
      <c r="H3265">
        <v>68401</v>
      </c>
      <c r="I3265">
        <v>2.83</v>
      </c>
      <c r="J3265">
        <v>51.81</v>
      </c>
      <c r="K3265" t="s">
        <v>109</v>
      </c>
    </row>
    <row r="3266" spans="1:11">
      <c r="A3266" t="str">
        <f>"600522"</f>
        <v>600522</v>
      </c>
      <c r="B3266" t="s">
        <v>3615</v>
      </c>
      <c r="C3266">
        <v>616.38</v>
      </c>
      <c r="D3266">
        <v>630.92</v>
      </c>
      <c r="E3266">
        <v>366.19</v>
      </c>
      <c r="F3266">
        <v>34.13</v>
      </c>
      <c r="G3266">
        <v>34.13</v>
      </c>
      <c r="H3266">
        <v>235050</v>
      </c>
      <c r="I3266">
        <v>1.68</v>
      </c>
      <c r="J3266">
        <v>19.77</v>
      </c>
      <c r="K3266" t="s">
        <v>93</v>
      </c>
    </row>
    <row r="3267" spans="1:11">
      <c r="A3267" t="str">
        <f>"600523"</f>
        <v>600523</v>
      </c>
      <c r="B3267" t="s">
        <v>3616</v>
      </c>
      <c r="C3267">
        <v>63.27</v>
      </c>
      <c r="D3267">
        <v>40.65</v>
      </c>
      <c r="E3267">
        <v>31.31</v>
      </c>
      <c r="F3267">
        <v>4.04</v>
      </c>
      <c r="G3267">
        <v>4.04</v>
      </c>
      <c r="H3267">
        <v>22774</v>
      </c>
      <c r="I3267">
        <v>2.02</v>
      </c>
      <c r="J3267">
        <v>40.21</v>
      </c>
      <c r="K3267" t="s">
        <v>517</v>
      </c>
    </row>
    <row r="3268" spans="1:11">
      <c r="A3268" t="str">
        <f>"600525"</f>
        <v>600525</v>
      </c>
      <c r="B3268" t="s">
        <v>3617</v>
      </c>
      <c r="C3268">
        <v>54.99</v>
      </c>
      <c r="D3268">
        <v>148.33</v>
      </c>
      <c r="E3268">
        <v>37.62</v>
      </c>
      <c r="F3268">
        <v>13.19</v>
      </c>
      <c r="G3268">
        <v>13.19</v>
      </c>
      <c r="H3268">
        <v>31636</v>
      </c>
      <c r="I3268">
        <v>1.46</v>
      </c>
      <c r="J3268" t="s">
        <v>14</v>
      </c>
      <c r="K3268" t="s">
        <v>208</v>
      </c>
    </row>
    <row r="3269" spans="1:11">
      <c r="A3269" t="str">
        <f>"600526"</f>
        <v>600526</v>
      </c>
      <c r="B3269" t="s">
        <v>3618</v>
      </c>
      <c r="C3269">
        <v>47.06</v>
      </c>
      <c r="D3269">
        <v>124.43</v>
      </c>
      <c r="E3269">
        <v>44.72</v>
      </c>
      <c r="F3269">
        <v>8.89</v>
      </c>
      <c r="G3269">
        <v>8.73</v>
      </c>
      <c r="H3269">
        <v>43624</v>
      </c>
      <c r="I3269">
        <v>1.07</v>
      </c>
      <c r="J3269">
        <v>17.63</v>
      </c>
      <c r="K3269" t="s">
        <v>228</v>
      </c>
    </row>
    <row r="3270" spans="1:11">
      <c r="A3270" t="str">
        <f>"600527"</f>
        <v>600527</v>
      </c>
      <c r="B3270" t="s">
        <v>3619</v>
      </c>
      <c r="C3270">
        <v>38.27</v>
      </c>
      <c r="D3270">
        <v>21.52</v>
      </c>
      <c r="E3270">
        <v>20.65</v>
      </c>
      <c r="F3270">
        <v>17.32</v>
      </c>
      <c r="G3270">
        <v>17.32</v>
      </c>
      <c r="H3270">
        <v>72892</v>
      </c>
      <c r="I3270">
        <v>1.85</v>
      </c>
      <c r="J3270">
        <v>143.8</v>
      </c>
      <c r="K3270" t="s">
        <v>727</v>
      </c>
    </row>
    <row r="3271" spans="1:11">
      <c r="A3271" t="str">
        <f>"600528"</f>
        <v>600528</v>
      </c>
      <c r="B3271" t="s">
        <v>3620</v>
      </c>
      <c r="C3271">
        <v>184.39</v>
      </c>
      <c r="D3271">
        <v>634.47</v>
      </c>
      <c r="E3271">
        <v>273.25</v>
      </c>
      <c r="F3271">
        <v>22.22</v>
      </c>
      <c r="G3271">
        <v>22.22</v>
      </c>
      <c r="H3271">
        <v>102904</v>
      </c>
      <c r="I3271">
        <v>0.74</v>
      </c>
      <c r="J3271">
        <v>13.92</v>
      </c>
      <c r="K3271" t="s">
        <v>22</v>
      </c>
    </row>
    <row r="3272" spans="1:11">
      <c r="A3272" t="str">
        <f>"600529"</f>
        <v>600529</v>
      </c>
      <c r="B3272" t="s">
        <v>3621</v>
      </c>
      <c r="C3272">
        <v>139.36</v>
      </c>
      <c r="D3272">
        <v>98.82</v>
      </c>
      <c r="E3272">
        <v>81.49</v>
      </c>
      <c r="F3272">
        <v>6.64</v>
      </c>
      <c r="G3272">
        <v>6.64</v>
      </c>
      <c r="H3272">
        <v>79503</v>
      </c>
      <c r="I3272">
        <v>1.71</v>
      </c>
      <c r="J3272">
        <v>19.27</v>
      </c>
      <c r="K3272" t="s">
        <v>1173</v>
      </c>
    </row>
    <row r="3273" spans="1:11">
      <c r="A3273" t="str">
        <f>"600530"</f>
        <v>600530</v>
      </c>
      <c r="B3273" t="s">
        <v>3622</v>
      </c>
      <c r="C3273">
        <v>52.23</v>
      </c>
      <c r="D3273">
        <v>7.34</v>
      </c>
      <c r="E3273">
        <v>3.18</v>
      </c>
      <c r="F3273">
        <v>7.75</v>
      </c>
      <c r="G3273">
        <v>7.75</v>
      </c>
      <c r="H3273">
        <v>21875</v>
      </c>
      <c r="I3273">
        <v>16.4</v>
      </c>
      <c r="J3273">
        <v>2208</v>
      </c>
      <c r="K3273" t="s">
        <v>1409</v>
      </c>
    </row>
    <row r="3274" spans="1:11">
      <c r="A3274" t="str">
        <f>"600531"</f>
        <v>600531</v>
      </c>
      <c r="B3274" t="s">
        <v>3623</v>
      </c>
      <c r="C3274">
        <v>169.66</v>
      </c>
      <c r="D3274">
        <v>222.62</v>
      </c>
      <c r="E3274">
        <v>58.25</v>
      </c>
      <c r="F3274">
        <v>12.09</v>
      </c>
      <c r="G3274">
        <v>12.09</v>
      </c>
      <c r="H3274">
        <v>109544</v>
      </c>
      <c r="I3274">
        <v>2.64</v>
      </c>
      <c r="J3274">
        <v>20.5</v>
      </c>
      <c r="K3274" t="s">
        <v>79</v>
      </c>
    </row>
    <row r="3275" spans="1:11">
      <c r="A3275" t="str">
        <f>"600533"</f>
        <v>600533</v>
      </c>
      <c r="B3275" t="s">
        <v>3624</v>
      </c>
      <c r="C3275">
        <v>26.98</v>
      </c>
      <c r="D3275">
        <v>194.63</v>
      </c>
      <c r="E3275">
        <v>32.22</v>
      </c>
      <c r="F3275">
        <v>10.5</v>
      </c>
      <c r="G3275">
        <v>10.5</v>
      </c>
      <c r="H3275">
        <v>35793</v>
      </c>
      <c r="I3275">
        <v>0.84</v>
      </c>
      <c r="J3275">
        <v>192.39</v>
      </c>
      <c r="K3275" t="s">
        <v>15</v>
      </c>
    </row>
    <row r="3276" spans="1:11">
      <c r="A3276" t="str">
        <f>"600535"</f>
        <v>600535</v>
      </c>
      <c r="B3276" t="s">
        <v>3625</v>
      </c>
      <c r="C3276">
        <v>228.87</v>
      </c>
      <c r="D3276">
        <v>149.57</v>
      </c>
      <c r="E3276">
        <v>123.04</v>
      </c>
      <c r="F3276">
        <v>14.94</v>
      </c>
      <c r="G3276">
        <v>14.94</v>
      </c>
      <c r="H3276">
        <v>81267</v>
      </c>
      <c r="I3276">
        <v>1.86</v>
      </c>
      <c r="J3276">
        <v>17.44</v>
      </c>
      <c r="K3276" t="s">
        <v>155</v>
      </c>
    </row>
    <row r="3277" spans="1:11">
      <c r="A3277" t="str">
        <f>"600536"</f>
        <v>600536</v>
      </c>
      <c r="B3277" t="s">
        <v>3626</v>
      </c>
      <c r="C3277">
        <v>423.43</v>
      </c>
      <c r="D3277">
        <v>100.71</v>
      </c>
      <c r="E3277">
        <v>35.25</v>
      </c>
      <c r="F3277">
        <v>9.34</v>
      </c>
      <c r="G3277">
        <v>8.44</v>
      </c>
      <c r="H3277">
        <v>160230</v>
      </c>
      <c r="I3277">
        <v>13.3</v>
      </c>
      <c r="J3277" t="s">
        <v>14</v>
      </c>
      <c r="K3277" t="s">
        <v>117</v>
      </c>
    </row>
    <row r="3278" spans="1:11">
      <c r="A3278" t="str">
        <f>"600537"</f>
        <v>600537</v>
      </c>
      <c r="B3278" t="s">
        <v>3627</v>
      </c>
      <c r="C3278">
        <v>40.72</v>
      </c>
      <c r="D3278">
        <v>53.17</v>
      </c>
      <c r="E3278">
        <v>2.25</v>
      </c>
      <c r="F3278">
        <v>11.84</v>
      </c>
      <c r="G3278">
        <v>11.84</v>
      </c>
      <c r="H3278">
        <v>127139</v>
      </c>
      <c r="I3278">
        <v>18.11</v>
      </c>
      <c r="J3278" t="s">
        <v>14</v>
      </c>
      <c r="K3278" t="s">
        <v>815</v>
      </c>
    </row>
    <row r="3279" spans="1:11">
      <c r="A3279" t="str">
        <f>"600538"</f>
        <v>600538</v>
      </c>
      <c r="B3279" t="s">
        <v>3628</v>
      </c>
      <c r="C3279">
        <v>33.02</v>
      </c>
      <c r="D3279">
        <v>9.64</v>
      </c>
      <c r="E3279">
        <v>7.72</v>
      </c>
      <c r="F3279">
        <v>5.24</v>
      </c>
      <c r="G3279">
        <v>5.24</v>
      </c>
      <c r="H3279">
        <v>19129</v>
      </c>
      <c r="I3279">
        <v>4.28</v>
      </c>
      <c r="J3279" t="s">
        <v>14</v>
      </c>
      <c r="K3279" t="s">
        <v>48</v>
      </c>
    </row>
    <row r="3280" spans="1:11">
      <c r="A3280" t="str">
        <f>"600539"</f>
        <v>600539</v>
      </c>
      <c r="B3280" t="s">
        <v>3629</v>
      </c>
      <c r="C3280">
        <v>24.98</v>
      </c>
      <c r="D3280">
        <v>4.94</v>
      </c>
      <c r="E3280">
        <v>3.18</v>
      </c>
      <c r="F3280">
        <v>2.3</v>
      </c>
      <c r="G3280">
        <v>2.3</v>
      </c>
      <c r="H3280">
        <v>21834</v>
      </c>
      <c r="I3280">
        <v>7.86</v>
      </c>
      <c r="J3280" t="s">
        <v>14</v>
      </c>
      <c r="K3280" t="s">
        <v>1050</v>
      </c>
    </row>
    <row r="3281" spans="1:11">
      <c r="A3281" t="str">
        <f>"600540"</f>
        <v>600540</v>
      </c>
      <c r="B3281" t="s">
        <v>3630</v>
      </c>
      <c r="C3281">
        <v>27.15</v>
      </c>
      <c r="D3281">
        <v>44.3</v>
      </c>
      <c r="E3281">
        <v>4.36</v>
      </c>
      <c r="F3281">
        <v>5.81</v>
      </c>
      <c r="G3281">
        <v>5.81</v>
      </c>
      <c r="H3281">
        <v>32124</v>
      </c>
      <c r="I3281">
        <v>6.23</v>
      </c>
      <c r="J3281" t="s">
        <v>14</v>
      </c>
      <c r="K3281" t="s">
        <v>3305</v>
      </c>
    </row>
    <row r="3282" spans="1:11">
      <c r="A3282" t="str">
        <f>"600543"</f>
        <v>600543</v>
      </c>
      <c r="B3282" t="s">
        <v>3631</v>
      </c>
      <c r="C3282">
        <v>17.89</v>
      </c>
      <c r="D3282">
        <v>9.89</v>
      </c>
      <c r="E3282">
        <v>7.6</v>
      </c>
      <c r="F3282">
        <v>3.21</v>
      </c>
      <c r="G3282">
        <v>3.21</v>
      </c>
      <c r="H3282">
        <v>21915</v>
      </c>
      <c r="I3282">
        <v>2.35</v>
      </c>
      <c r="J3282" t="s">
        <v>14</v>
      </c>
      <c r="K3282" t="s">
        <v>503</v>
      </c>
    </row>
    <row r="3283" spans="1:11">
      <c r="A3283" t="str">
        <f>"600545"</f>
        <v>600545</v>
      </c>
      <c r="B3283" t="s">
        <v>3632</v>
      </c>
      <c r="C3283">
        <v>48.27</v>
      </c>
      <c r="D3283">
        <v>96</v>
      </c>
      <c r="E3283">
        <v>31.95</v>
      </c>
      <c r="F3283">
        <v>17.88</v>
      </c>
      <c r="G3283">
        <v>17.88</v>
      </c>
      <c r="H3283">
        <v>85059</v>
      </c>
      <c r="I3283">
        <v>1.51</v>
      </c>
      <c r="J3283" t="s">
        <v>14</v>
      </c>
      <c r="K3283" t="s">
        <v>758</v>
      </c>
    </row>
    <row r="3284" spans="1:11">
      <c r="A3284" t="str">
        <f>"600546"</f>
        <v>600546</v>
      </c>
      <c r="B3284" t="s">
        <v>3633</v>
      </c>
      <c r="C3284">
        <v>203.8</v>
      </c>
      <c r="D3284">
        <v>406.83</v>
      </c>
      <c r="E3284">
        <v>163.77</v>
      </c>
      <c r="F3284">
        <v>19.82</v>
      </c>
      <c r="G3284">
        <v>19.82</v>
      </c>
      <c r="H3284">
        <v>71915</v>
      </c>
      <c r="I3284">
        <v>1.24</v>
      </c>
      <c r="J3284">
        <v>14.61</v>
      </c>
      <c r="K3284" t="s">
        <v>230</v>
      </c>
    </row>
    <row r="3285" spans="1:11">
      <c r="A3285" t="str">
        <f>"600547"</f>
        <v>600547</v>
      </c>
      <c r="B3285" t="s">
        <v>3634</v>
      </c>
      <c r="C3285">
        <v>1675.29</v>
      </c>
      <c r="D3285">
        <v>1719.62</v>
      </c>
      <c r="E3285">
        <v>444.55</v>
      </c>
      <c r="F3285">
        <v>46.1</v>
      </c>
      <c r="G3285">
        <v>36.14</v>
      </c>
      <c r="H3285">
        <v>102846</v>
      </c>
      <c r="I3285">
        <v>7.02</v>
      </c>
      <c r="J3285">
        <v>40.51</v>
      </c>
      <c r="K3285" t="s">
        <v>173</v>
      </c>
    </row>
    <row r="3286" spans="1:11">
      <c r="A3286" t="str">
        <f>"600548"</f>
        <v>600548</v>
      </c>
      <c r="B3286" t="s">
        <v>3635</v>
      </c>
      <c r="C3286">
        <v>150.87</v>
      </c>
      <c r="D3286">
        <v>711.07</v>
      </c>
      <c r="E3286">
        <v>273.82</v>
      </c>
      <c r="F3286">
        <v>25.38</v>
      </c>
      <c r="G3286">
        <v>17.14</v>
      </c>
      <c r="H3286">
        <v>20849</v>
      </c>
      <c r="I3286">
        <v>0.96</v>
      </c>
      <c r="J3286">
        <v>11.39</v>
      </c>
      <c r="K3286" t="s">
        <v>161</v>
      </c>
    </row>
    <row r="3287" spans="1:11">
      <c r="A3287" t="str">
        <f>"600549"</f>
        <v>600549</v>
      </c>
      <c r="B3287" t="s">
        <v>3636</v>
      </c>
      <c r="C3287">
        <v>784.42</v>
      </c>
      <c r="D3287">
        <v>503.73</v>
      </c>
      <c r="E3287">
        <v>167.82</v>
      </c>
      <c r="F3287">
        <v>15.88</v>
      </c>
      <c r="G3287">
        <v>15.54</v>
      </c>
      <c r="H3287">
        <v>120883</v>
      </c>
      <c r="I3287">
        <v>4.78</v>
      </c>
      <c r="J3287">
        <v>33.73</v>
      </c>
      <c r="K3287" t="s">
        <v>322</v>
      </c>
    </row>
    <row r="3288" spans="1:11">
      <c r="A3288" t="str">
        <f>"600550"</f>
        <v>600550</v>
      </c>
      <c r="B3288" t="s">
        <v>3637</v>
      </c>
      <c r="C3288">
        <v>232.03</v>
      </c>
      <c r="D3288">
        <v>73.61</v>
      </c>
      <c r="E3288">
        <v>7.83</v>
      </c>
      <c r="F3288">
        <v>18.42</v>
      </c>
      <c r="G3288">
        <v>18.42</v>
      </c>
      <c r="H3288">
        <v>138522</v>
      </c>
      <c r="I3288">
        <v>29.65</v>
      </c>
      <c r="J3288">
        <v>119.25</v>
      </c>
      <c r="K3288" t="s">
        <v>208</v>
      </c>
    </row>
    <row r="3289" spans="1:11">
      <c r="A3289" t="str">
        <f>"600551"</f>
        <v>600551</v>
      </c>
      <c r="B3289" t="s">
        <v>3638</v>
      </c>
      <c r="C3289">
        <v>59.6</v>
      </c>
      <c r="D3289">
        <v>84.12</v>
      </c>
      <c r="E3289">
        <v>58.61</v>
      </c>
      <c r="F3289">
        <v>6.78</v>
      </c>
      <c r="G3289">
        <v>6.78</v>
      </c>
      <c r="H3289">
        <v>21984</v>
      </c>
      <c r="I3289">
        <v>1.02</v>
      </c>
      <c r="J3289">
        <v>16.12</v>
      </c>
      <c r="K3289" t="s">
        <v>381</v>
      </c>
    </row>
    <row r="3290" spans="1:11">
      <c r="A3290" t="str">
        <f>"600552"</f>
        <v>600552</v>
      </c>
      <c r="B3290" t="s">
        <v>3639</v>
      </c>
      <c r="C3290">
        <v>138.01</v>
      </c>
      <c r="D3290">
        <v>120.74</v>
      </c>
      <c r="E3290">
        <v>42.51</v>
      </c>
      <c r="F3290">
        <v>9.45</v>
      </c>
      <c r="G3290">
        <v>9.45</v>
      </c>
      <c r="H3290">
        <v>52484</v>
      </c>
      <c r="I3290">
        <v>3.25</v>
      </c>
      <c r="J3290">
        <v>80.44</v>
      </c>
      <c r="K3290" t="s">
        <v>39</v>
      </c>
    </row>
    <row r="3291" spans="1:11">
      <c r="A3291" t="str">
        <f>"600556"</f>
        <v>600556</v>
      </c>
      <c r="B3291" t="s">
        <v>3640</v>
      </c>
      <c r="C3291">
        <v>168.66</v>
      </c>
      <c r="D3291">
        <v>52.04</v>
      </c>
      <c r="E3291">
        <v>38.46</v>
      </c>
      <c r="F3291">
        <v>18.08</v>
      </c>
      <c r="G3291">
        <v>18.08</v>
      </c>
      <c r="H3291">
        <v>114729</v>
      </c>
      <c r="I3291">
        <v>4.38</v>
      </c>
      <c r="J3291">
        <v>354.77</v>
      </c>
      <c r="K3291" t="s">
        <v>333</v>
      </c>
    </row>
    <row r="3292" spans="1:11">
      <c r="A3292" t="str">
        <f>"600557"</f>
        <v>600557</v>
      </c>
      <c r="B3292" t="s">
        <v>3641</v>
      </c>
      <c r="C3292">
        <v>84.87</v>
      </c>
      <c r="D3292">
        <v>67.4</v>
      </c>
      <c r="E3292">
        <v>47.14</v>
      </c>
      <c r="F3292">
        <v>5.66</v>
      </c>
      <c r="G3292">
        <v>5.66</v>
      </c>
      <c r="H3292">
        <v>40529</v>
      </c>
      <c r="I3292">
        <v>1.8</v>
      </c>
      <c r="J3292">
        <v>31.88</v>
      </c>
      <c r="K3292" t="s">
        <v>155</v>
      </c>
    </row>
    <row r="3293" spans="1:11">
      <c r="A3293" t="str">
        <f>"600558"</f>
        <v>600558</v>
      </c>
      <c r="B3293" t="s">
        <v>3642</v>
      </c>
      <c r="C3293">
        <v>58.08</v>
      </c>
      <c r="D3293">
        <v>32.52</v>
      </c>
      <c r="E3293">
        <v>23.79</v>
      </c>
      <c r="F3293">
        <v>8.98</v>
      </c>
      <c r="G3293">
        <v>8.98</v>
      </c>
      <c r="H3293">
        <v>50226</v>
      </c>
      <c r="I3293">
        <v>2.44</v>
      </c>
      <c r="J3293">
        <v>30.67</v>
      </c>
      <c r="K3293" t="s">
        <v>63</v>
      </c>
    </row>
    <row r="3294" spans="1:11">
      <c r="A3294" t="str">
        <f>"600559"</f>
        <v>600559</v>
      </c>
      <c r="B3294" t="s">
        <v>3643</v>
      </c>
      <c r="C3294">
        <v>146.98</v>
      </c>
      <c r="D3294">
        <v>88.15</v>
      </c>
      <c r="E3294">
        <v>52.75</v>
      </c>
      <c r="F3294">
        <v>9.15</v>
      </c>
      <c r="G3294">
        <v>9.1</v>
      </c>
      <c r="H3294">
        <v>180331</v>
      </c>
      <c r="I3294">
        <v>2.8</v>
      </c>
      <c r="J3294">
        <v>27.7</v>
      </c>
      <c r="K3294" t="s">
        <v>251</v>
      </c>
    </row>
    <row r="3295" spans="1:11">
      <c r="A3295" t="str">
        <f>"600560"</f>
        <v>600560</v>
      </c>
      <c r="B3295" t="s">
        <v>3644</v>
      </c>
      <c r="C3295">
        <v>38.8</v>
      </c>
      <c r="D3295">
        <v>24.23</v>
      </c>
      <c r="E3295">
        <v>9.65</v>
      </c>
      <c r="F3295">
        <v>2.24</v>
      </c>
      <c r="G3295">
        <v>2.24</v>
      </c>
      <c r="H3295">
        <v>18494</v>
      </c>
      <c r="I3295">
        <v>4.02</v>
      </c>
      <c r="J3295">
        <v>78.17</v>
      </c>
      <c r="K3295" t="s">
        <v>663</v>
      </c>
    </row>
    <row r="3296" spans="1:11">
      <c r="A3296" t="str">
        <f>"600561"</f>
        <v>600561</v>
      </c>
      <c r="B3296" t="s">
        <v>3645</v>
      </c>
      <c r="C3296">
        <v>18.86</v>
      </c>
      <c r="D3296">
        <v>45.03</v>
      </c>
      <c r="E3296">
        <v>9.06</v>
      </c>
      <c r="F3296">
        <v>2.84</v>
      </c>
      <c r="G3296">
        <v>2.84</v>
      </c>
      <c r="H3296">
        <v>13858</v>
      </c>
      <c r="I3296">
        <v>2.08</v>
      </c>
      <c r="J3296" t="s">
        <v>14</v>
      </c>
      <c r="K3296" t="s">
        <v>1145</v>
      </c>
    </row>
    <row r="3297" spans="1:11">
      <c r="A3297" t="str">
        <f>"600562"</f>
        <v>600562</v>
      </c>
      <c r="B3297" t="s">
        <v>3646</v>
      </c>
      <c r="C3297">
        <v>382.37</v>
      </c>
      <c r="D3297">
        <v>102.64</v>
      </c>
      <c r="E3297">
        <v>65.05</v>
      </c>
      <c r="F3297">
        <v>12.42</v>
      </c>
      <c r="G3297">
        <v>12.42</v>
      </c>
      <c r="H3297">
        <v>32937</v>
      </c>
      <c r="I3297">
        <v>5.88</v>
      </c>
      <c r="J3297">
        <v>76.98</v>
      </c>
      <c r="K3297" t="s">
        <v>223</v>
      </c>
    </row>
    <row r="3298" spans="1:11">
      <c r="A3298" t="str">
        <f>"600563"</f>
        <v>600563</v>
      </c>
      <c r="B3298" t="s">
        <v>3647</v>
      </c>
      <c r="C3298">
        <v>237.67</v>
      </c>
      <c r="D3298">
        <v>83.62</v>
      </c>
      <c r="E3298">
        <v>57.26</v>
      </c>
      <c r="F3298">
        <v>2.25</v>
      </c>
      <c r="G3298">
        <v>2.25</v>
      </c>
      <c r="H3298">
        <v>20896</v>
      </c>
      <c r="I3298">
        <v>4.15</v>
      </c>
      <c r="J3298">
        <v>20.08</v>
      </c>
      <c r="K3298" t="s">
        <v>310</v>
      </c>
    </row>
    <row r="3299" spans="1:11">
      <c r="A3299" t="str">
        <f>"600566"</f>
        <v>600566</v>
      </c>
      <c r="B3299" t="s">
        <v>3648</v>
      </c>
      <c r="C3299">
        <v>239.75</v>
      </c>
      <c r="D3299">
        <v>165.34</v>
      </c>
      <c r="E3299">
        <v>138.29</v>
      </c>
      <c r="F3299">
        <v>9.21</v>
      </c>
      <c r="G3299">
        <v>9.18</v>
      </c>
      <c r="H3299">
        <v>47359</v>
      </c>
      <c r="I3299">
        <v>1.74</v>
      </c>
      <c r="J3299">
        <v>17.65</v>
      </c>
      <c r="K3299" t="s">
        <v>155</v>
      </c>
    </row>
    <row r="3300" spans="1:11">
      <c r="A3300" t="str">
        <f>"600567"</f>
        <v>600567</v>
      </c>
      <c r="B3300" t="s">
        <v>3649</v>
      </c>
      <c r="C3300">
        <v>106.6</v>
      </c>
      <c r="D3300">
        <v>526.68</v>
      </c>
      <c r="E3300">
        <v>154.03</v>
      </c>
      <c r="F3300">
        <v>63.07</v>
      </c>
      <c r="G3300">
        <v>63.07</v>
      </c>
      <c r="H3300">
        <v>196139</v>
      </c>
      <c r="I3300">
        <v>0.64</v>
      </c>
      <c r="J3300" t="s">
        <v>14</v>
      </c>
      <c r="K3300" t="s">
        <v>165</v>
      </c>
    </row>
    <row r="3301" spans="1:11">
      <c r="A3301" t="str">
        <f>"600568"</f>
        <v>600568</v>
      </c>
      <c r="B3301" t="s">
        <v>3650</v>
      </c>
      <c r="C3301">
        <v>42.06</v>
      </c>
      <c r="D3301">
        <v>20.68</v>
      </c>
      <c r="E3301">
        <v>17.16</v>
      </c>
      <c r="F3301">
        <v>19.93</v>
      </c>
      <c r="G3301">
        <v>16.69</v>
      </c>
      <c r="H3301">
        <v>20188</v>
      </c>
      <c r="I3301">
        <v>2.93</v>
      </c>
      <c r="J3301" t="s">
        <v>14</v>
      </c>
      <c r="K3301" t="s">
        <v>181</v>
      </c>
    </row>
    <row r="3302" spans="1:11">
      <c r="A3302" t="str">
        <f>"600569"</f>
        <v>600569</v>
      </c>
      <c r="B3302" t="s">
        <v>3651</v>
      </c>
      <c r="C3302">
        <v>66.93</v>
      </c>
      <c r="D3302">
        <v>465.72</v>
      </c>
      <c r="E3302">
        <v>27.29</v>
      </c>
      <c r="F3302">
        <v>28.72</v>
      </c>
      <c r="G3302">
        <v>28.72</v>
      </c>
      <c r="H3302">
        <v>79187</v>
      </c>
      <c r="I3302">
        <v>2.45</v>
      </c>
      <c r="J3302">
        <v>86.05</v>
      </c>
      <c r="K3302" t="s">
        <v>366</v>
      </c>
    </row>
    <row r="3303" spans="1:11">
      <c r="A3303" t="str">
        <f>"600570"</f>
        <v>600570</v>
      </c>
      <c r="B3303" t="s">
        <v>3652</v>
      </c>
      <c r="C3303">
        <v>665.41</v>
      </c>
      <c r="D3303">
        <v>143</v>
      </c>
      <c r="E3303">
        <v>90.43</v>
      </c>
      <c r="F3303">
        <v>18.94</v>
      </c>
      <c r="G3303">
        <v>18.94</v>
      </c>
      <c r="H3303">
        <v>213767</v>
      </c>
      <c r="I3303">
        <v>7.36</v>
      </c>
      <c r="J3303">
        <v>109.65</v>
      </c>
      <c r="K3303" t="s">
        <v>117</v>
      </c>
    </row>
    <row r="3304" spans="1:11">
      <c r="A3304" t="str">
        <f>"600571"</f>
        <v>600571</v>
      </c>
      <c r="B3304" t="s">
        <v>3653</v>
      </c>
      <c r="C3304">
        <v>82.62</v>
      </c>
      <c r="D3304">
        <v>18.09</v>
      </c>
      <c r="E3304">
        <v>11.98</v>
      </c>
      <c r="F3304">
        <v>4.66</v>
      </c>
      <c r="G3304">
        <v>4.58</v>
      </c>
      <c r="H3304">
        <v>68000</v>
      </c>
      <c r="I3304">
        <v>7.02</v>
      </c>
      <c r="J3304">
        <v>280.88</v>
      </c>
      <c r="K3304" t="s">
        <v>117</v>
      </c>
    </row>
    <row r="3305" spans="1:11">
      <c r="A3305" t="str">
        <f>"600572"</f>
        <v>600572</v>
      </c>
      <c r="B3305" t="s">
        <v>3654</v>
      </c>
      <c r="C3305">
        <v>114.01</v>
      </c>
      <c r="D3305">
        <v>101.33</v>
      </c>
      <c r="E3305">
        <v>70.62</v>
      </c>
      <c r="F3305">
        <v>25.35</v>
      </c>
      <c r="G3305">
        <v>25.28</v>
      </c>
      <c r="H3305">
        <v>79985</v>
      </c>
      <c r="I3305">
        <v>1.61</v>
      </c>
      <c r="J3305">
        <v>14.68</v>
      </c>
      <c r="K3305" t="s">
        <v>155</v>
      </c>
    </row>
    <row r="3306" spans="1:11">
      <c r="A3306" t="str">
        <f>"600573"</f>
        <v>600573</v>
      </c>
      <c r="B3306" t="s">
        <v>3655</v>
      </c>
      <c r="C3306">
        <v>29.77</v>
      </c>
      <c r="D3306">
        <v>18.05</v>
      </c>
      <c r="E3306">
        <v>13.76</v>
      </c>
      <c r="F3306">
        <v>2.5</v>
      </c>
      <c r="G3306">
        <v>2.5</v>
      </c>
      <c r="H3306">
        <v>15772</v>
      </c>
      <c r="I3306">
        <v>2.16</v>
      </c>
      <c r="J3306">
        <v>22.66</v>
      </c>
      <c r="K3306" t="s">
        <v>395</v>
      </c>
    </row>
    <row r="3307" spans="1:11">
      <c r="A3307" t="str">
        <f>"600575"</f>
        <v>600575</v>
      </c>
      <c r="B3307" t="s">
        <v>3656</v>
      </c>
      <c r="C3307">
        <v>133.3</v>
      </c>
      <c r="D3307">
        <v>238.47</v>
      </c>
      <c r="E3307">
        <v>123.07</v>
      </c>
      <c r="F3307">
        <v>71.67</v>
      </c>
      <c r="G3307">
        <v>38.86</v>
      </c>
      <c r="H3307">
        <v>58172</v>
      </c>
      <c r="I3307">
        <v>1.08</v>
      </c>
      <c r="J3307">
        <v>24.5</v>
      </c>
      <c r="K3307" t="s">
        <v>46</v>
      </c>
    </row>
    <row r="3308" spans="1:11">
      <c r="A3308" t="str">
        <f>"600576"</f>
        <v>600576</v>
      </c>
      <c r="B3308" t="s">
        <v>3657</v>
      </c>
      <c r="C3308">
        <v>44.25</v>
      </c>
      <c r="D3308">
        <v>50.79</v>
      </c>
      <c r="E3308">
        <v>29.7</v>
      </c>
      <c r="F3308">
        <v>10.55</v>
      </c>
      <c r="G3308">
        <v>6.6</v>
      </c>
      <c r="H3308">
        <v>45879</v>
      </c>
      <c r="I3308">
        <v>2.38</v>
      </c>
      <c r="J3308">
        <v>33.92</v>
      </c>
      <c r="K3308" t="s">
        <v>163</v>
      </c>
    </row>
    <row r="3309" spans="1:11">
      <c r="A3309" t="str">
        <f>"600577"</f>
        <v>600577</v>
      </c>
      <c r="B3309" t="s">
        <v>3658</v>
      </c>
      <c r="C3309">
        <v>301.54</v>
      </c>
      <c r="D3309">
        <v>141.53</v>
      </c>
      <c r="E3309">
        <v>61.01</v>
      </c>
      <c r="F3309">
        <v>21.49</v>
      </c>
      <c r="G3309">
        <v>21.49</v>
      </c>
      <c r="H3309">
        <v>103330</v>
      </c>
      <c r="I3309">
        <v>4.98</v>
      </c>
      <c r="J3309">
        <v>50.16</v>
      </c>
      <c r="K3309" t="s">
        <v>383</v>
      </c>
    </row>
    <row r="3310" spans="1:11">
      <c r="A3310" t="str">
        <f>"600578"</f>
        <v>600578</v>
      </c>
      <c r="B3310" t="s">
        <v>3659</v>
      </c>
      <c r="C3310">
        <v>366.87</v>
      </c>
      <c r="D3310">
        <v>982.23</v>
      </c>
      <c r="E3310">
        <v>302.62</v>
      </c>
      <c r="F3310">
        <v>66.95</v>
      </c>
      <c r="G3310">
        <v>66.95</v>
      </c>
      <c r="H3310">
        <v>56517</v>
      </c>
      <c r="I3310">
        <v>1.54</v>
      </c>
      <c r="J3310">
        <v>8.68</v>
      </c>
      <c r="K3310" t="s">
        <v>46</v>
      </c>
    </row>
    <row r="3311" spans="1:11">
      <c r="A3311" t="str">
        <f>"600579"</f>
        <v>600579</v>
      </c>
      <c r="B3311" t="s">
        <v>3660</v>
      </c>
      <c r="C3311">
        <v>43.68</v>
      </c>
      <c r="D3311">
        <v>36.72</v>
      </c>
      <c r="E3311">
        <v>16.4</v>
      </c>
      <c r="F3311">
        <v>4.94</v>
      </c>
      <c r="G3311">
        <v>4.94</v>
      </c>
      <c r="H3311">
        <v>30631</v>
      </c>
      <c r="I3311">
        <v>2.66</v>
      </c>
      <c r="J3311" t="s">
        <v>14</v>
      </c>
      <c r="K3311" t="s">
        <v>493</v>
      </c>
    </row>
    <row r="3312" spans="1:11">
      <c r="A3312" t="str">
        <f>"600580"</f>
        <v>600580</v>
      </c>
      <c r="B3312" t="s">
        <v>3661</v>
      </c>
      <c r="C3312">
        <v>718.54</v>
      </c>
      <c r="D3312">
        <v>251.67</v>
      </c>
      <c r="E3312">
        <v>107.04</v>
      </c>
      <c r="F3312">
        <v>15.62</v>
      </c>
      <c r="G3312">
        <v>15.58</v>
      </c>
      <c r="H3312">
        <v>469375</v>
      </c>
      <c r="I3312">
        <v>6.73</v>
      </c>
      <c r="J3312">
        <v>66.02</v>
      </c>
      <c r="K3312" t="s">
        <v>552</v>
      </c>
    </row>
    <row r="3313" spans="1:11">
      <c r="A3313" t="str">
        <f>"600581"</f>
        <v>600581</v>
      </c>
      <c r="B3313" t="s">
        <v>3662</v>
      </c>
      <c r="C3313">
        <v>52.58</v>
      </c>
      <c r="D3313">
        <v>289.45</v>
      </c>
      <c r="E3313">
        <v>-4.76</v>
      </c>
      <c r="F3313">
        <v>15.33</v>
      </c>
      <c r="G3313">
        <v>15.33</v>
      </c>
      <c r="H3313">
        <v>88473</v>
      </c>
      <c r="I3313">
        <v>-11.03</v>
      </c>
      <c r="J3313" t="s">
        <v>14</v>
      </c>
      <c r="K3313" t="s">
        <v>366</v>
      </c>
    </row>
    <row r="3314" spans="1:11">
      <c r="A3314" t="str">
        <f>"600582"</f>
        <v>600582</v>
      </c>
      <c r="B3314" t="s">
        <v>3663</v>
      </c>
      <c r="C3314">
        <v>242.94</v>
      </c>
      <c r="D3314">
        <v>584.36</v>
      </c>
      <c r="E3314">
        <v>255.06</v>
      </c>
      <c r="F3314">
        <v>41.39</v>
      </c>
      <c r="G3314">
        <v>41.39</v>
      </c>
      <c r="H3314">
        <v>70840</v>
      </c>
      <c r="I3314">
        <v>0.95</v>
      </c>
      <c r="J3314">
        <v>7.79</v>
      </c>
      <c r="K3314" t="s">
        <v>491</v>
      </c>
    </row>
    <row r="3315" spans="1:11">
      <c r="A3315" t="str">
        <f>"600583"</f>
        <v>600583</v>
      </c>
      <c r="B3315" t="s">
        <v>3664</v>
      </c>
      <c r="C3315">
        <v>267.93</v>
      </c>
      <c r="D3315">
        <v>478.83</v>
      </c>
      <c r="E3315">
        <v>269.87</v>
      </c>
      <c r="F3315">
        <v>44.21</v>
      </c>
      <c r="G3315">
        <v>44.21</v>
      </c>
      <c r="H3315">
        <v>78886</v>
      </c>
      <c r="I3315">
        <v>0.99</v>
      </c>
      <c r="J3315">
        <v>12.52</v>
      </c>
      <c r="K3315" t="s">
        <v>1336</v>
      </c>
    </row>
    <row r="3316" spans="1:11">
      <c r="A3316" t="str">
        <f>"600584"</f>
        <v>600584</v>
      </c>
      <c r="B3316" t="s">
        <v>3665</v>
      </c>
      <c r="C3316">
        <v>751.2</v>
      </c>
      <c r="D3316">
        <v>528.69</v>
      </c>
      <c r="E3316">
        <v>281.63</v>
      </c>
      <c r="F3316">
        <v>17.89</v>
      </c>
      <c r="G3316">
        <v>17.89</v>
      </c>
      <c r="H3316">
        <v>376256</v>
      </c>
      <c r="I3316">
        <v>2.67</v>
      </c>
      <c r="J3316">
        <v>59.07</v>
      </c>
      <c r="K3316" t="s">
        <v>838</v>
      </c>
    </row>
    <row r="3317" spans="1:11">
      <c r="A3317" t="str">
        <f>"600585"</f>
        <v>600585</v>
      </c>
      <c r="B3317" t="s">
        <v>3666</v>
      </c>
      <c r="C3317">
        <v>894.33</v>
      </c>
      <c r="D3317">
        <v>2553.42</v>
      </c>
      <c r="E3317">
        <v>1903.83</v>
      </c>
      <c r="F3317">
        <v>52.99</v>
      </c>
      <c r="G3317">
        <v>40</v>
      </c>
      <c r="H3317">
        <v>251403</v>
      </c>
      <c r="I3317">
        <v>0.62</v>
      </c>
      <c r="J3317">
        <v>14.1</v>
      </c>
      <c r="K3317" t="s">
        <v>129</v>
      </c>
    </row>
    <row r="3318" spans="1:11">
      <c r="A3318" t="str">
        <f>"600586"</f>
        <v>600586</v>
      </c>
      <c r="B3318" t="s">
        <v>3667</v>
      </c>
      <c r="C3318">
        <v>87.87</v>
      </c>
      <c r="D3318">
        <v>94.52</v>
      </c>
      <c r="E3318">
        <v>54.94</v>
      </c>
      <c r="F3318">
        <v>14.17</v>
      </c>
      <c r="G3318">
        <v>14.17</v>
      </c>
      <c r="H3318">
        <v>92388</v>
      </c>
      <c r="I3318">
        <v>1.6</v>
      </c>
      <c r="J3318" t="s">
        <v>14</v>
      </c>
      <c r="K3318" t="s">
        <v>30</v>
      </c>
    </row>
    <row r="3319" spans="1:11">
      <c r="A3319" t="str">
        <f>"600587"</f>
        <v>600587</v>
      </c>
      <c r="B3319" t="s">
        <v>3668</v>
      </c>
      <c r="C3319">
        <v>101.53</v>
      </c>
      <c r="D3319">
        <v>150.79</v>
      </c>
      <c r="E3319">
        <v>78.31</v>
      </c>
      <c r="F3319">
        <v>6.07</v>
      </c>
      <c r="G3319">
        <v>6.04</v>
      </c>
      <c r="H3319">
        <v>38715</v>
      </c>
      <c r="I3319">
        <v>1.29</v>
      </c>
      <c r="J3319">
        <v>17.6</v>
      </c>
      <c r="K3319" t="s">
        <v>1836</v>
      </c>
    </row>
    <row r="3320" spans="1:11">
      <c r="A3320" t="str">
        <f>"600588"</f>
        <v>600588</v>
      </c>
      <c r="B3320" t="s">
        <v>3669</v>
      </c>
      <c r="C3320">
        <v>649.57</v>
      </c>
      <c r="D3320">
        <v>215.07</v>
      </c>
      <c r="E3320">
        <v>74.08</v>
      </c>
      <c r="F3320">
        <v>34.17</v>
      </c>
      <c r="G3320">
        <v>34.17</v>
      </c>
      <c r="H3320">
        <v>198256</v>
      </c>
      <c r="I3320">
        <v>8.77</v>
      </c>
      <c r="J3320" t="s">
        <v>14</v>
      </c>
      <c r="K3320" t="s">
        <v>924</v>
      </c>
    </row>
    <row r="3321" spans="1:11">
      <c r="A3321" t="str">
        <f>"600589"</f>
        <v>600589</v>
      </c>
      <c r="B3321" t="s">
        <v>3670</v>
      </c>
      <c r="C3321">
        <v>160.86</v>
      </c>
      <c r="D3321">
        <v>30.18</v>
      </c>
      <c r="E3321">
        <v>7.11</v>
      </c>
      <c r="F3321">
        <v>14.85</v>
      </c>
      <c r="G3321">
        <v>14.78</v>
      </c>
      <c r="H3321">
        <v>181035</v>
      </c>
      <c r="I3321">
        <v>22.71</v>
      </c>
      <c r="J3321">
        <v>318.54</v>
      </c>
      <c r="K3321" t="s">
        <v>463</v>
      </c>
    </row>
    <row r="3322" spans="1:11">
      <c r="A3322" t="str">
        <f>"600590"</f>
        <v>600590</v>
      </c>
      <c r="B3322" t="s">
        <v>3671</v>
      </c>
      <c r="C3322">
        <v>85.37</v>
      </c>
      <c r="D3322">
        <v>122.89</v>
      </c>
      <c r="E3322">
        <v>31.98</v>
      </c>
      <c r="F3322">
        <v>8.53</v>
      </c>
      <c r="G3322">
        <v>8.44</v>
      </c>
      <c r="H3322">
        <v>96853</v>
      </c>
      <c r="I3322">
        <v>2.7</v>
      </c>
      <c r="J3322">
        <v>132.08</v>
      </c>
      <c r="K3322" t="s">
        <v>223</v>
      </c>
    </row>
    <row r="3323" spans="1:11">
      <c r="A3323" t="str">
        <f>"600592"</f>
        <v>600592</v>
      </c>
      <c r="B3323" t="s">
        <v>3672</v>
      </c>
      <c r="C3323">
        <v>103.6</v>
      </c>
      <c r="D3323">
        <v>34.64</v>
      </c>
      <c r="E3323">
        <v>25.43</v>
      </c>
      <c r="F3323">
        <v>4</v>
      </c>
      <c r="G3323">
        <v>4</v>
      </c>
      <c r="H3323">
        <v>74498</v>
      </c>
      <c r="I3323">
        <v>4.07</v>
      </c>
      <c r="J3323">
        <v>66.44</v>
      </c>
      <c r="K3323" t="s">
        <v>424</v>
      </c>
    </row>
    <row r="3324" spans="1:11">
      <c r="A3324" t="str">
        <f>"600593"</f>
        <v>600593</v>
      </c>
      <c r="B3324" t="s">
        <v>3673</v>
      </c>
      <c r="C3324">
        <v>56.29</v>
      </c>
      <c r="D3324">
        <v>19.99</v>
      </c>
      <c r="E3324">
        <v>2.14</v>
      </c>
      <c r="F3324">
        <v>1.3</v>
      </c>
      <c r="G3324">
        <v>1.29</v>
      </c>
      <c r="H3324">
        <v>23096</v>
      </c>
      <c r="I3324">
        <v>26.34</v>
      </c>
      <c r="J3324">
        <v>64.81</v>
      </c>
      <c r="K3324" t="s">
        <v>163</v>
      </c>
    </row>
    <row r="3325" spans="1:11">
      <c r="A3325" t="str">
        <f>"600594"</f>
        <v>600594</v>
      </c>
      <c r="B3325" t="s">
        <v>3674</v>
      </c>
      <c r="C3325">
        <v>32.86</v>
      </c>
      <c r="D3325">
        <v>38.38</v>
      </c>
      <c r="E3325">
        <v>24.03</v>
      </c>
      <c r="F3325">
        <v>7.92</v>
      </c>
      <c r="G3325">
        <v>7.92</v>
      </c>
      <c r="H3325">
        <v>49116</v>
      </c>
      <c r="I3325">
        <v>1.37</v>
      </c>
      <c r="J3325" t="s">
        <v>14</v>
      </c>
      <c r="K3325" t="s">
        <v>155</v>
      </c>
    </row>
    <row r="3326" spans="1:11">
      <c r="A3326" t="str">
        <f>"600595"</f>
        <v>600595</v>
      </c>
      <c r="B3326" t="s">
        <v>3675</v>
      </c>
      <c r="C3326">
        <v>361.11</v>
      </c>
      <c r="D3326">
        <v>243.19</v>
      </c>
      <c r="E3326">
        <v>166.84</v>
      </c>
      <c r="F3326">
        <v>40.08</v>
      </c>
      <c r="G3326">
        <v>40.08</v>
      </c>
      <c r="H3326">
        <v>80774</v>
      </c>
      <c r="I3326">
        <v>2.16</v>
      </c>
      <c r="J3326">
        <v>22.81</v>
      </c>
      <c r="K3326" t="s">
        <v>288</v>
      </c>
    </row>
    <row r="3327" spans="1:11">
      <c r="A3327" t="str">
        <f>"600596"</f>
        <v>600596</v>
      </c>
      <c r="B3327" t="s">
        <v>3676</v>
      </c>
      <c r="C3327">
        <v>164.11</v>
      </c>
      <c r="D3327">
        <v>218.85</v>
      </c>
      <c r="E3327">
        <v>124.39</v>
      </c>
      <c r="F3327">
        <v>13.5</v>
      </c>
      <c r="G3327">
        <v>13.5</v>
      </c>
      <c r="H3327">
        <v>76475</v>
      </c>
      <c r="I3327">
        <v>1.32</v>
      </c>
      <c r="J3327">
        <v>172.44</v>
      </c>
      <c r="K3327" t="s">
        <v>993</v>
      </c>
    </row>
    <row r="3328" spans="1:11">
      <c r="A3328" t="str">
        <f>"600597"</f>
        <v>600597</v>
      </c>
      <c r="B3328" t="s">
        <v>3677</v>
      </c>
      <c r="C3328">
        <v>112.34</v>
      </c>
      <c r="D3328">
        <v>223.8</v>
      </c>
      <c r="E3328">
        <v>94.5</v>
      </c>
      <c r="F3328">
        <v>13.78</v>
      </c>
      <c r="G3328">
        <v>13.78</v>
      </c>
      <c r="H3328">
        <v>75159</v>
      </c>
      <c r="I3328">
        <v>1.19</v>
      </c>
      <c r="J3328">
        <v>96.61</v>
      </c>
      <c r="K3328" t="s">
        <v>699</v>
      </c>
    </row>
    <row r="3329" spans="1:11">
      <c r="A3329" t="str">
        <f>"600598"</f>
        <v>600598</v>
      </c>
      <c r="B3329" t="s">
        <v>3678</v>
      </c>
      <c r="C3329">
        <v>271.1</v>
      </c>
      <c r="D3329">
        <v>107.45</v>
      </c>
      <c r="E3329">
        <v>81.98</v>
      </c>
      <c r="F3329">
        <v>17.78</v>
      </c>
      <c r="G3329">
        <v>17.78</v>
      </c>
      <c r="H3329">
        <v>104488</v>
      </c>
      <c r="I3329">
        <v>3.31</v>
      </c>
      <c r="J3329">
        <v>14.99</v>
      </c>
      <c r="K3329" t="s">
        <v>3679</v>
      </c>
    </row>
    <row r="3330" spans="1:11">
      <c r="A3330" t="str">
        <f>"600599"</f>
        <v>600599</v>
      </c>
      <c r="B3330" t="s">
        <v>3680</v>
      </c>
      <c r="C3330">
        <v>14.26</v>
      </c>
      <c r="D3330">
        <v>2.58</v>
      </c>
      <c r="E3330">
        <v>1.16</v>
      </c>
      <c r="F3330">
        <v>1.66</v>
      </c>
      <c r="G3330">
        <v>1.66</v>
      </c>
      <c r="H3330">
        <v>12789</v>
      </c>
      <c r="I3330">
        <v>12.31</v>
      </c>
      <c r="J3330">
        <v>78.87</v>
      </c>
      <c r="K3330" t="s">
        <v>793</v>
      </c>
    </row>
    <row r="3331" spans="1:11">
      <c r="A3331" t="str">
        <f>"600600"</f>
        <v>600600</v>
      </c>
      <c r="B3331" t="s">
        <v>3681</v>
      </c>
      <c r="C3331">
        <v>442.35</v>
      </c>
      <c r="D3331">
        <v>513.9</v>
      </c>
      <c r="E3331">
        <v>313.33</v>
      </c>
      <c r="F3331">
        <v>13.64</v>
      </c>
      <c r="G3331">
        <v>7.09</v>
      </c>
      <c r="H3331">
        <v>98357</v>
      </c>
      <c r="I3331">
        <v>2.72</v>
      </c>
      <c r="J3331">
        <v>12.1</v>
      </c>
      <c r="K3331" t="s">
        <v>395</v>
      </c>
    </row>
    <row r="3332" spans="1:11">
      <c r="A3332" t="str">
        <f>"600601"</f>
        <v>600601</v>
      </c>
      <c r="B3332" t="s">
        <v>3682</v>
      </c>
      <c r="C3332">
        <v>510.44</v>
      </c>
      <c r="D3332">
        <v>88.81</v>
      </c>
      <c r="E3332">
        <v>44.54</v>
      </c>
      <c r="F3332">
        <v>42.74</v>
      </c>
      <c r="G3332">
        <v>41.7</v>
      </c>
      <c r="H3332">
        <v>292281</v>
      </c>
      <c r="I3332">
        <v>11.75</v>
      </c>
      <c r="J3332">
        <v>123.92</v>
      </c>
      <c r="K3332" t="s">
        <v>472</v>
      </c>
    </row>
    <row r="3333" spans="1:11">
      <c r="A3333" t="str">
        <f>"600602"</f>
        <v>600602</v>
      </c>
      <c r="B3333" t="s">
        <v>3683</v>
      </c>
      <c r="C3333">
        <v>224.64</v>
      </c>
      <c r="D3333">
        <v>80.62</v>
      </c>
      <c r="E3333">
        <v>48.21</v>
      </c>
      <c r="F3333">
        <v>13.68</v>
      </c>
      <c r="G3333">
        <v>10.74</v>
      </c>
      <c r="H3333">
        <v>177748</v>
      </c>
      <c r="I3333">
        <v>5.93</v>
      </c>
      <c r="J3333">
        <v>147.71</v>
      </c>
      <c r="K3333" t="s">
        <v>463</v>
      </c>
    </row>
    <row r="3334" spans="1:11">
      <c r="A3334" t="str">
        <f>"600603"</f>
        <v>600603</v>
      </c>
      <c r="B3334" t="s">
        <v>3684</v>
      </c>
      <c r="C3334">
        <v>76.02</v>
      </c>
      <c r="D3334">
        <v>214.93</v>
      </c>
      <c r="E3334">
        <v>73.06</v>
      </c>
      <c r="F3334">
        <v>11.93</v>
      </c>
      <c r="G3334">
        <v>11.93</v>
      </c>
      <c r="H3334">
        <v>24569</v>
      </c>
      <c r="I3334">
        <v>1.04</v>
      </c>
      <c r="J3334">
        <v>17.9</v>
      </c>
      <c r="K3334" t="s">
        <v>15</v>
      </c>
    </row>
    <row r="3335" spans="1:11">
      <c r="A3335" t="str">
        <f>"600604"</f>
        <v>600604</v>
      </c>
      <c r="B3335" t="s">
        <v>3685</v>
      </c>
      <c r="C3335">
        <v>83.88</v>
      </c>
      <c r="D3335">
        <v>204.42</v>
      </c>
      <c r="E3335">
        <v>62.17</v>
      </c>
      <c r="F3335">
        <v>18.73</v>
      </c>
      <c r="G3335">
        <v>14.07</v>
      </c>
      <c r="H3335">
        <v>86356</v>
      </c>
      <c r="I3335">
        <v>1.8</v>
      </c>
      <c r="J3335" t="s">
        <v>14</v>
      </c>
      <c r="K3335" t="s">
        <v>3274</v>
      </c>
    </row>
    <row r="3336" spans="1:11">
      <c r="A3336" t="str">
        <f>"600605"</f>
        <v>600605</v>
      </c>
      <c r="B3336" t="s">
        <v>3686</v>
      </c>
      <c r="C3336">
        <v>61</v>
      </c>
      <c r="D3336">
        <v>15.21</v>
      </c>
      <c r="E3336">
        <v>14.22</v>
      </c>
      <c r="F3336">
        <v>2.06</v>
      </c>
      <c r="G3336">
        <v>2.06</v>
      </c>
      <c r="H3336">
        <v>11720</v>
      </c>
      <c r="I3336">
        <v>4.29</v>
      </c>
      <c r="J3336">
        <v>174.02</v>
      </c>
      <c r="K3336" t="s">
        <v>20</v>
      </c>
    </row>
    <row r="3337" spans="1:11">
      <c r="A3337" t="str">
        <f>"600606"</f>
        <v>600606</v>
      </c>
      <c r="B3337" t="s">
        <v>3687</v>
      </c>
      <c r="C3337">
        <v>233.3</v>
      </c>
      <c r="D3337">
        <v>10534.77</v>
      </c>
      <c r="E3337">
        <v>572.91</v>
      </c>
      <c r="F3337">
        <v>140.54</v>
      </c>
      <c r="G3337">
        <v>140.54</v>
      </c>
      <c r="H3337">
        <v>125981</v>
      </c>
      <c r="I3337">
        <v>0.41</v>
      </c>
      <c r="J3337" t="s">
        <v>14</v>
      </c>
      <c r="K3337" t="s">
        <v>15</v>
      </c>
    </row>
    <row r="3338" spans="1:11">
      <c r="A3338" t="str">
        <f>"600608"</f>
        <v>600608</v>
      </c>
      <c r="B3338" t="s">
        <v>3688</v>
      </c>
      <c r="C3338">
        <v>10.89</v>
      </c>
      <c r="D3338">
        <v>1.19</v>
      </c>
      <c r="E3338">
        <v>0.39</v>
      </c>
      <c r="F3338">
        <v>3.29</v>
      </c>
      <c r="G3338">
        <v>3.18</v>
      </c>
      <c r="H3338">
        <v>11676</v>
      </c>
      <c r="I3338">
        <v>28.98</v>
      </c>
      <c r="J3338">
        <v>794.36</v>
      </c>
      <c r="K3338" t="s">
        <v>107</v>
      </c>
    </row>
    <row r="3339" spans="1:11">
      <c r="A3339" t="str">
        <f>"600609"</f>
        <v>600609</v>
      </c>
      <c r="B3339" t="s">
        <v>3689</v>
      </c>
      <c r="C3339">
        <v>63.92</v>
      </c>
      <c r="D3339">
        <v>41.69</v>
      </c>
      <c r="E3339">
        <v>15.75</v>
      </c>
      <c r="F3339">
        <v>13.05</v>
      </c>
      <c r="G3339">
        <v>13.05</v>
      </c>
      <c r="H3339">
        <v>59798</v>
      </c>
      <c r="I3339">
        <v>4.06</v>
      </c>
      <c r="J3339">
        <v>26.58</v>
      </c>
      <c r="K3339" t="s">
        <v>356</v>
      </c>
    </row>
    <row r="3340" spans="1:11">
      <c r="A3340" t="str">
        <f>"600610"</f>
        <v>600610</v>
      </c>
      <c r="B3340" t="s">
        <v>3690</v>
      </c>
      <c r="C3340">
        <v>72.93</v>
      </c>
      <c r="D3340">
        <v>10.4</v>
      </c>
      <c r="E3340">
        <v>1.14</v>
      </c>
      <c r="F3340">
        <v>10.71</v>
      </c>
      <c r="G3340">
        <v>7.09</v>
      </c>
      <c r="H3340">
        <v>118637</v>
      </c>
      <c r="I3340">
        <v>97.08</v>
      </c>
      <c r="J3340">
        <v>183.29</v>
      </c>
      <c r="K3340" t="s">
        <v>1201</v>
      </c>
    </row>
    <row r="3341" spans="1:11">
      <c r="A3341" t="str">
        <f>"600611"</f>
        <v>600611</v>
      </c>
      <c r="B3341" t="s">
        <v>3691</v>
      </c>
      <c r="C3341">
        <v>94.11</v>
      </c>
      <c r="D3341">
        <v>193.19</v>
      </c>
      <c r="E3341">
        <v>101.43</v>
      </c>
      <c r="F3341">
        <v>23.64</v>
      </c>
      <c r="G3341">
        <v>15.63</v>
      </c>
      <c r="H3341">
        <v>197947</v>
      </c>
      <c r="I3341">
        <v>1.4</v>
      </c>
      <c r="J3341">
        <v>108.83</v>
      </c>
      <c r="K3341" t="s">
        <v>1145</v>
      </c>
    </row>
    <row r="3342" spans="1:11">
      <c r="A3342" t="str">
        <f>"600612"</f>
        <v>600612</v>
      </c>
      <c r="B3342" t="s">
        <v>3692</v>
      </c>
      <c r="C3342">
        <v>145.24</v>
      </c>
      <c r="D3342">
        <v>248.91</v>
      </c>
      <c r="E3342">
        <v>128.61</v>
      </c>
      <c r="F3342">
        <v>5.23</v>
      </c>
      <c r="G3342">
        <v>3.17</v>
      </c>
      <c r="H3342">
        <v>45712</v>
      </c>
      <c r="I3342">
        <v>1.86</v>
      </c>
      <c r="J3342">
        <v>12.5</v>
      </c>
      <c r="K3342" t="s">
        <v>35</v>
      </c>
    </row>
    <row r="3343" spans="1:11">
      <c r="A3343" t="str">
        <f>"600613"</f>
        <v>600613</v>
      </c>
      <c r="B3343" t="s">
        <v>3693</v>
      </c>
      <c r="C3343">
        <v>29.96</v>
      </c>
      <c r="D3343">
        <v>30.86</v>
      </c>
      <c r="E3343">
        <v>23.33</v>
      </c>
      <c r="F3343">
        <v>5.34</v>
      </c>
      <c r="G3343">
        <v>4.79</v>
      </c>
      <c r="H3343">
        <v>48179</v>
      </c>
      <c r="I3343">
        <v>1.43</v>
      </c>
      <c r="J3343">
        <v>49.77</v>
      </c>
      <c r="K3343" t="s">
        <v>155</v>
      </c>
    </row>
    <row r="3344" spans="1:11">
      <c r="A3344" t="str">
        <f>"600615"</f>
        <v>600615</v>
      </c>
      <c r="B3344" t="s">
        <v>3694</v>
      </c>
      <c r="C3344">
        <v>26.72</v>
      </c>
      <c r="D3344">
        <v>12.26</v>
      </c>
      <c r="E3344">
        <v>7.35</v>
      </c>
      <c r="F3344">
        <v>2.26</v>
      </c>
      <c r="G3344">
        <v>2.25</v>
      </c>
      <c r="H3344">
        <v>14638</v>
      </c>
      <c r="I3344">
        <v>3.64</v>
      </c>
      <c r="J3344">
        <v>346.32</v>
      </c>
      <c r="K3344" t="s">
        <v>288</v>
      </c>
    </row>
    <row r="3345" spans="1:11">
      <c r="A3345" t="str">
        <f>"600616"</f>
        <v>600616</v>
      </c>
      <c r="B3345" t="s">
        <v>3695</v>
      </c>
      <c r="C3345">
        <v>36.66</v>
      </c>
      <c r="D3345">
        <v>21.42</v>
      </c>
      <c r="E3345">
        <v>19.22</v>
      </c>
      <c r="F3345">
        <v>6.69</v>
      </c>
      <c r="G3345">
        <v>6.69</v>
      </c>
      <c r="H3345">
        <v>56278</v>
      </c>
      <c r="I3345">
        <v>1.91</v>
      </c>
      <c r="J3345" t="s">
        <v>14</v>
      </c>
      <c r="K3345" t="s">
        <v>3268</v>
      </c>
    </row>
    <row r="3346" spans="1:11">
      <c r="A3346" t="str">
        <f>"600617"</f>
        <v>600617</v>
      </c>
      <c r="B3346" t="s">
        <v>3696</v>
      </c>
      <c r="C3346">
        <v>57.35</v>
      </c>
      <c r="D3346">
        <v>253.5</v>
      </c>
      <c r="E3346">
        <v>41.81</v>
      </c>
      <c r="F3346">
        <v>19.29</v>
      </c>
      <c r="G3346">
        <v>17.76</v>
      </c>
      <c r="H3346">
        <v>48375</v>
      </c>
      <c r="I3346">
        <v>1.84</v>
      </c>
      <c r="J3346" t="s">
        <v>14</v>
      </c>
      <c r="K3346" t="s">
        <v>136</v>
      </c>
    </row>
    <row r="3347" spans="1:11">
      <c r="A3347" t="str">
        <f>"600618"</f>
        <v>600618</v>
      </c>
      <c r="B3347" t="s">
        <v>3697</v>
      </c>
      <c r="C3347">
        <v>96.13</v>
      </c>
      <c r="D3347">
        <v>138.05</v>
      </c>
      <c r="E3347">
        <v>90.67</v>
      </c>
      <c r="F3347">
        <v>11.56</v>
      </c>
      <c r="G3347">
        <v>7.5</v>
      </c>
      <c r="H3347">
        <v>69659</v>
      </c>
      <c r="I3347">
        <v>1.64</v>
      </c>
      <c r="J3347">
        <v>18.15</v>
      </c>
      <c r="K3347" t="s">
        <v>177</v>
      </c>
    </row>
    <row r="3348" spans="1:11">
      <c r="A3348" t="str">
        <f>"600619"</f>
        <v>600619</v>
      </c>
      <c r="B3348" t="s">
        <v>3698</v>
      </c>
      <c r="C3348">
        <v>168.17</v>
      </c>
      <c r="D3348">
        <v>237.36</v>
      </c>
      <c r="E3348">
        <v>61.24</v>
      </c>
      <c r="F3348">
        <v>10.73</v>
      </c>
      <c r="G3348">
        <v>7.89</v>
      </c>
      <c r="H3348">
        <v>165515</v>
      </c>
      <c r="I3348">
        <v>3.74</v>
      </c>
      <c r="J3348">
        <v>310.03</v>
      </c>
      <c r="K3348" t="s">
        <v>134</v>
      </c>
    </row>
    <row r="3349" spans="1:11">
      <c r="A3349" t="str">
        <f>"600620"</f>
        <v>600620</v>
      </c>
      <c r="B3349" t="s">
        <v>3699</v>
      </c>
      <c r="C3349">
        <v>48.48</v>
      </c>
      <c r="D3349">
        <v>28.39</v>
      </c>
      <c r="E3349">
        <v>14.84</v>
      </c>
      <c r="F3349">
        <v>6.87</v>
      </c>
      <c r="G3349">
        <v>6.87</v>
      </c>
      <c r="H3349">
        <v>24879</v>
      </c>
      <c r="I3349">
        <v>3.27</v>
      </c>
      <c r="J3349">
        <v>137.34</v>
      </c>
      <c r="K3349" t="s">
        <v>43</v>
      </c>
    </row>
    <row r="3350" spans="1:11">
      <c r="A3350" t="str">
        <f>"600621"</f>
        <v>600621</v>
      </c>
      <c r="B3350" t="s">
        <v>3700</v>
      </c>
      <c r="C3350">
        <v>170.27</v>
      </c>
      <c r="D3350">
        <v>577.79</v>
      </c>
      <c r="E3350">
        <v>89.54</v>
      </c>
      <c r="F3350">
        <v>10.61</v>
      </c>
      <c r="G3350">
        <v>10.61</v>
      </c>
      <c r="H3350">
        <v>61611</v>
      </c>
      <c r="I3350">
        <v>1.9</v>
      </c>
      <c r="J3350">
        <v>25.26</v>
      </c>
      <c r="K3350" t="s">
        <v>120</v>
      </c>
    </row>
    <row r="3351" spans="1:11">
      <c r="A3351" t="str">
        <f>"600622"</f>
        <v>600622</v>
      </c>
      <c r="B3351" t="s">
        <v>3701</v>
      </c>
      <c r="C3351">
        <v>43.34</v>
      </c>
      <c r="D3351">
        <v>212.09</v>
      </c>
      <c r="E3351">
        <v>29.41</v>
      </c>
      <c r="F3351">
        <v>15</v>
      </c>
      <c r="G3351">
        <v>15</v>
      </c>
      <c r="H3351">
        <v>58168</v>
      </c>
      <c r="I3351">
        <v>1.47</v>
      </c>
      <c r="J3351" t="s">
        <v>14</v>
      </c>
      <c r="K3351" t="s">
        <v>15</v>
      </c>
    </row>
    <row r="3352" spans="1:11">
      <c r="A3352" t="str">
        <f>"600623"</f>
        <v>600623</v>
      </c>
      <c r="B3352" t="s">
        <v>3702</v>
      </c>
      <c r="C3352">
        <v>151.06</v>
      </c>
      <c r="D3352">
        <v>729.6</v>
      </c>
      <c r="E3352">
        <v>221.59</v>
      </c>
      <c r="F3352">
        <v>21.23</v>
      </c>
      <c r="G3352">
        <v>18.72</v>
      </c>
      <c r="H3352">
        <v>55241</v>
      </c>
      <c r="I3352">
        <v>0.77</v>
      </c>
      <c r="J3352">
        <v>32.53</v>
      </c>
      <c r="K3352" t="s">
        <v>479</v>
      </c>
    </row>
    <row r="3353" spans="1:11">
      <c r="A3353" t="str">
        <f>"600624"</f>
        <v>600624</v>
      </c>
      <c r="B3353" t="s">
        <v>3703</v>
      </c>
      <c r="C3353">
        <v>35.87</v>
      </c>
      <c r="D3353">
        <v>15.31</v>
      </c>
      <c r="E3353">
        <v>6.22</v>
      </c>
      <c r="F3353">
        <v>6.79</v>
      </c>
      <c r="G3353">
        <v>6.79</v>
      </c>
      <c r="H3353">
        <v>67464</v>
      </c>
      <c r="I3353">
        <v>5.76</v>
      </c>
      <c r="J3353" t="s">
        <v>14</v>
      </c>
      <c r="K3353" t="s">
        <v>109</v>
      </c>
    </row>
    <row r="3354" spans="1:11">
      <c r="A3354" t="str">
        <f>"600626"</f>
        <v>600626</v>
      </c>
      <c r="B3354" t="s">
        <v>3704</v>
      </c>
      <c r="C3354">
        <v>55.95</v>
      </c>
      <c r="D3354">
        <v>100.81</v>
      </c>
      <c r="E3354">
        <v>32.13</v>
      </c>
      <c r="F3354">
        <v>13.21</v>
      </c>
      <c r="G3354">
        <v>11.08</v>
      </c>
      <c r="H3354">
        <v>42448</v>
      </c>
      <c r="I3354">
        <v>2.08</v>
      </c>
      <c r="J3354" t="s">
        <v>14</v>
      </c>
      <c r="K3354" t="s">
        <v>356</v>
      </c>
    </row>
    <row r="3355" spans="1:11">
      <c r="A3355" t="str">
        <f>"600628"</f>
        <v>600628</v>
      </c>
      <c r="B3355" t="s">
        <v>3705</v>
      </c>
      <c r="C3355">
        <v>54.21</v>
      </c>
      <c r="D3355">
        <v>56.67</v>
      </c>
      <c r="E3355">
        <v>42.47</v>
      </c>
      <c r="F3355">
        <v>6.47</v>
      </c>
      <c r="G3355">
        <v>6.47</v>
      </c>
      <c r="H3355">
        <v>43175</v>
      </c>
      <c r="I3355">
        <v>1.28</v>
      </c>
      <c r="J3355">
        <v>63.05</v>
      </c>
      <c r="K3355" t="s">
        <v>146</v>
      </c>
    </row>
    <row r="3356" spans="1:11">
      <c r="A3356" t="str">
        <f>"600629"</f>
        <v>600629</v>
      </c>
      <c r="B3356" t="s">
        <v>3706</v>
      </c>
      <c r="C3356">
        <v>220.17</v>
      </c>
      <c r="D3356">
        <v>151.28</v>
      </c>
      <c r="E3356">
        <v>53.04</v>
      </c>
      <c r="F3356">
        <v>9.7</v>
      </c>
      <c r="G3356">
        <v>9.53</v>
      </c>
      <c r="H3356">
        <v>73978</v>
      </c>
      <c r="I3356">
        <v>4.23</v>
      </c>
      <c r="J3356">
        <v>106.58</v>
      </c>
      <c r="K3356" t="s">
        <v>428</v>
      </c>
    </row>
    <row r="3357" spans="1:11">
      <c r="A3357" t="str">
        <f>"600630"</f>
        <v>600630</v>
      </c>
      <c r="B3357" t="s">
        <v>3707</v>
      </c>
      <c r="C3357">
        <v>39.68</v>
      </c>
      <c r="D3357">
        <v>16.5</v>
      </c>
      <c r="E3357">
        <v>7.7</v>
      </c>
      <c r="F3357">
        <v>4.25</v>
      </c>
      <c r="G3357">
        <v>4.25</v>
      </c>
      <c r="H3357">
        <v>60000</v>
      </c>
      <c r="I3357">
        <v>5.15</v>
      </c>
      <c r="J3357">
        <v>101.24</v>
      </c>
      <c r="K3357" t="s">
        <v>622</v>
      </c>
    </row>
    <row r="3358" spans="1:11">
      <c r="A3358" t="str">
        <f>"600633"</f>
        <v>600633</v>
      </c>
      <c r="B3358" t="s">
        <v>3708</v>
      </c>
      <c r="C3358">
        <v>220.52</v>
      </c>
      <c r="D3358">
        <v>126.51</v>
      </c>
      <c r="E3358">
        <v>102.01</v>
      </c>
      <c r="F3358">
        <v>12.68</v>
      </c>
      <c r="G3358">
        <v>12.68</v>
      </c>
      <c r="H3358">
        <v>88782</v>
      </c>
      <c r="I3358">
        <v>2.16</v>
      </c>
      <c r="J3358">
        <v>30.93</v>
      </c>
      <c r="K3358" t="s">
        <v>950</v>
      </c>
    </row>
    <row r="3359" spans="1:11">
      <c r="A3359" t="str">
        <f>"600635"</f>
        <v>600635</v>
      </c>
      <c r="B3359" t="s">
        <v>3709</v>
      </c>
      <c r="C3359">
        <v>164.48</v>
      </c>
      <c r="D3359">
        <v>231.65</v>
      </c>
      <c r="E3359">
        <v>90.71</v>
      </c>
      <c r="F3359">
        <v>29.52</v>
      </c>
      <c r="G3359">
        <v>24.19</v>
      </c>
      <c r="H3359">
        <v>201775</v>
      </c>
      <c r="I3359">
        <v>2.21</v>
      </c>
      <c r="J3359">
        <v>28.97</v>
      </c>
      <c r="K3359" t="s">
        <v>136</v>
      </c>
    </row>
    <row r="3360" spans="1:11">
      <c r="A3360" t="str">
        <f>"600636"</f>
        <v>600636</v>
      </c>
      <c r="B3360" t="s">
        <v>3710</v>
      </c>
      <c r="C3360">
        <v>39.52</v>
      </c>
      <c r="D3360">
        <v>21.77</v>
      </c>
      <c r="E3360">
        <v>20.58</v>
      </c>
      <c r="F3360">
        <v>4.39</v>
      </c>
      <c r="G3360">
        <v>4.39</v>
      </c>
      <c r="H3360">
        <v>24444</v>
      </c>
      <c r="I3360">
        <v>1.92</v>
      </c>
      <c r="J3360">
        <v>86.15</v>
      </c>
      <c r="K3360" t="s">
        <v>198</v>
      </c>
    </row>
    <row r="3361" spans="1:11">
      <c r="A3361" t="str">
        <f>"600637"</f>
        <v>600637</v>
      </c>
      <c r="B3361" t="s">
        <v>3711</v>
      </c>
      <c r="C3361">
        <v>499.58</v>
      </c>
      <c r="D3361">
        <v>423.63</v>
      </c>
      <c r="E3361">
        <v>298.55</v>
      </c>
      <c r="F3361">
        <v>33.62</v>
      </c>
      <c r="G3361">
        <v>33.62</v>
      </c>
      <c r="H3361">
        <v>158221</v>
      </c>
      <c r="I3361">
        <v>1.67</v>
      </c>
      <c r="J3361">
        <v>69.18</v>
      </c>
      <c r="K3361" t="s">
        <v>113</v>
      </c>
    </row>
    <row r="3362" spans="1:11">
      <c r="A3362" t="str">
        <f>"600638"</f>
        <v>600638</v>
      </c>
      <c r="B3362" t="s">
        <v>3712</v>
      </c>
      <c r="C3362">
        <v>47.34</v>
      </c>
      <c r="D3362">
        <v>213.86</v>
      </c>
      <c r="E3362">
        <v>46.09</v>
      </c>
      <c r="F3362">
        <v>6.73</v>
      </c>
      <c r="G3362">
        <v>6.73</v>
      </c>
      <c r="H3362">
        <v>33303</v>
      </c>
      <c r="I3362">
        <v>1.03</v>
      </c>
      <c r="J3362">
        <v>25.94</v>
      </c>
      <c r="K3362" t="s">
        <v>15</v>
      </c>
    </row>
    <row r="3363" spans="1:11">
      <c r="A3363" t="str">
        <f>"600639"</f>
        <v>600639</v>
      </c>
      <c r="B3363" t="s">
        <v>3713</v>
      </c>
      <c r="C3363">
        <v>88.25</v>
      </c>
      <c r="D3363">
        <v>500.88</v>
      </c>
      <c r="E3363">
        <v>144.84</v>
      </c>
      <c r="F3363">
        <v>11.22</v>
      </c>
      <c r="G3363">
        <v>8.5</v>
      </c>
      <c r="H3363">
        <v>60516</v>
      </c>
      <c r="I3363">
        <v>0.8</v>
      </c>
      <c r="J3363">
        <v>25.82</v>
      </c>
      <c r="K3363" t="s">
        <v>3274</v>
      </c>
    </row>
    <row r="3364" spans="1:11">
      <c r="A3364" t="str">
        <f>"600640"</f>
        <v>600640</v>
      </c>
      <c r="B3364" t="s">
        <v>3714</v>
      </c>
      <c r="C3364">
        <v>118.72</v>
      </c>
      <c r="D3364">
        <v>54.07</v>
      </c>
      <c r="E3364">
        <v>39.78</v>
      </c>
      <c r="F3364">
        <v>7.96</v>
      </c>
      <c r="G3364">
        <v>7.96</v>
      </c>
      <c r="H3364">
        <v>37033</v>
      </c>
      <c r="I3364">
        <v>2.98</v>
      </c>
      <c r="J3364">
        <v>454.63</v>
      </c>
      <c r="K3364" t="s">
        <v>2197</v>
      </c>
    </row>
    <row r="3365" spans="1:11">
      <c r="A3365" t="str">
        <f>"600641"</f>
        <v>600641</v>
      </c>
      <c r="B3365" t="s">
        <v>3715</v>
      </c>
      <c r="C3365">
        <v>175.42</v>
      </c>
      <c r="D3365">
        <v>120.46</v>
      </c>
      <c r="E3365">
        <v>81.51</v>
      </c>
      <c r="F3365">
        <v>9.31</v>
      </c>
      <c r="G3365">
        <v>9.31</v>
      </c>
      <c r="H3365">
        <v>52397</v>
      </c>
      <c r="I3365">
        <v>2.15</v>
      </c>
      <c r="J3365">
        <v>704.81</v>
      </c>
      <c r="K3365" t="s">
        <v>884</v>
      </c>
    </row>
    <row r="3366" spans="1:11">
      <c r="A3366" t="str">
        <f>"600642"</f>
        <v>600642</v>
      </c>
      <c r="B3366" t="s">
        <v>3716</v>
      </c>
      <c r="C3366">
        <v>390.04</v>
      </c>
      <c r="D3366">
        <v>1091.64</v>
      </c>
      <c r="E3366">
        <v>411.29</v>
      </c>
      <c r="F3366">
        <v>48.94</v>
      </c>
      <c r="G3366">
        <v>48.94</v>
      </c>
      <c r="H3366">
        <v>88968</v>
      </c>
      <c r="I3366">
        <v>1.06</v>
      </c>
      <c r="J3366">
        <v>8.83</v>
      </c>
      <c r="K3366" t="s">
        <v>46</v>
      </c>
    </row>
    <row r="3367" spans="1:11">
      <c r="A3367" t="str">
        <f>"600643"</f>
        <v>600643</v>
      </c>
      <c r="B3367" t="s">
        <v>3717</v>
      </c>
      <c r="C3367">
        <v>89.7</v>
      </c>
      <c r="D3367">
        <v>239.49</v>
      </c>
      <c r="E3367">
        <v>119.61</v>
      </c>
      <c r="F3367">
        <v>15.93</v>
      </c>
      <c r="G3367">
        <v>15.9</v>
      </c>
      <c r="H3367">
        <v>68625</v>
      </c>
      <c r="I3367">
        <v>0.75</v>
      </c>
      <c r="J3367">
        <v>35.89</v>
      </c>
      <c r="K3367" t="s">
        <v>292</v>
      </c>
    </row>
    <row r="3368" spans="1:11">
      <c r="A3368" t="str">
        <f>"600644"</f>
        <v>600644</v>
      </c>
      <c r="B3368" t="s">
        <v>3718</v>
      </c>
      <c r="C3368">
        <v>65.12</v>
      </c>
      <c r="D3368">
        <v>46.62</v>
      </c>
      <c r="E3368">
        <v>21.14</v>
      </c>
      <c r="F3368">
        <v>5.78</v>
      </c>
      <c r="G3368">
        <v>5.78</v>
      </c>
      <c r="H3368">
        <v>81115</v>
      </c>
      <c r="I3368">
        <v>3.08</v>
      </c>
      <c r="J3368">
        <v>67.06</v>
      </c>
      <c r="K3368" t="s">
        <v>278</v>
      </c>
    </row>
    <row r="3369" spans="1:11">
      <c r="A3369" t="str">
        <f>"600645"</f>
        <v>600645</v>
      </c>
      <c r="B3369" t="s">
        <v>3719</v>
      </c>
      <c r="C3369">
        <v>128.73</v>
      </c>
      <c r="D3369">
        <v>53.17</v>
      </c>
      <c r="E3369">
        <v>37.11</v>
      </c>
      <c r="F3369">
        <v>4.68</v>
      </c>
      <c r="G3369">
        <v>4.68</v>
      </c>
      <c r="H3369">
        <v>34694</v>
      </c>
      <c r="I3369">
        <v>3.47</v>
      </c>
      <c r="J3369">
        <v>89.51</v>
      </c>
      <c r="K3369" t="s">
        <v>775</v>
      </c>
    </row>
    <row r="3370" spans="1:11">
      <c r="A3370" t="str">
        <f>"600648"</f>
        <v>600648</v>
      </c>
      <c r="B3370" t="s">
        <v>3720</v>
      </c>
      <c r="C3370">
        <v>118.33</v>
      </c>
      <c r="D3370">
        <v>455.3</v>
      </c>
      <c r="E3370">
        <v>151.69</v>
      </c>
      <c r="F3370">
        <v>13.6</v>
      </c>
      <c r="G3370">
        <v>11.38</v>
      </c>
      <c r="H3370">
        <v>48547</v>
      </c>
      <c r="I3370">
        <v>0.93</v>
      </c>
      <c r="J3370">
        <v>64.13</v>
      </c>
      <c r="K3370" t="s">
        <v>3274</v>
      </c>
    </row>
    <row r="3371" spans="1:11">
      <c r="A3371" t="str">
        <f>"600649"</f>
        <v>600649</v>
      </c>
      <c r="B3371" t="s">
        <v>3721</v>
      </c>
      <c r="C3371">
        <v>114.21</v>
      </c>
      <c r="D3371">
        <v>858.04</v>
      </c>
      <c r="E3371">
        <v>210.81</v>
      </c>
      <c r="F3371">
        <v>25.05</v>
      </c>
      <c r="G3371">
        <v>25.05</v>
      </c>
      <c r="H3371">
        <v>64722</v>
      </c>
      <c r="I3371">
        <v>0.54</v>
      </c>
      <c r="J3371">
        <v>29.89</v>
      </c>
      <c r="K3371" t="s">
        <v>15</v>
      </c>
    </row>
    <row r="3372" spans="1:11">
      <c r="A3372" t="str">
        <f>"600650"</f>
        <v>600650</v>
      </c>
      <c r="B3372" t="s">
        <v>3722</v>
      </c>
      <c r="C3372">
        <v>64.09</v>
      </c>
      <c r="D3372">
        <v>55.92</v>
      </c>
      <c r="E3372">
        <v>42.81</v>
      </c>
      <c r="F3372">
        <v>5.52</v>
      </c>
      <c r="G3372">
        <v>3.91</v>
      </c>
      <c r="H3372">
        <v>62941</v>
      </c>
      <c r="I3372">
        <v>2.11</v>
      </c>
      <c r="J3372">
        <v>74.44</v>
      </c>
      <c r="K3372" t="s">
        <v>1145</v>
      </c>
    </row>
    <row r="3373" spans="1:11">
      <c r="A3373" t="str">
        <f>"600651"</f>
        <v>600651</v>
      </c>
      <c r="B3373" t="s">
        <v>3723</v>
      </c>
      <c r="C3373">
        <v>221.12</v>
      </c>
      <c r="D3373">
        <v>41.8</v>
      </c>
      <c r="E3373">
        <v>24.93</v>
      </c>
      <c r="F3373">
        <v>25.07</v>
      </c>
      <c r="G3373">
        <v>25.07</v>
      </c>
      <c r="H3373">
        <v>78279</v>
      </c>
      <c r="I3373">
        <v>8.87</v>
      </c>
      <c r="J3373">
        <v>467.28</v>
      </c>
      <c r="K3373" t="s">
        <v>216</v>
      </c>
    </row>
    <row r="3374" spans="1:11">
      <c r="A3374" t="str">
        <f>"600653"</f>
        <v>600653</v>
      </c>
      <c r="B3374" t="s">
        <v>3724</v>
      </c>
      <c r="C3374">
        <v>38.15</v>
      </c>
      <c r="D3374">
        <v>28.79</v>
      </c>
      <c r="E3374">
        <v>7.31</v>
      </c>
      <c r="F3374">
        <v>19.46</v>
      </c>
      <c r="G3374">
        <v>19.46</v>
      </c>
      <c r="H3374">
        <v>136152</v>
      </c>
      <c r="I3374">
        <v>5.21</v>
      </c>
      <c r="J3374" t="s">
        <v>14</v>
      </c>
      <c r="K3374" t="s">
        <v>3480</v>
      </c>
    </row>
    <row r="3375" spans="1:11">
      <c r="A3375" t="str">
        <f>"600654"</f>
        <v>600654</v>
      </c>
      <c r="B3375" t="s">
        <v>3725</v>
      </c>
      <c r="C3375">
        <v>94.09</v>
      </c>
      <c r="D3375">
        <v>36.57</v>
      </c>
      <c r="E3375">
        <v>17.27</v>
      </c>
      <c r="F3375">
        <v>28.78</v>
      </c>
      <c r="G3375">
        <v>23.17</v>
      </c>
      <c r="H3375">
        <v>116889</v>
      </c>
      <c r="I3375">
        <v>6.77</v>
      </c>
      <c r="J3375">
        <v>44.35</v>
      </c>
      <c r="K3375" t="s">
        <v>2514</v>
      </c>
    </row>
    <row r="3376" spans="1:11">
      <c r="A3376" t="str">
        <f>"600655"</f>
        <v>600655</v>
      </c>
      <c r="B3376" t="s">
        <v>3726</v>
      </c>
      <c r="C3376">
        <v>206.16</v>
      </c>
      <c r="D3376">
        <v>1198.17</v>
      </c>
      <c r="E3376">
        <v>344.78</v>
      </c>
      <c r="F3376">
        <v>38.92</v>
      </c>
      <c r="G3376">
        <v>38.9</v>
      </c>
      <c r="H3376">
        <v>76573</v>
      </c>
      <c r="I3376">
        <v>0.6</v>
      </c>
      <c r="J3376" t="s">
        <v>14</v>
      </c>
      <c r="K3376" t="s">
        <v>20</v>
      </c>
    </row>
    <row r="3377" spans="1:11">
      <c r="A3377" t="str">
        <f>"600657"</f>
        <v>600657</v>
      </c>
      <c r="B3377" t="s">
        <v>3727</v>
      </c>
      <c r="C3377">
        <v>98.1</v>
      </c>
      <c r="D3377">
        <v>752.42</v>
      </c>
      <c r="E3377">
        <v>185.3</v>
      </c>
      <c r="F3377">
        <v>28.52</v>
      </c>
      <c r="G3377">
        <v>28.52</v>
      </c>
      <c r="H3377">
        <v>38525</v>
      </c>
      <c r="I3377">
        <v>0.53</v>
      </c>
      <c r="J3377" t="s">
        <v>14</v>
      </c>
      <c r="K3377" t="s">
        <v>15</v>
      </c>
    </row>
    <row r="3378" spans="1:11">
      <c r="A3378" t="str">
        <f>"600658"</f>
        <v>600658</v>
      </c>
      <c r="B3378" t="s">
        <v>3728</v>
      </c>
      <c r="C3378">
        <v>67.45</v>
      </c>
      <c r="D3378">
        <v>168.02</v>
      </c>
      <c r="E3378">
        <v>55.44</v>
      </c>
      <c r="F3378">
        <v>11.19</v>
      </c>
      <c r="G3378">
        <v>11.19</v>
      </c>
      <c r="H3378">
        <v>42025</v>
      </c>
      <c r="I3378">
        <v>1.22</v>
      </c>
      <c r="J3378" t="s">
        <v>14</v>
      </c>
      <c r="K3378" t="s">
        <v>3274</v>
      </c>
    </row>
    <row r="3379" spans="1:11">
      <c r="A3379" t="str">
        <f>"600660"</f>
        <v>600660</v>
      </c>
      <c r="B3379" t="s">
        <v>3729</v>
      </c>
      <c r="C3379">
        <v>1212.81</v>
      </c>
      <c r="D3379">
        <v>706.42</v>
      </c>
      <c r="E3379">
        <v>354.74</v>
      </c>
      <c r="F3379">
        <v>26.1</v>
      </c>
      <c r="G3379">
        <v>20.03</v>
      </c>
      <c r="H3379">
        <v>85733</v>
      </c>
      <c r="I3379">
        <v>4.45</v>
      </c>
      <c r="J3379">
        <v>16.78</v>
      </c>
      <c r="K3379" t="s">
        <v>356</v>
      </c>
    </row>
    <row r="3380" spans="1:11">
      <c r="A3380" t="str">
        <f>"600661"</f>
        <v>600661</v>
      </c>
      <c r="B3380" t="s">
        <v>3730</v>
      </c>
      <c r="C3380">
        <v>31.89</v>
      </c>
      <c r="D3380">
        <v>15.51</v>
      </c>
      <c r="E3380">
        <v>1.35</v>
      </c>
      <c r="F3380">
        <v>2.87</v>
      </c>
      <c r="G3380">
        <v>2.87</v>
      </c>
      <c r="H3380">
        <v>24039</v>
      </c>
      <c r="I3380">
        <v>23.68</v>
      </c>
      <c r="J3380">
        <v>52.08</v>
      </c>
      <c r="K3380" t="s">
        <v>198</v>
      </c>
    </row>
    <row r="3381" spans="1:11">
      <c r="A3381" t="str">
        <f>"600662"</f>
        <v>600662</v>
      </c>
      <c r="B3381" t="s">
        <v>3731</v>
      </c>
      <c r="C3381">
        <v>142.28</v>
      </c>
      <c r="D3381">
        <v>152.71</v>
      </c>
      <c r="E3381">
        <v>50.44</v>
      </c>
      <c r="F3381">
        <v>22.83</v>
      </c>
      <c r="G3381">
        <v>22.76</v>
      </c>
      <c r="H3381">
        <v>48239</v>
      </c>
      <c r="I3381">
        <v>2.83</v>
      </c>
      <c r="J3381">
        <v>20.54</v>
      </c>
      <c r="K3381" t="s">
        <v>2442</v>
      </c>
    </row>
    <row r="3382" spans="1:11">
      <c r="A3382" t="str">
        <f>"600663"</f>
        <v>600663</v>
      </c>
      <c r="B3382" t="s">
        <v>3732</v>
      </c>
      <c r="C3382">
        <v>255.93</v>
      </c>
      <c r="D3382">
        <v>1673.77</v>
      </c>
      <c r="E3382">
        <v>253.17</v>
      </c>
      <c r="F3382">
        <v>50.35</v>
      </c>
      <c r="G3382">
        <v>31.56</v>
      </c>
      <c r="H3382">
        <v>100319</v>
      </c>
      <c r="I3382">
        <v>1.61</v>
      </c>
      <c r="J3382">
        <v>28.85</v>
      </c>
      <c r="K3382" t="s">
        <v>53</v>
      </c>
    </row>
    <row r="3383" spans="1:11">
      <c r="A3383" t="str">
        <f>"600664"</f>
        <v>600664</v>
      </c>
      <c r="B3383" t="s">
        <v>3733</v>
      </c>
      <c r="C3383">
        <v>89.16</v>
      </c>
      <c r="D3383">
        <v>140.81</v>
      </c>
      <c r="E3383">
        <v>56.58</v>
      </c>
      <c r="F3383">
        <v>25.19</v>
      </c>
      <c r="G3383">
        <v>25.19</v>
      </c>
      <c r="H3383">
        <v>98127</v>
      </c>
      <c r="I3383">
        <v>1.58</v>
      </c>
      <c r="J3383">
        <v>20.35</v>
      </c>
      <c r="K3383" t="s">
        <v>109</v>
      </c>
    </row>
    <row r="3384" spans="1:11">
      <c r="A3384" t="str">
        <f>"600665"</f>
        <v>600665</v>
      </c>
      <c r="B3384" t="s">
        <v>3734</v>
      </c>
      <c r="C3384">
        <v>28.69</v>
      </c>
      <c r="D3384">
        <v>253.46</v>
      </c>
      <c r="E3384">
        <v>26.56</v>
      </c>
      <c r="F3384">
        <v>8.64</v>
      </c>
      <c r="G3384">
        <v>8.64</v>
      </c>
      <c r="H3384">
        <v>28971</v>
      </c>
      <c r="I3384">
        <v>1.08</v>
      </c>
      <c r="J3384" t="s">
        <v>14</v>
      </c>
      <c r="K3384" t="s">
        <v>15</v>
      </c>
    </row>
    <row r="3385" spans="1:11">
      <c r="A3385" t="str">
        <f>"600666"</f>
        <v>600666</v>
      </c>
      <c r="B3385" t="s">
        <v>3735</v>
      </c>
      <c r="C3385">
        <v>93.4</v>
      </c>
      <c r="D3385">
        <v>16.05</v>
      </c>
      <c r="E3385">
        <v>11.3</v>
      </c>
      <c r="F3385">
        <v>27.51</v>
      </c>
      <c r="G3385">
        <v>24.2</v>
      </c>
      <c r="H3385">
        <v>107124</v>
      </c>
      <c r="I3385">
        <v>9.44</v>
      </c>
      <c r="J3385">
        <v>27.39</v>
      </c>
      <c r="K3385" t="s">
        <v>884</v>
      </c>
    </row>
    <row r="3386" spans="1:11">
      <c r="A3386" t="str">
        <f>"600667"</f>
        <v>600667</v>
      </c>
      <c r="B3386" t="s">
        <v>3736</v>
      </c>
      <c r="C3386">
        <v>173.18</v>
      </c>
      <c r="D3386">
        <v>334.42</v>
      </c>
      <c r="E3386">
        <v>86.57</v>
      </c>
      <c r="F3386">
        <v>20.92</v>
      </c>
      <c r="G3386">
        <v>20.92</v>
      </c>
      <c r="H3386">
        <v>139868</v>
      </c>
      <c r="I3386">
        <v>2</v>
      </c>
      <c r="J3386">
        <v>29.4</v>
      </c>
      <c r="K3386" t="s">
        <v>838</v>
      </c>
    </row>
    <row r="3387" spans="1:11">
      <c r="A3387" t="str">
        <f>"600668"</f>
        <v>600668</v>
      </c>
      <c r="B3387" t="s">
        <v>3737</v>
      </c>
      <c r="C3387">
        <v>46.82</v>
      </c>
      <c r="D3387">
        <v>81.47</v>
      </c>
      <c r="E3387">
        <v>57.74</v>
      </c>
      <c r="F3387">
        <v>4.13</v>
      </c>
      <c r="G3387">
        <v>4.13</v>
      </c>
      <c r="H3387">
        <v>38392</v>
      </c>
      <c r="I3387">
        <v>0.81</v>
      </c>
      <c r="J3387">
        <v>5.41</v>
      </c>
      <c r="K3387" t="s">
        <v>129</v>
      </c>
    </row>
    <row r="3388" spans="1:11">
      <c r="A3388" t="str">
        <f>"600671"</f>
        <v>600671</v>
      </c>
      <c r="B3388" t="s">
        <v>3738</v>
      </c>
      <c r="C3388">
        <v>21.37</v>
      </c>
      <c r="D3388">
        <v>4.3</v>
      </c>
      <c r="E3388">
        <v>0.67</v>
      </c>
      <c r="F3388">
        <v>1.22</v>
      </c>
      <c r="G3388">
        <v>1.22</v>
      </c>
      <c r="H3388">
        <v>9693</v>
      </c>
      <c r="I3388">
        <v>32.1</v>
      </c>
      <c r="J3388">
        <v>112.88</v>
      </c>
      <c r="K3388" t="s">
        <v>155</v>
      </c>
    </row>
    <row r="3389" spans="1:11">
      <c r="A3389" t="str">
        <f>"600673"</f>
        <v>600673</v>
      </c>
      <c r="B3389" t="s">
        <v>3739</v>
      </c>
      <c r="C3389">
        <v>964.1</v>
      </c>
      <c r="D3389">
        <v>291.97</v>
      </c>
      <c r="E3389">
        <v>97.37</v>
      </c>
      <c r="F3389">
        <v>30.1</v>
      </c>
      <c r="G3389">
        <v>30.02</v>
      </c>
      <c r="H3389">
        <v>85446</v>
      </c>
      <c r="I3389">
        <v>9.93</v>
      </c>
      <c r="J3389">
        <v>80.07</v>
      </c>
      <c r="K3389" t="s">
        <v>43</v>
      </c>
    </row>
    <row r="3390" spans="1:11">
      <c r="A3390" t="str">
        <f>"600674"</f>
        <v>600674</v>
      </c>
      <c r="B3390" t="s">
        <v>3740</v>
      </c>
      <c r="C3390">
        <v>679.03</v>
      </c>
      <c r="D3390">
        <v>688.06</v>
      </c>
      <c r="E3390">
        <v>443.85</v>
      </c>
      <c r="F3390">
        <v>48.75</v>
      </c>
      <c r="G3390">
        <v>48.75</v>
      </c>
      <c r="H3390">
        <v>77605</v>
      </c>
      <c r="I3390">
        <v>1.53</v>
      </c>
      <c r="J3390">
        <v>12.06</v>
      </c>
      <c r="K3390" t="s">
        <v>278</v>
      </c>
    </row>
    <row r="3391" spans="1:11">
      <c r="A3391" t="str">
        <f>"600675"</f>
        <v>600675</v>
      </c>
      <c r="B3391" t="s">
        <v>3741</v>
      </c>
      <c r="C3391">
        <v>168.08</v>
      </c>
      <c r="D3391">
        <v>517.85</v>
      </c>
      <c r="E3391">
        <v>146.79</v>
      </c>
      <c r="F3391">
        <v>60.46</v>
      </c>
      <c r="G3391">
        <v>60.46</v>
      </c>
      <c r="H3391">
        <v>59390</v>
      </c>
      <c r="I3391">
        <v>1.14</v>
      </c>
      <c r="J3391">
        <v>35.84</v>
      </c>
      <c r="K3391" t="s">
        <v>15</v>
      </c>
    </row>
    <row r="3392" spans="1:11">
      <c r="A3392" t="str">
        <f>"600676"</f>
        <v>600676</v>
      </c>
      <c r="B3392" t="s">
        <v>3742</v>
      </c>
      <c r="C3392">
        <v>92.87</v>
      </c>
      <c r="D3392">
        <v>71.13</v>
      </c>
      <c r="E3392">
        <v>51.31</v>
      </c>
      <c r="F3392">
        <v>10.28</v>
      </c>
      <c r="G3392">
        <v>10.28</v>
      </c>
      <c r="H3392">
        <v>32793</v>
      </c>
      <c r="I3392">
        <v>1.81</v>
      </c>
      <c r="J3392" t="s">
        <v>14</v>
      </c>
      <c r="K3392" t="s">
        <v>43</v>
      </c>
    </row>
    <row r="3393" spans="1:11">
      <c r="A3393" t="str">
        <f>"600678"</f>
        <v>600678</v>
      </c>
      <c r="B3393" t="s">
        <v>3743</v>
      </c>
      <c r="C3393">
        <v>45.51</v>
      </c>
      <c r="D3393">
        <v>15.02</v>
      </c>
      <c r="E3393">
        <v>2.82</v>
      </c>
      <c r="F3393">
        <v>3.49</v>
      </c>
      <c r="G3393">
        <v>3.49</v>
      </c>
      <c r="H3393">
        <v>68247</v>
      </c>
      <c r="I3393">
        <v>16.14</v>
      </c>
      <c r="J3393">
        <v>106.47</v>
      </c>
      <c r="K3393" t="s">
        <v>129</v>
      </c>
    </row>
    <row r="3394" spans="1:11">
      <c r="A3394" t="str">
        <f>"600679"</f>
        <v>600679</v>
      </c>
      <c r="B3394" t="s">
        <v>3744</v>
      </c>
      <c r="C3394">
        <v>45.54</v>
      </c>
      <c r="D3394">
        <v>35.91</v>
      </c>
      <c r="E3394">
        <v>21.4</v>
      </c>
      <c r="F3394">
        <v>5.15</v>
      </c>
      <c r="G3394">
        <v>3.44</v>
      </c>
      <c r="H3394">
        <v>45011</v>
      </c>
      <c r="I3394">
        <v>3.19</v>
      </c>
      <c r="J3394">
        <v>44.06</v>
      </c>
      <c r="K3394" t="s">
        <v>870</v>
      </c>
    </row>
    <row r="3395" spans="1:11">
      <c r="A3395" t="str">
        <f>"600681"</f>
        <v>600681</v>
      </c>
      <c r="B3395" t="s">
        <v>3745</v>
      </c>
      <c r="C3395">
        <v>55.87</v>
      </c>
      <c r="D3395">
        <v>78.65</v>
      </c>
      <c r="E3395">
        <v>35.12</v>
      </c>
      <c r="F3395">
        <v>13.41</v>
      </c>
      <c r="G3395">
        <v>13.4</v>
      </c>
      <c r="H3395">
        <v>29620</v>
      </c>
      <c r="I3395">
        <v>1.59</v>
      </c>
      <c r="J3395">
        <v>22.17</v>
      </c>
      <c r="K3395" t="s">
        <v>136</v>
      </c>
    </row>
    <row r="3396" spans="1:11">
      <c r="A3396" t="str">
        <f>"600682"</f>
        <v>600682</v>
      </c>
      <c r="B3396" t="s">
        <v>3746</v>
      </c>
      <c r="C3396">
        <v>105</v>
      </c>
      <c r="D3396">
        <v>263.8</v>
      </c>
      <c r="E3396">
        <v>177</v>
      </c>
      <c r="F3396">
        <v>13.45</v>
      </c>
      <c r="G3396">
        <v>11.64</v>
      </c>
      <c r="H3396">
        <v>45715</v>
      </c>
      <c r="I3396">
        <v>0.69</v>
      </c>
      <c r="J3396">
        <v>42.84</v>
      </c>
      <c r="K3396" t="s">
        <v>210</v>
      </c>
    </row>
    <row r="3397" spans="1:11">
      <c r="A3397" t="str">
        <f>"600683"</f>
        <v>600683</v>
      </c>
      <c r="B3397" t="s">
        <v>3747</v>
      </c>
      <c r="C3397">
        <v>32.22</v>
      </c>
      <c r="D3397">
        <v>603.72</v>
      </c>
      <c r="E3397">
        <v>45.81</v>
      </c>
      <c r="F3397">
        <v>7.41</v>
      </c>
      <c r="G3397">
        <v>7.41</v>
      </c>
      <c r="H3397">
        <v>25097</v>
      </c>
      <c r="I3397">
        <v>-24.86</v>
      </c>
      <c r="J3397" t="s">
        <v>14</v>
      </c>
      <c r="K3397" t="s">
        <v>15</v>
      </c>
    </row>
    <row r="3398" spans="1:11">
      <c r="A3398" t="str">
        <f>"600684"</f>
        <v>600684</v>
      </c>
      <c r="B3398" t="s">
        <v>3748</v>
      </c>
      <c r="C3398">
        <v>39.26</v>
      </c>
      <c r="D3398">
        <v>18.53</v>
      </c>
      <c r="E3398">
        <v>4.97</v>
      </c>
      <c r="F3398">
        <v>11.06</v>
      </c>
      <c r="G3398">
        <v>8.53</v>
      </c>
      <c r="H3398">
        <v>35902</v>
      </c>
      <c r="I3398">
        <v>7.9</v>
      </c>
      <c r="J3398">
        <v>103.99</v>
      </c>
      <c r="K3398" t="s">
        <v>15</v>
      </c>
    </row>
    <row r="3399" spans="1:11">
      <c r="A3399" t="str">
        <f>"600685"</f>
        <v>600685</v>
      </c>
      <c r="B3399" t="s">
        <v>3749</v>
      </c>
      <c r="C3399">
        <v>258.18</v>
      </c>
      <c r="D3399">
        <v>558.81</v>
      </c>
      <c r="E3399">
        <v>179.67</v>
      </c>
      <c r="F3399">
        <v>14.14</v>
      </c>
      <c r="G3399">
        <v>8.21</v>
      </c>
      <c r="H3399">
        <v>75893</v>
      </c>
      <c r="I3399">
        <v>2.47</v>
      </c>
      <c r="J3399">
        <v>50.86</v>
      </c>
      <c r="K3399" t="s">
        <v>1816</v>
      </c>
    </row>
    <row r="3400" spans="1:11">
      <c r="A3400" t="str">
        <f>"600686"</f>
        <v>600686</v>
      </c>
      <c r="B3400" t="s">
        <v>3750</v>
      </c>
      <c r="C3400">
        <v>130.5</v>
      </c>
      <c r="D3400">
        <v>276.43</v>
      </c>
      <c r="E3400">
        <v>32.69</v>
      </c>
      <c r="F3400">
        <v>7.17</v>
      </c>
      <c r="G3400">
        <v>7.17</v>
      </c>
      <c r="H3400">
        <v>61250</v>
      </c>
      <c r="I3400">
        <v>3.99</v>
      </c>
      <c r="J3400">
        <v>39.58</v>
      </c>
      <c r="K3400" t="s">
        <v>501</v>
      </c>
    </row>
    <row r="3401" spans="1:11">
      <c r="A3401" t="str">
        <f>"600688"</f>
        <v>600688</v>
      </c>
      <c r="B3401" t="s">
        <v>3751</v>
      </c>
      <c r="C3401">
        <v>214</v>
      </c>
      <c r="D3401">
        <v>418.6</v>
      </c>
      <c r="E3401">
        <v>242.68</v>
      </c>
      <c r="F3401">
        <v>105.43</v>
      </c>
      <c r="G3401">
        <v>73.29</v>
      </c>
      <c r="H3401">
        <v>91801</v>
      </c>
      <c r="I3401">
        <v>1.27</v>
      </c>
      <c r="J3401" t="s">
        <v>14</v>
      </c>
      <c r="K3401" t="s">
        <v>77</v>
      </c>
    </row>
    <row r="3402" spans="1:11">
      <c r="A3402" t="str">
        <f>"600689"</f>
        <v>600689</v>
      </c>
      <c r="B3402" t="s">
        <v>3752</v>
      </c>
      <c r="C3402">
        <v>20.84</v>
      </c>
      <c r="D3402">
        <v>10.51</v>
      </c>
      <c r="E3402">
        <v>4.74</v>
      </c>
      <c r="F3402">
        <v>2.01</v>
      </c>
      <c r="G3402">
        <v>1.52</v>
      </c>
      <c r="H3402">
        <v>23364</v>
      </c>
      <c r="I3402">
        <v>5.81</v>
      </c>
      <c r="J3402">
        <v>135.33</v>
      </c>
      <c r="K3402" t="s">
        <v>43</v>
      </c>
    </row>
    <row r="3403" spans="1:11">
      <c r="A3403" t="str">
        <f>"600690"</f>
        <v>600690</v>
      </c>
      <c r="B3403" t="s">
        <v>3753</v>
      </c>
      <c r="C3403">
        <v>1621.41</v>
      </c>
      <c r="D3403">
        <v>2915.16</v>
      </c>
      <c r="E3403">
        <v>1195.76</v>
      </c>
      <c r="F3403">
        <v>93.78</v>
      </c>
      <c r="G3403">
        <v>62.53</v>
      </c>
      <c r="H3403">
        <v>190587</v>
      </c>
      <c r="I3403">
        <v>2.03</v>
      </c>
      <c r="J3403">
        <v>10.5</v>
      </c>
      <c r="K3403" t="s">
        <v>190</v>
      </c>
    </row>
    <row r="3404" spans="1:11">
      <c r="A3404" t="str">
        <f>"600691"</f>
        <v>600691</v>
      </c>
      <c r="B3404" t="s">
        <v>3754</v>
      </c>
      <c r="C3404">
        <v>71.74</v>
      </c>
      <c r="D3404">
        <v>162.81</v>
      </c>
      <c r="E3404">
        <v>36.17</v>
      </c>
      <c r="F3404">
        <v>23.76</v>
      </c>
      <c r="G3404">
        <v>23.76</v>
      </c>
      <c r="H3404">
        <v>55234</v>
      </c>
      <c r="I3404">
        <v>1.98</v>
      </c>
      <c r="J3404" t="s">
        <v>14</v>
      </c>
      <c r="K3404" t="s">
        <v>479</v>
      </c>
    </row>
    <row r="3405" spans="1:11">
      <c r="A3405" t="str">
        <f>"600692"</f>
        <v>600692</v>
      </c>
      <c r="B3405" t="s">
        <v>3755</v>
      </c>
      <c r="C3405">
        <v>18.11</v>
      </c>
      <c r="D3405">
        <v>57.4</v>
      </c>
      <c r="E3405">
        <v>9.25</v>
      </c>
      <c r="F3405">
        <v>3.52</v>
      </c>
      <c r="G3405">
        <v>2.55</v>
      </c>
      <c r="H3405">
        <v>21739</v>
      </c>
      <c r="I3405">
        <v>2.7</v>
      </c>
      <c r="J3405" t="s">
        <v>14</v>
      </c>
      <c r="K3405" t="s">
        <v>15</v>
      </c>
    </row>
    <row r="3406" spans="1:11">
      <c r="A3406" t="str">
        <f>"600693"</f>
        <v>600693</v>
      </c>
      <c r="B3406" t="s">
        <v>3756</v>
      </c>
      <c r="C3406">
        <v>147.9</v>
      </c>
      <c r="D3406">
        <v>147.44</v>
      </c>
      <c r="E3406">
        <v>35.34</v>
      </c>
      <c r="F3406">
        <v>8.7</v>
      </c>
      <c r="G3406">
        <v>8.69</v>
      </c>
      <c r="H3406">
        <v>52930</v>
      </c>
      <c r="I3406">
        <v>4.19</v>
      </c>
      <c r="J3406">
        <v>126.11</v>
      </c>
      <c r="K3406" t="s">
        <v>146</v>
      </c>
    </row>
    <row r="3407" spans="1:11">
      <c r="A3407" t="str">
        <f>"600694"</f>
        <v>600694</v>
      </c>
      <c r="B3407" t="s">
        <v>3757</v>
      </c>
      <c r="C3407">
        <v>68.11</v>
      </c>
      <c r="D3407">
        <v>174.46</v>
      </c>
      <c r="E3407">
        <v>88.29</v>
      </c>
      <c r="F3407">
        <v>3.44</v>
      </c>
      <c r="G3407">
        <v>3.44</v>
      </c>
      <c r="H3407">
        <v>27968</v>
      </c>
      <c r="I3407">
        <v>0.78</v>
      </c>
      <c r="J3407">
        <v>11.48</v>
      </c>
      <c r="K3407" t="s">
        <v>148</v>
      </c>
    </row>
    <row r="3408" spans="1:11">
      <c r="A3408" t="str">
        <f>"600696"</f>
        <v>600696</v>
      </c>
      <c r="B3408" t="s">
        <v>3758</v>
      </c>
      <c r="C3408">
        <v>9.67</v>
      </c>
      <c r="D3408">
        <v>19.58</v>
      </c>
      <c r="E3408">
        <v>2.87</v>
      </c>
      <c r="F3408">
        <v>3.34</v>
      </c>
      <c r="G3408">
        <v>3.34</v>
      </c>
      <c r="H3408">
        <v>25525</v>
      </c>
      <c r="I3408">
        <v>3.36</v>
      </c>
      <c r="J3408" t="s">
        <v>14</v>
      </c>
      <c r="K3408" t="s">
        <v>251</v>
      </c>
    </row>
    <row r="3409" spans="1:11">
      <c r="A3409" t="str">
        <f>"600697"</f>
        <v>600697</v>
      </c>
      <c r="B3409" t="s">
        <v>3759</v>
      </c>
      <c r="C3409">
        <v>21.41</v>
      </c>
      <c r="D3409">
        <v>197.12</v>
      </c>
      <c r="E3409">
        <v>22.94</v>
      </c>
      <c r="F3409">
        <v>1.59</v>
      </c>
      <c r="G3409">
        <v>1.55</v>
      </c>
      <c r="H3409">
        <v>34080</v>
      </c>
      <c r="I3409">
        <v>0.96</v>
      </c>
      <c r="J3409">
        <v>92.4</v>
      </c>
      <c r="K3409" t="s">
        <v>148</v>
      </c>
    </row>
    <row r="3410" spans="1:11">
      <c r="A3410" t="str">
        <f>"600698"</f>
        <v>600698</v>
      </c>
      <c r="B3410" t="s">
        <v>3760</v>
      </c>
      <c r="C3410">
        <v>75.16</v>
      </c>
      <c r="D3410">
        <v>12.08</v>
      </c>
      <c r="E3410">
        <v>7.71</v>
      </c>
      <c r="F3410">
        <v>10.69</v>
      </c>
      <c r="G3410">
        <v>8.3</v>
      </c>
      <c r="H3410">
        <v>139437</v>
      </c>
      <c r="I3410">
        <v>12.55</v>
      </c>
      <c r="J3410">
        <v>5616.68</v>
      </c>
      <c r="K3410" t="s">
        <v>51</v>
      </c>
    </row>
    <row r="3411" spans="1:11">
      <c r="A3411" t="str">
        <f>"600699"</f>
        <v>600699</v>
      </c>
      <c r="B3411" t="s">
        <v>3761</v>
      </c>
      <c r="C3411">
        <v>401.23</v>
      </c>
      <c r="D3411">
        <v>686.79</v>
      </c>
      <c r="E3411">
        <v>143.23</v>
      </c>
      <c r="F3411">
        <v>15.51</v>
      </c>
      <c r="G3411">
        <v>13.55</v>
      </c>
      <c r="H3411">
        <v>126515</v>
      </c>
      <c r="I3411">
        <v>2.89</v>
      </c>
      <c r="J3411">
        <v>30.74</v>
      </c>
      <c r="K3411" t="s">
        <v>530</v>
      </c>
    </row>
    <row r="3412" spans="1:11">
      <c r="A3412" t="str">
        <f>"600702"</f>
        <v>600702</v>
      </c>
      <c r="B3412" t="s">
        <v>3762</v>
      </c>
      <c r="C3412">
        <v>191.26</v>
      </c>
      <c r="D3412">
        <v>125.58</v>
      </c>
      <c r="E3412">
        <v>70.89</v>
      </c>
      <c r="F3412">
        <v>3.33</v>
      </c>
      <c r="G3412">
        <v>3.33</v>
      </c>
      <c r="H3412">
        <v>114375</v>
      </c>
      <c r="I3412">
        <v>2.7</v>
      </c>
      <c r="J3412">
        <v>30.4</v>
      </c>
      <c r="K3412" t="s">
        <v>251</v>
      </c>
    </row>
    <row r="3413" spans="1:11">
      <c r="A3413" t="str">
        <f>"600703"</f>
        <v>600703</v>
      </c>
      <c r="B3413" t="s">
        <v>3763</v>
      </c>
      <c r="C3413">
        <v>717.42</v>
      </c>
      <c r="D3413">
        <v>582.71</v>
      </c>
      <c r="E3413">
        <v>353.5</v>
      </c>
      <c r="F3413">
        <v>49.89</v>
      </c>
      <c r="G3413">
        <v>49.89</v>
      </c>
      <c r="H3413">
        <v>379642</v>
      </c>
      <c r="I3413">
        <v>2.03</v>
      </c>
      <c r="J3413">
        <v>607.29</v>
      </c>
      <c r="K3413" t="s">
        <v>216</v>
      </c>
    </row>
    <row r="3414" spans="1:11">
      <c r="A3414" t="str">
        <f>"600704"</f>
        <v>600704</v>
      </c>
      <c r="B3414" t="s">
        <v>3764</v>
      </c>
      <c r="C3414">
        <v>298.89</v>
      </c>
      <c r="D3414">
        <v>2216.38</v>
      </c>
      <c r="E3414">
        <v>429.43</v>
      </c>
      <c r="F3414">
        <v>51.71</v>
      </c>
      <c r="G3414">
        <v>51.71</v>
      </c>
      <c r="H3414">
        <v>95101</v>
      </c>
      <c r="I3414">
        <v>0.73</v>
      </c>
      <c r="J3414">
        <v>7.35</v>
      </c>
      <c r="K3414" t="s">
        <v>536</v>
      </c>
    </row>
    <row r="3415" spans="1:11">
      <c r="A3415" t="str">
        <f>"600706"</f>
        <v>600706</v>
      </c>
      <c r="B3415" t="s">
        <v>3765</v>
      </c>
      <c r="C3415">
        <v>28.65</v>
      </c>
      <c r="D3415">
        <v>27.86</v>
      </c>
      <c r="E3415">
        <v>6.35</v>
      </c>
      <c r="F3415">
        <v>2.55</v>
      </c>
      <c r="G3415">
        <v>2.54</v>
      </c>
      <c r="H3415">
        <v>40875</v>
      </c>
      <c r="I3415">
        <v>4.53</v>
      </c>
      <c r="J3415" t="s">
        <v>14</v>
      </c>
      <c r="K3415" t="s">
        <v>163</v>
      </c>
    </row>
    <row r="3416" spans="1:11">
      <c r="A3416" t="str">
        <f>"600707"</f>
        <v>600707</v>
      </c>
      <c r="B3416" t="s">
        <v>3766</v>
      </c>
      <c r="C3416">
        <v>244.68</v>
      </c>
      <c r="D3416">
        <v>455.93</v>
      </c>
      <c r="E3416">
        <v>217.82</v>
      </c>
      <c r="F3416">
        <v>35.88</v>
      </c>
      <c r="G3416">
        <v>35.88</v>
      </c>
      <c r="H3416">
        <v>82549</v>
      </c>
      <c r="I3416">
        <v>1.12</v>
      </c>
      <c r="J3416">
        <v>48.39</v>
      </c>
      <c r="K3416" t="s">
        <v>39</v>
      </c>
    </row>
    <row r="3417" spans="1:11">
      <c r="A3417" t="str">
        <f>"600708"</f>
        <v>600708</v>
      </c>
      <c r="B3417" t="s">
        <v>3767</v>
      </c>
      <c r="C3417">
        <v>77.22</v>
      </c>
      <c r="D3417">
        <v>576.99</v>
      </c>
      <c r="E3417">
        <v>91.4</v>
      </c>
      <c r="F3417">
        <v>22.29</v>
      </c>
      <c r="G3417">
        <v>22.25</v>
      </c>
      <c r="H3417">
        <v>33824</v>
      </c>
      <c r="I3417">
        <v>0.85</v>
      </c>
      <c r="J3417" t="s">
        <v>14</v>
      </c>
      <c r="K3417" t="s">
        <v>15</v>
      </c>
    </row>
    <row r="3418" spans="1:11">
      <c r="A3418" t="str">
        <f>"600710"</f>
        <v>600710</v>
      </c>
      <c r="B3418" t="s">
        <v>3768</v>
      </c>
      <c r="C3418">
        <v>141</v>
      </c>
      <c r="D3418">
        <v>600.81</v>
      </c>
      <c r="E3418">
        <v>82.3</v>
      </c>
      <c r="F3418">
        <v>13.07</v>
      </c>
      <c r="G3418">
        <v>13.07</v>
      </c>
      <c r="H3418">
        <v>32604</v>
      </c>
      <c r="I3418">
        <v>1.71</v>
      </c>
      <c r="J3418">
        <v>9.58</v>
      </c>
      <c r="K3418" t="s">
        <v>107</v>
      </c>
    </row>
    <row r="3419" spans="1:11">
      <c r="A3419" t="str">
        <f>"600711"</f>
        <v>600711</v>
      </c>
      <c r="B3419" t="s">
        <v>3769</v>
      </c>
      <c r="C3419">
        <v>530.04</v>
      </c>
      <c r="D3419">
        <v>417.53</v>
      </c>
      <c r="E3419">
        <v>168.84</v>
      </c>
      <c r="F3419">
        <v>30.91</v>
      </c>
      <c r="G3419">
        <v>30.91</v>
      </c>
      <c r="H3419">
        <v>151087</v>
      </c>
      <c r="I3419">
        <v>3.14</v>
      </c>
      <c r="J3419">
        <v>23.36</v>
      </c>
      <c r="K3419" t="s">
        <v>2399</v>
      </c>
    </row>
    <row r="3420" spans="1:11">
      <c r="A3420" t="str">
        <f>"600712"</f>
        <v>600712</v>
      </c>
      <c r="B3420" t="s">
        <v>3770</v>
      </c>
      <c r="C3420">
        <v>36.63</v>
      </c>
      <c r="D3420">
        <v>13.69</v>
      </c>
      <c r="E3420">
        <v>7.97</v>
      </c>
      <c r="F3420">
        <v>5.45</v>
      </c>
      <c r="G3420">
        <v>5.39</v>
      </c>
      <c r="H3420">
        <v>28921</v>
      </c>
      <c r="I3420">
        <v>4.65</v>
      </c>
      <c r="J3420">
        <v>9558.65</v>
      </c>
      <c r="K3420" t="s">
        <v>146</v>
      </c>
    </row>
    <row r="3421" spans="1:11">
      <c r="A3421" t="str">
        <f>"600713"</f>
        <v>600713</v>
      </c>
      <c r="B3421" t="s">
        <v>3771</v>
      </c>
      <c r="C3421">
        <v>72.49</v>
      </c>
      <c r="D3421">
        <v>340.45</v>
      </c>
      <c r="E3421">
        <v>69.74</v>
      </c>
      <c r="F3421">
        <v>13.09</v>
      </c>
      <c r="G3421">
        <v>12.85</v>
      </c>
      <c r="H3421">
        <v>51638</v>
      </c>
      <c r="I3421">
        <v>1.06</v>
      </c>
      <c r="J3421">
        <v>13.77</v>
      </c>
      <c r="K3421" t="s">
        <v>48</v>
      </c>
    </row>
    <row r="3422" spans="1:11">
      <c r="A3422" t="str">
        <f>"600714"</f>
        <v>600714</v>
      </c>
      <c r="B3422" t="s">
        <v>3772</v>
      </c>
      <c r="C3422">
        <v>40.69</v>
      </c>
      <c r="D3422">
        <v>8.48</v>
      </c>
      <c r="E3422">
        <v>7.69</v>
      </c>
      <c r="F3422">
        <v>2.88</v>
      </c>
      <c r="G3422">
        <v>2.88</v>
      </c>
      <c r="H3422">
        <v>22359</v>
      </c>
      <c r="I3422">
        <v>5.29</v>
      </c>
      <c r="J3422">
        <v>66.81</v>
      </c>
      <c r="K3422" t="s">
        <v>1781</v>
      </c>
    </row>
    <row r="3423" spans="1:11">
      <c r="A3423" t="str">
        <f>"600715"</f>
        <v>600715</v>
      </c>
      <c r="B3423" t="s">
        <v>3773</v>
      </c>
      <c r="C3423">
        <v>66.69</v>
      </c>
      <c r="D3423">
        <v>16.13</v>
      </c>
      <c r="E3423">
        <v>11.23</v>
      </c>
      <c r="F3423">
        <v>40.6</v>
      </c>
      <c r="G3423">
        <v>28.62</v>
      </c>
      <c r="H3423">
        <v>55531</v>
      </c>
      <c r="I3423">
        <v>8.41</v>
      </c>
      <c r="J3423">
        <v>1929.14</v>
      </c>
      <c r="K3423" t="s">
        <v>710</v>
      </c>
    </row>
    <row r="3424" spans="1:11">
      <c r="A3424" t="str">
        <f>"600716"</f>
        <v>600716</v>
      </c>
      <c r="B3424" t="s">
        <v>3774</v>
      </c>
      <c r="C3424">
        <v>38.66</v>
      </c>
      <c r="D3424">
        <v>71.53</v>
      </c>
      <c r="E3424">
        <v>50.31</v>
      </c>
      <c r="F3424">
        <v>9.36</v>
      </c>
      <c r="G3424">
        <v>9.36</v>
      </c>
      <c r="H3424">
        <v>23000</v>
      </c>
      <c r="I3424">
        <v>0.77</v>
      </c>
      <c r="J3424">
        <v>323.22</v>
      </c>
      <c r="K3424" t="s">
        <v>15</v>
      </c>
    </row>
    <row r="3425" spans="1:11">
      <c r="A3425" t="str">
        <f>"600717"</f>
        <v>600717</v>
      </c>
      <c r="B3425" t="s">
        <v>3775</v>
      </c>
      <c r="C3425">
        <v>133.7</v>
      </c>
      <c r="D3425">
        <v>363.19</v>
      </c>
      <c r="E3425">
        <v>199.38</v>
      </c>
      <c r="F3425">
        <v>28.94</v>
      </c>
      <c r="G3425">
        <v>28.94</v>
      </c>
      <c r="H3425">
        <v>78000</v>
      </c>
      <c r="I3425">
        <v>0.67</v>
      </c>
      <c r="J3425">
        <v>12.86</v>
      </c>
      <c r="K3425" t="s">
        <v>96</v>
      </c>
    </row>
    <row r="3426" spans="1:11">
      <c r="A3426" t="str">
        <f>"600718"</f>
        <v>600718</v>
      </c>
      <c r="B3426" t="s">
        <v>3776</v>
      </c>
      <c r="C3426">
        <v>145</v>
      </c>
      <c r="D3426">
        <v>191.78</v>
      </c>
      <c r="E3426">
        <v>94.51</v>
      </c>
      <c r="F3426">
        <v>11.93</v>
      </c>
      <c r="G3426">
        <v>11.93</v>
      </c>
      <c r="H3426">
        <v>98174</v>
      </c>
      <c r="I3426">
        <v>1.53</v>
      </c>
      <c r="J3426">
        <v>212.9</v>
      </c>
      <c r="K3426" t="s">
        <v>117</v>
      </c>
    </row>
    <row r="3427" spans="1:11">
      <c r="A3427" t="str">
        <f>"600719"</f>
        <v>600719</v>
      </c>
      <c r="B3427" t="s">
        <v>3777</v>
      </c>
      <c r="C3427">
        <v>25.17</v>
      </c>
      <c r="D3427">
        <v>24.81</v>
      </c>
      <c r="E3427">
        <v>2.95</v>
      </c>
      <c r="F3427">
        <v>4.05</v>
      </c>
      <c r="G3427">
        <v>4.05</v>
      </c>
      <c r="H3427">
        <v>33000</v>
      </c>
      <c r="I3427">
        <v>8.54</v>
      </c>
      <c r="J3427" t="s">
        <v>14</v>
      </c>
      <c r="K3427" t="s">
        <v>350</v>
      </c>
    </row>
    <row r="3428" spans="1:11">
      <c r="A3428" t="str">
        <f>"600720"</f>
        <v>600720</v>
      </c>
      <c r="B3428" t="s">
        <v>3778</v>
      </c>
      <c r="C3428">
        <v>73.76</v>
      </c>
      <c r="D3428">
        <v>303.12</v>
      </c>
      <c r="E3428">
        <v>152.6</v>
      </c>
      <c r="F3428">
        <v>22.95</v>
      </c>
      <c r="G3428">
        <v>10.09</v>
      </c>
      <c r="H3428">
        <v>61321</v>
      </c>
      <c r="I3428">
        <v>1.1</v>
      </c>
      <c r="J3428">
        <v>16.72</v>
      </c>
      <c r="K3428" t="s">
        <v>428</v>
      </c>
    </row>
    <row r="3429" spans="1:11">
      <c r="A3429" t="str">
        <f>"600721"</f>
        <v>600721</v>
      </c>
      <c r="B3429" t="s">
        <v>3779</v>
      </c>
      <c r="C3429">
        <v>38.38</v>
      </c>
      <c r="D3429">
        <v>11.21</v>
      </c>
      <c r="E3429">
        <v>7.94</v>
      </c>
      <c r="F3429">
        <v>3.85</v>
      </c>
      <c r="G3429">
        <v>3.85</v>
      </c>
      <c r="H3429">
        <v>33195</v>
      </c>
      <c r="I3429">
        <v>4.84</v>
      </c>
      <c r="J3429">
        <v>88.09</v>
      </c>
      <c r="K3429" t="s">
        <v>1595</v>
      </c>
    </row>
    <row r="3430" spans="1:11">
      <c r="A3430" t="str">
        <f>"600722"</f>
        <v>600722</v>
      </c>
      <c r="B3430" t="s">
        <v>3780</v>
      </c>
      <c r="C3430">
        <v>47.76</v>
      </c>
      <c r="D3430">
        <v>15.89</v>
      </c>
      <c r="E3430">
        <v>12.35</v>
      </c>
      <c r="F3430">
        <v>6.8</v>
      </c>
      <c r="G3430">
        <v>6.8</v>
      </c>
      <c r="H3430">
        <v>51662</v>
      </c>
      <c r="I3430">
        <v>3.87</v>
      </c>
      <c r="J3430">
        <v>99.42</v>
      </c>
      <c r="K3430" t="s">
        <v>479</v>
      </c>
    </row>
    <row r="3431" spans="1:11">
      <c r="A3431" t="str">
        <f>"600724"</f>
        <v>600724</v>
      </c>
      <c r="B3431" t="s">
        <v>3781</v>
      </c>
      <c r="C3431">
        <v>95.66</v>
      </c>
      <c r="D3431">
        <v>40.7</v>
      </c>
      <c r="E3431">
        <v>28.53</v>
      </c>
      <c r="F3431">
        <v>14.45</v>
      </c>
      <c r="G3431">
        <v>14.45</v>
      </c>
      <c r="H3431">
        <v>27883</v>
      </c>
      <c r="I3431">
        <v>3.35</v>
      </c>
      <c r="J3431">
        <v>42.45</v>
      </c>
      <c r="K3431" t="s">
        <v>43</v>
      </c>
    </row>
    <row r="3432" spans="1:11">
      <c r="A3432" t="str">
        <f>"600725"</f>
        <v>600725</v>
      </c>
      <c r="B3432" t="s">
        <v>3782</v>
      </c>
      <c r="C3432">
        <v>50.65</v>
      </c>
      <c r="D3432">
        <v>3.45</v>
      </c>
      <c r="E3432">
        <v>2.8</v>
      </c>
      <c r="F3432">
        <v>12.32</v>
      </c>
      <c r="G3432">
        <v>12.32</v>
      </c>
      <c r="H3432">
        <v>30700</v>
      </c>
      <c r="I3432">
        <v>18.11</v>
      </c>
      <c r="J3432" t="s">
        <v>14</v>
      </c>
      <c r="K3432" t="s">
        <v>107</v>
      </c>
    </row>
    <row r="3433" spans="1:11">
      <c r="A3433" t="str">
        <f>"600726"</f>
        <v>600726</v>
      </c>
      <c r="B3433" t="s">
        <v>3783</v>
      </c>
      <c r="C3433">
        <v>184.64</v>
      </c>
      <c r="D3433">
        <v>311.14</v>
      </c>
      <c r="E3433">
        <v>41.12</v>
      </c>
      <c r="F3433">
        <v>79.07</v>
      </c>
      <c r="G3433">
        <v>74.75</v>
      </c>
      <c r="H3433">
        <v>139818</v>
      </c>
      <c r="I3433">
        <v>4.75</v>
      </c>
      <c r="J3433">
        <v>54.83</v>
      </c>
      <c r="K3433" t="s">
        <v>46</v>
      </c>
    </row>
    <row r="3434" spans="1:11">
      <c r="A3434" t="str">
        <f>"600727"</f>
        <v>600727</v>
      </c>
      <c r="B3434" t="s">
        <v>3784</v>
      </c>
      <c r="C3434">
        <v>37.05</v>
      </c>
      <c r="D3434">
        <v>88.36</v>
      </c>
      <c r="E3434">
        <v>32.04</v>
      </c>
      <c r="F3434">
        <v>5.29</v>
      </c>
      <c r="G3434">
        <v>5.29</v>
      </c>
      <c r="H3434">
        <v>45598</v>
      </c>
      <c r="I3434">
        <v>1.16</v>
      </c>
      <c r="J3434">
        <v>64.05</v>
      </c>
      <c r="K3434" t="s">
        <v>220</v>
      </c>
    </row>
    <row r="3435" spans="1:11">
      <c r="A3435" t="str">
        <f>"600728"</f>
        <v>600728</v>
      </c>
      <c r="B3435" t="s">
        <v>3785</v>
      </c>
      <c r="C3435">
        <v>155.47</v>
      </c>
      <c r="D3435">
        <v>153.32</v>
      </c>
      <c r="E3435">
        <v>78.57</v>
      </c>
      <c r="F3435">
        <v>21.33</v>
      </c>
      <c r="G3435">
        <v>21.33</v>
      </c>
      <c r="H3435">
        <v>162999</v>
      </c>
      <c r="I3435">
        <v>1.98</v>
      </c>
      <c r="J3435">
        <v>61.73</v>
      </c>
      <c r="K3435" t="s">
        <v>117</v>
      </c>
    </row>
    <row r="3436" spans="1:11">
      <c r="A3436" t="str">
        <f>"600729"</f>
        <v>600729</v>
      </c>
      <c r="B3436" t="s">
        <v>3786</v>
      </c>
      <c r="C3436">
        <v>55.53</v>
      </c>
      <c r="D3436">
        <v>194.03</v>
      </c>
      <c r="E3436">
        <v>78.8</v>
      </c>
      <c r="F3436">
        <v>4.4</v>
      </c>
      <c r="G3436">
        <v>1.92</v>
      </c>
      <c r="H3436">
        <v>19114</v>
      </c>
      <c r="I3436">
        <v>1.61</v>
      </c>
      <c r="J3436">
        <v>9.61</v>
      </c>
      <c r="K3436" t="s">
        <v>148</v>
      </c>
    </row>
    <row r="3437" spans="1:11">
      <c r="A3437" t="str">
        <f>"600730"</f>
        <v>600730</v>
      </c>
      <c r="B3437" t="s">
        <v>3787</v>
      </c>
      <c r="C3437">
        <v>67.17</v>
      </c>
      <c r="D3437">
        <v>20.3</v>
      </c>
      <c r="E3437">
        <v>17.92</v>
      </c>
      <c r="F3437">
        <v>5.87</v>
      </c>
      <c r="G3437">
        <v>5.87</v>
      </c>
      <c r="H3437">
        <v>39969</v>
      </c>
      <c r="I3437">
        <v>3.75</v>
      </c>
      <c r="J3437" t="s">
        <v>14</v>
      </c>
      <c r="K3437" t="s">
        <v>198</v>
      </c>
    </row>
    <row r="3438" spans="1:11">
      <c r="A3438" t="str">
        <f>"600731"</f>
        <v>600731</v>
      </c>
      <c r="B3438" t="s">
        <v>3788</v>
      </c>
      <c r="C3438">
        <v>37.7</v>
      </c>
      <c r="D3438">
        <v>44.63</v>
      </c>
      <c r="E3438">
        <v>31.67</v>
      </c>
      <c r="F3438">
        <v>5.59</v>
      </c>
      <c r="G3438">
        <v>5.42</v>
      </c>
      <c r="H3438">
        <v>27189</v>
      </c>
      <c r="I3438">
        <v>1.23</v>
      </c>
      <c r="J3438">
        <v>14.72</v>
      </c>
      <c r="K3438" t="s">
        <v>196</v>
      </c>
    </row>
    <row r="3439" spans="1:11">
      <c r="A3439" t="str">
        <f>"600732"</f>
        <v>600732</v>
      </c>
      <c r="B3439" t="s">
        <v>3789</v>
      </c>
      <c r="C3439">
        <v>247.59</v>
      </c>
      <c r="D3439">
        <v>371.72</v>
      </c>
      <c r="E3439">
        <v>64.69</v>
      </c>
      <c r="F3439">
        <v>21.17</v>
      </c>
      <c r="G3439">
        <v>18.09</v>
      </c>
      <c r="H3439">
        <v>70716</v>
      </c>
      <c r="I3439">
        <v>4.48</v>
      </c>
      <c r="J3439" t="s">
        <v>14</v>
      </c>
      <c r="K3439" t="s">
        <v>815</v>
      </c>
    </row>
    <row r="3440" spans="1:11">
      <c r="A3440" t="str">
        <f>"600733"</f>
        <v>600733</v>
      </c>
      <c r="B3440" t="s">
        <v>3790</v>
      </c>
      <c r="C3440">
        <v>421.67</v>
      </c>
      <c r="D3440">
        <v>338.44</v>
      </c>
      <c r="E3440">
        <v>20.87</v>
      </c>
      <c r="F3440">
        <v>55.74</v>
      </c>
      <c r="G3440">
        <v>48.92</v>
      </c>
      <c r="H3440">
        <v>240100</v>
      </c>
      <c r="I3440">
        <v>23.05</v>
      </c>
      <c r="J3440" t="s">
        <v>14</v>
      </c>
      <c r="K3440" t="s">
        <v>1380</v>
      </c>
    </row>
    <row r="3441" spans="1:11">
      <c r="A3441" t="str">
        <f>"600734"</f>
        <v>600734</v>
      </c>
      <c r="B3441" t="s">
        <v>3791</v>
      </c>
      <c r="C3441">
        <v>117.39</v>
      </c>
      <c r="D3441">
        <v>11.24</v>
      </c>
      <c r="E3441">
        <v>3.1</v>
      </c>
      <c r="F3441">
        <v>21.78</v>
      </c>
      <c r="G3441">
        <v>21.78</v>
      </c>
      <c r="H3441">
        <v>98138</v>
      </c>
      <c r="I3441">
        <v>37.96</v>
      </c>
      <c r="J3441" t="s">
        <v>14</v>
      </c>
      <c r="K3441" t="s">
        <v>463</v>
      </c>
    </row>
    <row r="3442" spans="1:11">
      <c r="A3442" t="str">
        <f>"600735"</f>
        <v>600735</v>
      </c>
      <c r="B3442" t="s">
        <v>3792</v>
      </c>
      <c r="C3442">
        <v>23.66</v>
      </c>
      <c r="D3442">
        <v>17.99</v>
      </c>
      <c r="E3442">
        <v>12.2</v>
      </c>
      <c r="F3442">
        <v>4.29</v>
      </c>
      <c r="G3442">
        <v>4.25</v>
      </c>
      <c r="H3442">
        <v>40017</v>
      </c>
      <c r="I3442">
        <v>1.95</v>
      </c>
      <c r="J3442">
        <v>108.76</v>
      </c>
      <c r="K3442" t="s">
        <v>3556</v>
      </c>
    </row>
    <row r="3443" spans="1:11">
      <c r="A3443" t="str">
        <f>"600736"</f>
        <v>600736</v>
      </c>
      <c r="B3443" t="s">
        <v>3793</v>
      </c>
      <c r="C3443">
        <v>81.05</v>
      </c>
      <c r="D3443">
        <v>771.89</v>
      </c>
      <c r="E3443">
        <v>90.46</v>
      </c>
      <c r="F3443">
        <v>11.51</v>
      </c>
      <c r="G3443">
        <v>11.51</v>
      </c>
      <c r="H3443">
        <v>59654</v>
      </c>
      <c r="I3443">
        <v>1.09</v>
      </c>
      <c r="J3443">
        <v>21.83</v>
      </c>
      <c r="K3443" t="s">
        <v>53</v>
      </c>
    </row>
    <row r="3444" spans="1:11">
      <c r="A3444" t="str">
        <f>"600737"</f>
        <v>600737</v>
      </c>
      <c r="B3444" t="s">
        <v>3794</v>
      </c>
      <c r="C3444">
        <v>362.11</v>
      </c>
      <c r="D3444">
        <v>211.4</v>
      </c>
      <c r="E3444">
        <v>112.77</v>
      </c>
      <c r="F3444">
        <v>21.39</v>
      </c>
      <c r="G3444">
        <v>21.39</v>
      </c>
      <c r="H3444">
        <v>81999</v>
      </c>
      <c r="I3444">
        <v>3.21</v>
      </c>
      <c r="J3444">
        <v>33.32</v>
      </c>
      <c r="K3444" t="s">
        <v>192</v>
      </c>
    </row>
    <row r="3445" spans="1:11">
      <c r="A3445" t="str">
        <f>"600738"</f>
        <v>600738</v>
      </c>
      <c r="B3445" t="s">
        <v>3795</v>
      </c>
      <c r="C3445">
        <v>40.32</v>
      </c>
      <c r="D3445">
        <v>31.55</v>
      </c>
      <c r="E3445">
        <v>20.4</v>
      </c>
      <c r="F3445">
        <v>7.61</v>
      </c>
      <c r="G3445">
        <v>7.61</v>
      </c>
      <c r="H3445">
        <v>33406</v>
      </c>
      <c r="I3445">
        <v>1.98</v>
      </c>
      <c r="J3445">
        <v>26.11</v>
      </c>
      <c r="K3445" t="s">
        <v>20</v>
      </c>
    </row>
    <row r="3446" spans="1:11">
      <c r="A3446" t="str">
        <f>"600739"</f>
        <v>600739</v>
      </c>
      <c r="B3446" t="s">
        <v>3796</v>
      </c>
      <c r="C3446">
        <v>188.31</v>
      </c>
      <c r="D3446">
        <v>491.72</v>
      </c>
      <c r="E3446">
        <v>294.18</v>
      </c>
      <c r="F3446">
        <v>15.3</v>
      </c>
      <c r="G3446">
        <v>15.3</v>
      </c>
      <c r="H3446">
        <v>60309</v>
      </c>
      <c r="I3446">
        <v>0.64</v>
      </c>
      <c r="J3446">
        <v>10.35</v>
      </c>
      <c r="K3446" t="s">
        <v>1921</v>
      </c>
    </row>
    <row r="3447" spans="1:11">
      <c r="A3447" t="str">
        <f>"600740"</f>
        <v>600740</v>
      </c>
      <c r="B3447" t="s">
        <v>3797</v>
      </c>
      <c r="C3447">
        <v>100.44</v>
      </c>
      <c r="D3447">
        <v>261.47</v>
      </c>
      <c r="E3447">
        <v>152.25</v>
      </c>
      <c r="F3447">
        <v>25.62</v>
      </c>
      <c r="G3447">
        <v>25.62</v>
      </c>
      <c r="H3447">
        <v>76876</v>
      </c>
      <c r="I3447">
        <v>0.66</v>
      </c>
      <c r="J3447" t="s">
        <v>14</v>
      </c>
      <c r="K3447" t="s">
        <v>388</v>
      </c>
    </row>
    <row r="3448" spans="1:11">
      <c r="A3448" t="str">
        <f>"600741"</f>
        <v>600741</v>
      </c>
      <c r="B3448" t="s">
        <v>3798</v>
      </c>
      <c r="C3448">
        <v>630.54</v>
      </c>
      <c r="D3448">
        <v>1982.44</v>
      </c>
      <c r="E3448">
        <v>647.25</v>
      </c>
      <c r="F3448">
        <v>31.53</v>
      </c>
      <c r="G3448">
        <v>31.53</v>
      </c>
      <c r="H3448">
        <v>61471</v>
      </c>
      <c r="I3448">
        <v>0.97</v>
      </c>
      <c r="J3448">
        <v>10.09</v>
      </c>
      <c r="K3448" t="s">
        <v>356</v>
      </c>
    </row>
    <row r="3449" spans="1:11">
      <c r="A3449" t="str">
        <f>"600742"</f>
        <v>600742</v>
      </c>
      <c r="B3449" t="s">
        <v>3799</v>
      </c>
      <c r="C3449">
        <v>71.78</v>
      </c>
      <c r="D3449">
        <v>232.73</v>
      </c>
      <c r="E3449">
        <v>86.79</v>
      </c>
      <c r="F3449">
        <v>7.43</v>
      </c>
      <c r="G3449">
        <v>7.43</v>
      </c>
      <c r="H3449">
        <v>23800</v>
      </c>
      <c r="I3449">
        <v>0.83</v>
      </c>
      <c r="J3449">
        <v>13.72</v>
      </c>
      <c r="K3449" t="s">
        <v>356</v>
      </c>
    </row>
    <row r="3450" spans="1:11">
      <c r="A3450" t="str">
        <f>"600743"</f>
        <v>600743</v>
      </c>
      <c r="B3450" t="s">
        <v>3800</v>
      </c>
      <c r="C3450">
        <v>46.22</v>
      </c>
      <c r="D3450">
        <v>17.41</v>
      </c>
      <c r="E3450">
        <v>6.33</v>
      </c>
      <c r="F3450">
        <v>23.46</v>
      </c>
      <c r="G3450">
        <v>23.46</v>
      </c>
      <c r="H3450">
        <v>39342</v>
      </c>
      <c r="I3450">
        <v>7.3</v>
      </c>
      <c r="J3450" t="s">
        <v>14</v>
      </c>
      <c r="K3450" t="s">
        <v>15</v>
      </c>
    </row>
    <row r="3451" spans="1:11">
      <c r="A3451" t="str">
        <f>"600744"</f>
        <v>600744</v>
      </c>
      <c r="B3451" t="s">
        <v>3801</v>
      </c>
      <c r="C3451">
        <v>125.52</v>
      </c>
      <c r="D3451">
        <v>282.79</v>
      </c>
      <c r="E3451">
        <v>19.4</v>
      </c>
      <c r="F3451">
        <v>20.31</v>
      </c>
      <c r="G3451">
        <v>20.31</v>
      </c>
      <c r="H3451">
        <v>193215</v>
      </c>
      <c r="I3451">
        <v>8.82</v>
      </c>
      <c r="J3451">
        <v>26.39</v>
      </c>
      <c r="K3451" t="s">
        <v>46</v>
      </c>
    </row>
    <row r="3452" spans="1:11">
      <c r="A3452" t="str">
        <f>"600745"</f>
        <v>600745</v>
      </c>
      <c r="B3452" t="s">
        <v>3802</v>
      </c>
      <c r="C3452">
        <v>482.92</v>
      </c>
      <c r="D3452">
        <v>543.82</v>
      </c>
      <c r="E3452">
        <v>355.01</v>
      </c>
      <c r="F3452">
        <v>12.45</v>
      </c>
      <c r="G3452">
        <v>12.45</v>
      </c>
      <c r="H3452">
        <v>160427</v>
      </c>
      <c r="I3452">
        <v>1.42</v>
      </c>
      <c r="J3452">
        <v>23.93</v>
      </c>
      <c r="K3452" t="s">
        <v>1852</v>
      </c>
    </row>
    <row r="3453" spans="1:11">
      <c r="A3453" t="str">
        <f>"600746"</f>
        <v>600746</v>
      </c>
      <c r="B3453" t="s">
        <v>3803</v>
      </c>
      <c r="C3453">
        <v>83.26</v>
      </c>
      <c r="D3453">
        <v>68.19</v>
      </c>
      <c r="E3453">
        <v>54.52</v>
      </c>
      <c r="F3453">
        <v>11.68</v>
      </c>
      <c r="G3453">
        <v>11.66</v>
      </c>
      <c r="H3453">
        <v>39112</v>
      </c>
      <c r="I3453">
        <v>1.53</v>
      </c>
      <c r="J3453">
        <v>49.66</v>
      </c>
      <c r="K3453" t="s">
        <v>1529</v>
      </c>
    </row>
    <row r="3454" spans="1:11">
      <c r="A3454" t="str">
        <f>"600748"</f>
        <v>600748</v>
      </c>
      <c r="B3454" t="s">
        <v>3804</v>
      </c>
      <c r="C3454">
        <v>113.99</v>
      </c>
      <c r="D3454">
        <v>297.42</v>
      </c>
      <c r="E3454">
        <v>104.43</v>
      </c>
      <c r="F3454">
        <v>18.45</v>
      </c>
      <c r="G3454">
        <v>18.45</v>
      </c>
      <c r="H3454">
        <v>31637</v>
      </c>
      <c r="I3454">
        <v>1.09</v>
      </c>
      <c r="J3454" t="s">
        <v>14</v>
      </c>
      <c r="K3454" t="s">
        <v>15</v>
      </c>
    </row>
    <row r="3455" spans="1:11">
      <c r="A3455" t="str">
        <f>"600749"</f>
        <v>600749</v>
      </c>
      <c r="B3455" t="s">
        <v>3805</v>
      </c>
      <c r="C3455">
        <v>40.33</v>
      </c>
      <c r="D3455">
        <v>14.57</v>
      </c>
      <c r="E3455">
        <v>10.76</v>
      </c>
      <c r="F3455">
        <v>2.27</v>
      </c>
      <c r="G3455">
        <v>2.27</v>
      </c>
      <c r="H3455">
        <v>53034</v>
      </c>
      <c r="I3455">
        <v>3.75</v>
      </c>
      <c r="J3455">
        <v>92.9</v>
      </c>
      <c r="K3455" t="s">
        <v>163</v>
      </c>
    </row>
    <row r="3456" spans="1:11">
      <c r="A3456" t="str">
        <f>"600750"</f>
        <v>600750</v>
      </c>
      <c r="B3456" t="s">
        <v>3806</v>
      </c>
      <c r="C3456">
        <v>142.27</v>
      </c>
      <c r="D3456">
        <v>68.91</v>
      </c>
      <c r="E3456">
        <v>37.96</v>
      </c>
      <c r="F3456">
        <v>6.35</v>
      </c>
      <c r="G3456">
        <v>6.29</v>
      </c>
      <c r="H3456">
        <v>41856</v>
      </c>
      <c r="I3456">
        <v>3.79</v>
      </c>
      <c r="J3456">
        <v>15.77</v>
      </c>
      <c r="K3456" t="s">
        <v>155</v>
      </c>
    </row>
    <row r="3457" spans="1:11">
      <c r="A3457" t="str">
        <f>"600751"</f>
        <v>600751</v>
      </c>
      <c r="B3457" t="s">
        <v>3807</v>
      </c>
      <c r="C3457">
        <v>106.02</v>
      </c>
      <c r="D3457">
        <v>98.71</v>
      </c>
      <c r="E3457">
        <v>75.73</v>
      </c>
      <c r="F3457">
        <v>28.99</v>
      </c>
      <c r="G3457">
        <v>25.73</v>
      </c>
      <c r="H3457">
        <v>76538</v>
      </c>
      <c r="I3457">
        <v>1.58</v>
      </c>
      <c r="J3457">
        <v>92.52</v>
      </c>
      <c r="K3457" t="s">
        <v>188</v>
      </c>
    </row>
    <row r="3458" spans="1:11">
      <c r="A3458" t="str">
        <f>"600753"</f>
        <v>600753</v>
      </c>
      <c r="B3458" t="s">
        <v>3808</v>
      </c>
      <c r="C3458">
        <v>18.79</v>
      </c>
      <c r="D3458">
        <v>2.83</v>
      </c>
      <c r="E3458">
        <v>0.22</v>
      </c>
      <c r="F3458">
        <v>2.3</v>
      </c>
      <c r="G3458">
        <v>2.3</v>
      </c>
      <c r="H3458">
        <v>11404</v>
      </c>
      <c r="I3458">
        <v>84.12</v>
      </c>
      <c r="J3458">
        <v>54.89</v>
      </c>
      <c r="K3458" t="s">
        <v>107</v>
      </c>
    </row>
    <row r="3459" spans="1:11">
      <c r="A3459" t="str">
        <f>"600754"</f>
        <v>600754</v>
      </c>
      <c r="B3459" t="s">
        <v>3809</v>
      </c>
      <c r="C3459">
        <v>239.56</v>
      </c>
      <c r="D3459">
        <v>456.86</v>
      </c>
      <c r="E3459">
        <v>158.41</v>
      </c>
      <c r="F3459">
        <v>10.66</v>
      </c>
      <c r="G3459">
        <v>9.06</v>
      </c>
      <c r="H3459">
        <v>82751</v>
      </c>
      <c r="I3459">
        <v>1.78</v>
      </c>
      <c r="J3459">
        <v>28.34</v>
      </c>
      <c r="K3459" t="s">
        <v>159</v>
      </c>
    </row>
    <row r="3460" spans="1:11">
      <c r="A3460" t="str">
        <f>"600755"</f>
        <v>600755</v>
      </c>
      <c r="B3460" t="s">
        <v>3810</v>
      </c>
      <c r="C3460">
        <v>147.12</v>
      </c>
      <c r="D3460">
        <v>1263.92</v>
      </c>
      <c r="E3460">
        <v>324.56</v>
      </c>
      <c r="F3460">
        <v>21.38</v>
      </c>
      <c r="G3460">
        <v>21.32</v>
      </c>
      <c r="H3460">
        <v>80329</v>
      </c>
      <c r="I3460">
        <v>0.75</v>
      </c>
      <c r="J3460">
        <v>19.17</v>
      </c>
      <c r="K3460" t="s">
        <v>536</v>
      </c>
    </row>
    <row r="3461" spans="1:11">
      <c r="A3461" t="str">
        <f>"600756"</f>
        <v>600756</v>
      </c>
      <c r="B3461" t="s">
        <v>3811</v>
      </c>
      <c r="C3461">
        <v>65.4</v>
      </c>
      <c r="D3461">
        <v>41.43</v>
      </c>
      <c r="E3461">
        <v>21.03</v>
      </c>
      <c r="F3461">
        <v>3.5</v>
      </c>
      <c r="G3461">
        <v>3.24</v>
      </c>
      <c r="H3461">
        <v>66525</v>
      </c>
      <c r="I3461">
        <v>3.11</v>
      </c>
      <c r="J3461" t="s">
        <v>14</v>
      </c>
      <c r="K3461" t="s">
        <v>117</v>
      </c>
    </row>
    <row r="3462" spans="1:11">
      <c r="A3462" t="str">
        <f>"600757"</f>
        <v>600757</v>
      </c>
      <c r="B3462" t="s">
        <v>3812</v>
      </c>
      <c r="C3462">
        <v>112.73</v>
      </c>
      <c r="D3462">
        <v>144.94</v>
      </c>
      <c r="E3462">
        <v>98.91</v>
      </c>
      <c r="F3462">
        <v>12.14</v>
      </c>
      <c r="G3462">
        <v>12.13</v>
      </c>
      <c r="H3462">
        <v>32325</v>
      </c>
      <c r="I3462">
        <v>1.14</v>
      </c>
      <c r="J3462">
        <v>9.84</v>
      </c>
      <c r="K3462" t="s">
        <v>1948</v>
      </c>
    </row>
    <row r="3463" spans="1:11">
      <c r="A3463" t="str">
        <f>"600758"</f>
        <v>600758</v>
      </c>
      <c r="B3463" t="s">
        <v>3813</v>
      </c>
      <c r="C3463">
        <v>49.66</v>
      </c>
      <c r="D3463">
        <v>129.5</v>
      </c>
      <c r="E3463">
        <v>55.41</v>
      </c>
      <c r="F3463">
        <v>13.22</v>
      </c>
      <c r="G3463">
        <v>13.21</v>
      </c>
      <c r="H3463">
        <v>44036</v>
      </c>
      <c r="I3463">
        <v>0.9</v>
      </c>
      <c r="J3463" t="s">
        <v>14</v>
      </c>
      <c r="K3463" t="s">
        <v>567</v>
      </c>
    </row>
    <row r="3464" spans="1:11">
      <c r="A3464" t="str">
        <f>"600759"</f>
        <v>600759</v>
      </c>
      <c r="B3464" t="s">
        <v>3814</v>
      </c>
      <c r="C3464">
        <v>155.39</v>
      </c>
      <c r="D3464">
        <v>125.22</v>
      </c>
      <c r="E3464">
        <v>87.91</v>
      </c>
      <c r="F3464">
        <v>41.49</v>
      </c>
      <c r="G3464">
        <v>41.44</v>
      </c>
      <c r="H3464">
        <v>117809</v>
      </c>
      <c r="I3464">
        <v>1.77</v>
      </c>
      <c r="J3464">
        <v>140.46</v>
      </c>
      <c r="K3464" t="s">
        <v>588</v>
      </c>
    </row>
    <row r="3465" spans="1:11">
      <c r="A3465" t="str">
        <f>"600760"</f>
        <v>600760</v>
      </c>
      <c r="B3465" t="s">
        <v>3815</v>
      </c>
      <c r="C3465">
        <v>1689.49</v>
      </c>
      <c r="D3465">
        <v>637.9</v>
      </c>
      <c r="E3465">
        <v>218.21</v>
      </c>
      <c r="F3465">
        <v>28.35</v>
      </c>
      <c r="G3465">
        <v>28.26</v>
      </c>
      <c r="H3465">
        <v>100034</v>
      </c>
      <c r="I3465">
        <v>7.77</v>
      </c>
      <c r="J3465">
        <v>93.36</v>
      </c>
      <c r="K3465" t="s">
        <v>353</v>
      </c>
    </row>
    <row r="3466" spans="1:11">
      <c r="A3466" t="str">
        <f>"600761"</f>
        <v>600761</v>
      </c>
      <c r="B3466" t="s">
        <v>3816</v>
      </c>
      <c r="C3466">
        <v>191.86</v>
      </c>
      <c r="D3466">
        <v>199.69</v>
      </c>
      <c r="E3466">
        <v>107.78</v>
      </c>
      <c r="F3466">
        <v>8.91</v>
      </c>
      <c r="G3466">
        <v>8.91</v>
      </c>
      <c r="H3466">
        <v>27901</v>
      </c>
      <c r="I3466">
        <v>1.78</v>
      </c>
      <c r="J3466">
        <v>12.83</v>
      </c>
      <c r="K3466" t="s">
        <v>115</v>
      </c>
    </row>
    <row r="3467" spans="1:11">
      <c r="A3467" t="str">
        <f>"600763"</f>
        <v>600763</v>
      </c>
      <c r="B3467" t="s">
        <v>3817</v>
      </c>
      <c r="C3467">
        <v>194.12</v>
      </c>
      <c r="D3467">
        <v>62.79</v>
      </c>
      <c r="E3467">
        <v>43.44</v>
      </c>
      <c r="F3467">
        <v>4.47</v>
      </c>
      <c r="G3467">
        <v>4.47</v>
      </c>
      <c r="H3467">
        <v>90000</v>
      </c>
      <c r="I3467">
        <v>4.47</v>
      </c>
      <c r="J3467">
        <v>28.35</v>
      </c>
      <c r="K3467" t="s">
        <v>181</v>
      </c>
    </row>
    <row r="3468" spans="1:11">
      <c r="A3468" t="str">
        <f>"600764"</f>
        <v>600764</v>
      </c>
      <c r="B3468" t="s">
        <v>3818</v>
      </c>
      <c r="C3468">
        <v>207.65</v>
      </c>
      <c r="D3468">
        <v>117.66</v>
      </c>
      <c r="E3468">
        <v>82.62</v>
      </c>
      <c r="F3468">
        <v>7.11</v>
      </c>
      <c r="G3468">
        <v>7.11</v>
      </c>
      <c r="H3468">
        <v>37408</v>
      </c>
      <c r="I3468">
        <v>2.51</v>
      </c>
      <c r="J3468">
        <v>101.01</v>
      </c>
      <c r="K3468" t="s">
        <v>1816</v>
      </c>
    </row>
    <row r="3469" spans="1:11">
      <c r="A3469" t="str">
        <f>"600765"</f>
        <v>600765</v>
      </c>
      <c r="B3469" t="s">
        <v>3819</v>
      </c>
      <c r="C3469">
        <v>314.38</v>
      </c>
      <c r="D3469">
        <v>317.64</v>
      </c>
      <c r="E3469">
        <v>142.29</v>
      </c>
      <c r="F3469">
        <v>15.64</v>
      </c>
      <c r="G3469">
        <v>15.52</v>
      </c>
      <c r="H3469">
        <v>98157</v>
      </c>
      <c r="I3469">
        <v>2.23</v>
      </c>
      <c r="J3469">
        <v>38.57</v>
      </c>
      <c r="K3469" t="s">
        <v>353</v>
      </c>
    </row>
    <row r="3470" spans="1:11">
      <c r="A3470" t="str">
        <f>"600768"</f>
        <v>600768</v>
      </c>
      <c r="B3470" t="s">
        <v>3820</v>
      </c>
      <c r="C3470">
        <v>20.37</v>
      </c>
      <c r="D3470">
        <v>10.2</v>
      </c>
      <c r="E3470">
        <v>3.87</v>
      </c>
      <c r="F3470">
        <v>1.34</v>
      </c>
      <c r="G3470">
        <v>1.34</v>
      </c>
      <c r="H3470">
        <v>11940</v>
      </c>
      <c r="I3470">
        <v>5.26</v>
      </c>
      <c r="J3470">
        <v>94.66</v>
      </c>
      <c r="K3470" t="s">
        <v>288</v>
      </c>
    </row>
    <row r="3471" spans="1:11">
      <c r="A3471" t="str">
        <f>"600769"</f>
        <v>600769</v>
      </c>
      <c r="B3471" t="s">
        <v>3821</v>
      </c>
      <c r="C3471">
        <v>51.86</v>
      </c>
      <c r="D3471">
        <v>3.91</v>
      </c>
      <c r="E3471">
        <v>1.2</v>
      </c>
      <c r="F3471">
        <v>3.75</v>
      </c>
      <c r="G3471">
        <v>3.75</v>
      </c>
      <c r="H3471">
        <v>26369</v>
      </c>
      <c r="I3471">
        <v>43.22</v>
      </c>
      <c r="J3471">
        <v>226</v>
      </c>
      <c r="K3471" t="s">
        <v>274</v>
      </c>
    </row>
    <row r="3472" spans="1:11">
      <c r="A3472" t="str">
        <f>"600770"</f>
        <v>600770</v>
      </c>
      <c r="B3472" t="s">
        <v>3822</v>
      </c>
      <c r="C3472">
        <v>73.19</v>
      </c>
      <c r="D3472">
        <v>61.03</v>
      </c>
      <c r="E3472">
        <v>34.29</v>
      </c>
      <c r="F3472">
        <v>13</v>
      </c>
      <c r="G3472">
        <v>13</v>
      </c>
      <c r="H3472">
        <v>67690</v>
      </c>
      <c r="I3472">
        <v>2.13</v>
      </c>
      <c r="J3472">
        <v>60.46</v>
      </c>
      <c r="K3472" t="s">
        <v>43</v>
      </c>
    </row>
    <row r="3473" spans="1:11">
      <c r="A3473" t="str">
        <f>"600771"</f>
        <v>600771</v>
      </c>
      <c r="B3473" t="s">
        <v>3823</v>
      </c>
      <c r="C3473">
        <v>89.77</v>
      </c>
      <c r="D3473">
        <v>24.61</v>
      </c>
      <c r="E3473">
        <v>16.49</v>
      </c>
      <c r="F3473">
        <v>4.89</v>
      </c>
      <c r="G3473">
        <v>4.89</v>
      </c>
      <c r="H3473">
        <v>65306</v>
      </c>
      <c r="I3473">
        <v>5.45</v>
      </c>
      <c r="J3473">
        <v>85.35</v>
      </c>
      <c r="K3473" t="s">
        <v>155</v>
      </c>
    </row>
    <row r="3474" spans="1:11">
      <c r="A3474" t="str">
        <f>"600773"</f>
        <v>600773</v>
      </c>
      <c r="B3474" t="s">
        <v>3824</v>
      </c>
      <c r="C3474">
        <v>133.13</v>
      </c>
      <c r="D3474">
        <v>106.92</v>
      </c>
      <c r="E3474">
        <v>47.21</v>
      </c>
      <c r="F3474">
        <v>9.52</v>
      </c>
      <c r="G3474">
        <v>9.52</v>
      </c>
      <c r="H3474">
        <v>61182</v>
      </c>
      <c r="I3474">
        <v>2.82</v>
      </c>
      <c r="J3474" t="s">
        <v>14</v>
      </c>
      <c r="K3474" t="s">
        <v>15</v>
      </c>
    </row>
    <row r="3475" spans="1:11">
      <c r="A3475" t="str">
        <f>"600774"</f>
        <v>600774</v>
      </c>
      <c r="B3475" t="s">
        <v>3825</v>
      </c>
      <c r="C3475">
        <v>28.25</v>
      </c>
      <c r="D3475">
        <v>33.92</v>
      </c>
      <c r="E3475">
        <v>16.7</v>
      </c>
      <c r="F3475">
        <v>2.95</v>
      </c>
      <c r="G3475">
        <v>2.95</v>
      </c>
      <c r="H3475">
        <v>20652</v>
      </c>
      <c r="I3475">
        <v>1.69</v>
      </c>
      <c r="J3475">
        <v>227.32</v>
      </c>
      <c r="K3475" t="s">
        <v>109</v>
      </c>
    </row>
    <row r="3476" spans="1:11">
      <c r="A3476" t="str">
        <f>"600775"</f>
        <v>600775</v>
      </c>
      <c r="B3476" t="s">
        <v>3826</v>
      </c>
      <c r="C3476">
        <v>117.91</v>
      </c>
      <c r="D3476">
        <v>51.21</v>
      </c>
      <c r="E3476">
        <v>30.24</v>
      </c>
      <c r="F3476">
        <v>9.14</v>
      </c>
      <c r="G3476">
        <v>6.72</v>
      </c>
      <c r="H3476">
        <v>213067</v>
      </c>
      <c r="I3476">
        <v>5.3</v>
      </c>
      <c r="J3476" t="s">
        <v>14</v>
      </c>
      <c r="K3476" t="s">
        <v>770</v>
      </c>
    </row>
    <row r="3477" spans="1:11">
      <c r="A3477" t="str">
        <f>"600776"</f>
        <v>600776</v>
      </c>
      <c r="B3477" t="s">
        <v>3827</v>
      </c>
      <c r="C3477">
        <v>249.52</v>
      </c>
      <c r="D3477">
        <v>47.51</v>
      </c>
      <c r="E3477">
        <v>37.81</v>
      </c>
      <c r="F3477">
        <v>12.56</v>
      </c>
      <c r="G3477">
        <v>9.56</v>
      </c>
      <c r="H3477">
        <v>119657</v>
      </c>
      <c r="I3477">
        <v>8.67</v>
      </c>
      <c r="J3477">
        <v>67.49</v>
      </c>
      <c r="K3477" t="s">
        <v>933</v>
      </c>
    </row>
    <row r="3478" spans="1:11">
      <c r="A3478" t="str">
        <f>"600777"</f>
        <v>600777</v>
      </c>
      <c r="B3478" t="s">
        <v>3828</v>
      </c>
      <c r="C3478">
        <v>248.92</v>
      </c>
      <c r="D3478">
        <v>359.72</v>
      </c>
      <c r="E3478">
        <v>235.24</v>
      </c>
      <c r="F3478">
        <v>68</v>
      </c>
      <c r="G3478">
        <v>63.66</v>
      </c>
      <c r="H3478">
        <v>48659</v>
      </c>
      <c r="I3478">
        <v>1.13</v>
      </c>
      <c r="J3478">
        <v>14.99</v>
      </c>
      <c r="K3478" t="s">
        <v>588</v>
      </c>
    </row>
    <row r="3479" spans="1:11">
      <c r="A3479" t="str">
        <f>"600778"</f>
        <v>600778</v>
      </c>
      <c r="B3479" t="s">
        <v>3829</v>
      </c>
      <c r="C3479">
        <v>21.41</v>
      </c>
      <c r="D3479">
        <v>33.94</v>
      </c>
      <c r="E3479">
        <v>2.3</v>
      </c>
      <c r="F3479">
        <v>3.11</v>
      </c>
      <c r="G3479">
        <v>3.11</v>
      </c>
      <c r="H3479">
        <v>31848</v>
      </c>
      <c r="I3479">
        <v>9.32</v>
      </c>
      <c r="J3479">
        <v>113.7</v>
      </c>
      <c r="K3479" t="s">
        <v>148</v>
      </c>
    </row>
    <row r="3480" spans="1:11">
      <c r="A3480" t="str">
        <f>"600779"</f>
        <v>600779</v>
      </c>
      <c r="B3480" t="s">
        <v>3830</v>
      </c>
      <c r="C3480">
        <v>196.12</v>
      </c>
      <c r="D3480">
        <v>82.87</v>
      </c>
      <c r="E3480">
        <v>50.34</v>
      </c>
      <c r="F3480">
        <v>4.88</v>
      </c>
      <c r="G3480">
        <v>4.88</v>
      </c>
      <c r="H3480">
        <v>80536</v>
      </c>
      <c r="I3480">
        <v>3.9</v>
      </c>
      <c r="J3480">
        <v>45.12</v>
      </c>
      <c r="K3480" t="s">
        <v>251</v>
      </c>
    </row>
    <row r="3481" spans="1:11">
      <c r="A3481" t="str">
        <f>"600780"</f>
        <v>600780</v>
      </c>
      <c r="B3481" t="s">
        <v>3831</v>
      </c>
      <c r="C3481">
        <v>67.07</v>
      </c>
      <c r="D3481">
        <v>110.94</v>
      </c>
      <c r="E3481">
        <v>81.99</v>
      </c>
      <c r="F3481">
        <v>11.47</v>
      </c>
      <c r="G3481">
        <v>11.47</v>
      </c>
      <c r="H3481">
        <v>32468</v>
      </c>
      <c r="I3481">
        <v>0.82</v>
      </c>
      <c r="J3481">
        <v>10.34</v>
      </c>
      <c r="K3481" t="s">
        <v>46</v>
      </c>
    </row>
    <row r="3482" spans="1:11">
      <c r="A3482" t="str">
        <f>"600782"</f>
        <v>600782</v>
      </c>
      <c r="B3482" t="s">
        <v>3832</v>
      </c>
      <c r="C3482">
        <v>120.79</v>
      </c>
      <c r="D3482">
        <v>487</v>
      </c>
      <c r="E3482">
        <v>264.52</v>
      </c>
      <c r="F3482">
        <v>31.84</v>
      </c>
      <c r="G3482">
        <v>31.46</v>
      </c>
      <c r="H3482">
        <v>38190</v>
      </c>
      <c r="I3482">
        <v>0.46</v>
      </c>
      <c r="J3482">
        <v>25.47</v>
      </c>
      <c r="K3482" t="s">
        <v>366</v>
      </c>
    </row>
    <row r="3483" spans="1:11">
      <c r="A3483" t="str">
        <f>"600783"</f>
        <v>600783</v>
      </c>
      <c r="B3483" t="s">
        <v>3833</v>
      </c>
      <c r="C3483">
        <v>264.25</v>
      </c>
      <c r="D3483">
        <v>93.27</v>
      </c>
      <c r="E3483">
        <v>47.36</v>
      </c>
      <c r="F3483">
        <v>7.44</v>
      </c>
      <c r="G3483">
        <v>7.44</v>
      </c>
      <c r="H3483">
        <v>30620</v>
      </c>
      <c r="I3483">
        <v>5.58</v>
      </c>
      <c r="J3483">
        <v>61.75</v>
      </c>
      <c r="K3483" t="s">
        <v>1069</v>
      </c>
    </row>
    <row r="3484" spans="1:11">
      <c r="A3484" t="str">
        <f>"600784"</f>
        <v>600784</v>
      </c>
      <c r="B3484" t="s">
        <v>3834</v>
      </c>
      <c r="C3484">
        <v>49.73</v>
      </c>
      <c r="D3484">
        <v>60.48</v>
      </c>
      <c r="E3484">
        <v>32.62</v>
      </c>
      <c r="F3484">
        <v>6.76</v>
      </c>
      <c r="G3484">
        <v>6.76</v>
      </c>
      <c r="H3484">
        <v>27804</v>
      </c>
      <c r="I3484">
        <v>1.52</v>
      </c>
      <c r="J3484">
        <v>23.11</v>
      </c>
      <c r="K3484" t="s">
        <v>43</v>
      </c>
    </row>
    <row r="3485" spans="1:11">
      <c r="A3485" t="str">
        <f>"600785"</f>
        <v>600785</v>
      </c>
      <c r="B3485" t="s">
        <v>3835</v>
      </c>
      <c r="C3485">
        <v>35.09</v>
      </c>
      <c r="D3485">
        <v>84.77</v>
      </c>
      <c r="E3485">
        <v>23</v>
      </c>
      <c r="F3485">
        <v>2.26</v>
      </c>
      <c r="G3485">
        <v>2.26</v>
      </c>
      <c r="H3485">
        <v>21674</v>
      </c>
      <c r="I3485">
        <v>1.53</v>
      </c>
      <c r="J3485">
        <v>24.48</v>
      </c>
      <c r="K3485" t="s">
        <v>148</v>
      </c>
    </row>
    <row r="3486" spans="1:11">
      <c r="A3486" t="str">
        <f>"600787"</f>
        <v>600787</v>
      </c>
      <c r="B3486" t="s">
        <v>3836</v>
      </c>
      <c r="C3486">
        <v>123.91</v>
      </c>
      <c r="D3486">
        <v>241.04</v>
      </c>
      <c r="E3486">
        <v>139.05</v>
      </c>
      <c r="F3486">
        <v>21.7</v>
      </c>
      <c r="G3486">
        <v>21.7</v>
      </c>
      <c r="H3486">
        <v>90196</v>
      </c>
      <c r="I3486">
        <v>0.89</v>
      </c>
      <c r="J3486">
        <v>20.91</v>
      </c>
      <c r="K3486" t="s">
        <v>1277</v>
      </c>
    </row>
    <row r="3487" spans="1:11">
      <c r="A3487" t="str">
        <f>"600789"</f>
        <v>600789</v>
      </c>
      <c r="B3487" t="s">
        <v>3837</v>
      </c>
      <c r="C3487">
        <v>83.76</v>
      </c>
      <c r="D3487">
        <v>88.16</v>
      </c>
      <c r="E3487">
        <v>39.57</v>
      </c>
      <c r="F3487">
        <v>10.45</v>
      </c>
      <c r="G3487">
        <v>8.99</v>
      </c>
      <c r="H3487">
        <v>113538</v>
      </c>
      <c r="I3487">
        <v>2.12</v>
      </c>
      <c r="J3487">
        <v>51.74</v>
      </c>
      <c r="K3487" t="s">
        <v>109</v>
      </c>
    </row>
    <row r="3488" spans="1:11">
      <c r="A3488" t="str">
        <f>"600790"</f>
        <v>600790</v>
      </c>
      <c r="B3488" t="s">
        <v>3838</v>
      </c>
      <c r="C3488">
        <v>59.07</v>
      </c>
      <c r="D3488">
        <v>129.42</v>
      </c>
      <c r="E3488">
        <v>57.93</v>
      </c>
      <c r="F3488">
        <v>14.66</v>
      </c>
      <c r="G3488">
        <v>14.66</v>
      </c>
      <c r="H3488">
        <v>24771</v>
      </c>
      <c r="I3488">
        <v>1.02</v>
      </c>
      <c r="J3488">
        <v>27.1</v>
      </c>
      <c r="K3488" t="s">
        <v>20</v>
      </c>
    </row>
    <row r="3489" spans="1:11">
      <c r="A3489" t="str">
        <f>"600791"</f>
        <v>600791</v>
      </c>
      <c r="B3489" t="s">
        <v>3839</v>
      </c>
      <c r="C3489">
        <v>22.12</v>
      </c>
      <c r="D3489">
        <v>177.04</v>
      </c>
      <c r="E3489">
        <v>23.95</v>
      </c>
      <c r="F3489">
        <v>4.53</v>
      </c>
      <c r="G3489">
        <v>4.52</v>
      </c>
      <c r="H3489">
        <v>15754</v>
      </c>
      <c r="I3489">
        <v>5.61</v>
      </c>
      <c r="J3489" t="s">
        <v>14</v>
      </c>
      <c r="K3489" t="s">
        <v>15</v>
      </c>
    </row>
    <row r="3490" spans="1:11">
      <c r="A3490" t="str">
        <f>"600792"</f>
        <v>600792</v>
      </c>
      <c r="B3490" t="s">
        <v>3840</v>
      </c>
      <c r="C3490">
        <v>44.73</v>
      </c>
      <c r="D3490">
        <v>85.89</v>
      </c>
      <c r="E3490">
        <v>28.43</v>
      </c>
      <c r="F3490">
        <v>11.1</v>
      </c>
      <c r="G3490">
        <v>11.1</v>
      </c>
      <c r="H3490">
        <v>40013</v>
      </c>
      <c r="I3490">
        <v>1.57</v>
      </c>
      <c r="J3490" t="s">
        <v>14</v>
      </c>
      <c r="K3490" t="s">
        <v>388</v>
      </c>
    </row>
    <row r="3491" spans="1:11">
      <c r="A3491" t="str">
        <f>"600793"</f>
        <v>600793</v>
      </c>
      <c r="B3491" t="s">
        <v>3841</v>
      </c>
      <c r="C3491">
        <v>36.67</v>
      </c>
      <c r="D3491">
        <v>33.55</v>
      </c>
      <c r="E3491">
        <v>2.38</v>
      </c>
      <c r="F3491">
        <v>1.77</v>
      </c>
      <c r="G3491">
        <v>1.77</v>
      </c>
      <c r="H3491">
        <v>26100</v>
      </c>
      <c r="I3491">
        <v>15.41</v>
      </c>
      <c r="J3491">
        <v>182.31</v>
      </c>
      <c r="K3491" t="s">
        <v>765</v>
      </c>
    </row>
    <row r="3492" spans="1:11">
      <c r="A3492" t="str">
        <f>"600794"</f>
        <v>600794</v>
      </c>
      <c r="B3492" t="s">
        <v>3842</v>
      </c>
      <c r="C3492">
        <v>47.53</v>
      </c>
      <c r="D3492">
        <v>31.51</v>
      </c>
      <c r="E3492">
        <v>26.27</v>
      </c>
      <c r="F3492">
        <v>12</v>
      </c>
      <c r="G3492">
        <v>12</v>
      </c>
      <c r="H3492">
        <v>76175</v>
      </c>
      <c r="I3492">
        <v>1.81</v>
      </c>
      <c r="J3492">
        <v>60.81</v>
      </c>
      <c r="K3492" t="s">
        <v>1277</v>
      </c>
    </row>
    <row r="3493" spans="1:11">
      <c r="A3493" t="str">
        <f>"600795"</f>
        <v>600795</v>
      </c>
      <c r="B3493" t="s">
        <v>3843</v>
      </c>
      <c r="C3493">
        <v>868.59</v>
      </c>
      <c r="D3493">
        <v>5178.28</v>
      </c>
      <c r="E3493">
        <v>612.18</v>
      </c>
      <c r="F3493">
        <v>178.36</v>
      </c>
      <c r="G3493">
        <v>178.36</v>
      </c>
      <c r="H3493">
        <v>330112</v>
      </c>
      <c r="I3493">
        <v>1.42</v>
      </c>
      <c r="J3493">
        <v>9.61</v>
      </c>
      <c r="K3493" t="s">
        <v>46</v>
      </c>
    </row>
    <row r="3494" spans="1:11">
      <c r="A3494" t="str">
        <f>"600796"</f>
        <v>600796</v>
      </c>
      <c r="B3494" t="s">
        <v>3844</v>
      </c>
      <c r="C3494">
        <v>19.12</v>
      </c>
      <c r="D3494">
        <v>73.65</v>
      </c>
      <c r="E3494">
        <v>34.24</v>
      </c>
      <c r="F3494">
        <v>8.67</v>
      </c>
      <c r="G3494">
        <v>3.11</v>
      </c>
      <c r="H3494">
        <v>25803</v>
      </c>
      <c r="I3494">
        <v>1.55</v>
      </c>
      <c r="J3494">
        <v>26.36</v>
      </c>
      <c r="K3494" t="s">
        <v>90</v>
      </c>
    </row>
    <row r="3495" spans="1:11">
      <c r="A3495" t="str">
        <f>"600797"</f>
        <v>600797</v>
      </c>
      <c r="B3495" t="s">
        <v>3845</v>
      </c>
      <c r="C3495">
        <v>119.5</v>
      </c>
      <c r="D3495">
        <v>60.21</v>
      </c>
      <c r="E3495">
        <v>34.91</v>
      </c>
      <c r="F3495">
        <v>10.28</v>
      </c>
      <c r="G3495">
        <v>10.28</v>
      </c>
      <c r="H3495">
        <v>211691</v>
      </c>
      <c r="I3495">
        <v>3.42</v>
      </c>
      <c r="J3495">
        <v>287.32</v>
      </c>
      <c r="K3495" t="s">
        <v>117</v>
      </c>
    </row>
    <row r="3496" spans="1:11">
      <c r="A3496" t="str">
        <f>"600798"</f>
        <v>600798</v>
      </c>
      <c r="B3496" t="s">
        <v>3846</v>
      </c>
      <c r="C3496">
        <v>44.28</v>
      </c>
      <c r="D3496">
        <v>69.02</v>
      </c>
      <c r="E3496">
        <v>39.03</v>
      </c>
      <c r="F3496">
        <v>12.07</v>
      </c>
      <c r="G3496">
        <v>12.07</v>
      </c>
      <c r="H3496">
        <v>93869</v>
      </c>
      <c r="I3496">
        <v>1.13</v>
      </c>
      <c r="J3496" t="s">
        <v>14</v>
      </c>
      <c r="K3496" t="s">
        <v>188</v>
      </c>
    </row>
    <row r="3497" spans="1:11">
      <c r="A3497" t="str">
        <f>"600800"</f>
        <v>600800</v>
      </c>
      <c r="B3497" t="s">
        <v>3847</v>
      </c>
      <c r="C3497">
        <v>44.28</v>
      </c>
      <c r="D3497">
        <v>39.41</v>
      </c>
      <c r="E3497">
        <v>11.88</v>
      </c>
      <c r="F3497">
        <v>11.1</v>
      </c>
      <c r="G3497">
        <v>11.1</v>
      </c>
      <c r="H3497">
        <v>43789</v>
      </c>
      <c r="I3497">
        <v>3.73</v>
      </c>
      <c r="J3497" t="s">
        <v>14</v>
      </c>
      <c r="K3497" t="s">
        <v>1201</v>
      </c>
    </row>
    <row r="3498" spans="1:11">
      <c r="A3498" t="str">
        <f>"600801"</f>
        <v>600801</v>
      </c>
      <c r="B3498" t="s">
        <v>3848</v>
      </c>
      <c r="C3498">
        <v>317.45</v>
      </c>
      <c r="D3498">
        <v>785.3</v>
      </c>
      <c r="E3498">
        <v>315.75</v>
      </c>
      <c r="F3498">
        <v>20.79</v>
      </c>
      <c r="G3498">
        <v>13.42</v>
      </c>
      <c r="H3498">
        <v>42552</v>
      </c>
      <c r="I3498">
        <v>1.56</v>
      </c>
      <c r="J3498">
        <v>18.41</v>
      </c>
      <c r="K3498" t="s">
        <v>129</v>
      </c>
    </row>
    <row r="3499" spans="1:11">
      <c r="A3499" t="str">
        <f>"600802"</f>
        <v>600802</v>
      </c>
      <c r="B3499" t="s">
        <v>3849</v>
      </c>
      <c r="C3499">
        <v>29.1</v>
      </c>
      <c r="D3499">
        <v>36.21</v>
      </c>
      <c r="E3499">
        <v>11.07</v>
      </c>
      <c r="F3499">
        <v>4.58</v>
      </c>
      <c r="G3499">
        <v>4.58</v>
      </c>
      <c r="H3499">
        <v>33261</v>
      </c>
      <c r="I3499">
        <v>2.63</v>
      </c>
      <c r="J3499" t="s">
        <v>14</v>
      </c>
      <c r="K3499" t="s">
        <v>129</v>
      </c>
    </row>
    <row r="3500" spans="1:11">
      <c r="A3500" t="str">
        <f>"600803"</f>
        <v>600803</v>
      </c>
      <c r="B3500" t="s">
        <v>3850</v>
      </c>
      <c r="C3500">
        <v>611.27</v>
      </c>
      <c r="D3500">
        <v>1366.43</v>
      </c>
      <c r="E3500">
        <v>237.32</v>
      </c>
      <c r="F3500">
        <v>30.97</v>
      </c>
      <c r="G3500">
        <v>30.72</v>
      </c>
      <c r="H3500">
        <v>26193</v>
      </c>
      <c r="I3500">
        <v>2.6</v>
      </c>
      <c r="J3500">
        <v>13.49</v>
      </c>
      <c r="K3500" t="s">
        <v>136</v>
      </c>
    </row>
    <row r="3501" spans="1:11">
      <c r="A3501" t="str">
        <f>"600805"</f>
        <v>600805</v>
      </c>
      <c r="B3501" t="s">
        <v>3851</v>
      </c>
      <c r="C3501">
        <v>48.64</v>
      </c>
      <c r="D3501">
        <v>101.9</v>
      </c>
      <c r="E3501">
        <v>43.15</v>
      </c>
      <c r="F3501">
        <v>8.51</v>
      </c>
      <c r="G3501">
        <v>8.5</v>
      </c>
      <c r="H3501">
        <v>40400</v>
      </c>
      <c r="I3501">
        <v>1.13</v>
      </c>
      <c r="J3501">
        <v>48.32</v>
      </c>
      <c r="K3501" t="s">
        <v>43</v>
      </c>
    </row>
    <row r="3502" spans="1:11">
      <c r="A3502" t="str">
        <f>"600807"</f>
        <v>600807</v>
      </c>
      <c r="B3502" t="s">
        <v>3852</v>
      </c>
      <c r="C3502">
        <v>27.31</v>
      </c>
      <c r="D3502">
        <v>24.8</v>
      </c>
      <c r="E3502">
        <v>0.44</v>
      </c>
      <c r="F3502">
        <v>8.85</v>
      </c>
      <c r="G3502">
        <v>7.87</v>
      </c>
      <c r="H3502">
        <v>43818</v>
      </c>
      <c r="I3502">
        <v>69.4</v>
      </c>
      <c r="J3502" t="s">
        <v>14</v>
      </c>
      <c r="K3502" t="s">
        <v>775</v>
      </c>
    </row>
    <row r="3503" spans="1:11">
      <c r="A3503" t="str">
        <f>"600808"</f>
        <v>600808</v>
      </c>
      <c r="B3503" t="s">
        <v>3853</v>
      </c>
      <c r="C3503">
        <v>242.89</v>
      </c>
      <c r="D3503">
        <v>832</v>
      </c>
      <c r="E3503">
        <v>240.57</v>
      </c>
      <c r="F3503">
        <v>77.01</v>
      </c>
      <c r="G3503">
        <v>59.68</v>
      </c>
      <c r="H3503">
        <v>131371</v>
      </c>
      <c r="I3503">
        <v>1.3</v>
      </c>
      <c r="J3503">
        <v>281.08</v>
      </c>
      <c r="K3503" t="s">
        <v>366</v>
      </c>
    </row>
    <row r="3504" spans="1:11">
      <c r="A3504" t="str">
        <f>"600809"</f>
        <v>600809</v>
      </c>
      <c r="B3504" t="s">
        <v>3854</v>
      </c>
      <c r="C3504">
        <v>2140.79</v>
      </c>
      <c r="D3504">
        <v>545.51</v>
      </c>
      <c r="E3504">
        <v>387.8</v>
      </c>
      <c r="F3504">
        <v>12.2</v>
      </c>
      <c r="G3504">
        <v>12.2</v>
      </c>
      <c r="H3504">
        <v>79985</v>
      </c>
      <c r="I3504">
        <v>5.52</v>
      </c>
      <c r="J3504">
        <v>14.08</v>
      </c>
      <c r="K3504" t="s">
        <v>251</v>
      </c>
    </row>
    <row r="3505" spans="1:11">
      <c r="A3505" t="str">
        <f>"600810"</f>
        <v>600810</v>
      </c>
      <c r="B3505" t="s">
        <v>3855</v>
      </c>
      <c r="C3505">
        <v>101.33</v>
      </c>
      <c r="D3505">
        <v>295.16</v>
      </c>
      <c r="E3505">
        <v>80.27</v>
      </c>
      <c r="F3505">
        <v>11.11</v>
      </c>
      <c r="G3505">
        <v>11.01</v>
      </c>
      <c r="H3505">
        <v>54141</v>
      </c>
      <c r="I3505">
        <v>1.39</v>
      </c>
      <c r="J3505" t="s">
        <v>14</v>
      </c>
      <c r="K3505" t="s">
        <v>430</v>
      </c>
    </row>
    <row r="3506" spans="1:11">
      <c r="A3506" t="str">
        <f>"600812"</f>
        <v>600812</v>
      </c>
      <c r="B3506" t="s">
        <v>3856</v>
      </c>
      <c r="C3506">
        <v>97.11</v>
      </c>
      <c r="D3506">
        <v>215.37</v>
      </c>
      <c r="E3506">
        <v>55.05</v>
      </c>
      <c r="F3506">
        <v>17.16</v>
      </c>
      <c r="G3506">
        <v>17.16</v>
      </c>
      <c r="H3506">
        <v>88011</v>
      </c>
      <c r="I3506">
        <v>1.76</v>
      </c>
      <c r="J3506">
        <v>45.95</v>
      </c>
      <c r="K3506" t="s">
        <v>109</v>
      </c>
    </row>
    <row r="3507" spans="1:11">
      <c r="A3507" t="str">
        <f>"600814"</f>
        <v>600814</v>
      </c>
      <c r="B3507" t="s">
        <v>3857</v>
      </c>
      <c r="C3507">
        <v>61.38</v>
      </c>
      <c r="D3507">
        <v>84.95</v>
      </c>
      <c r="E3507">
        <v>37.3</v>
      </c>
      <c r="F3507">
        <v>7.35</v>
      </c>
      <c r="G3507">
        <v>7.35</v>
      </c>
      <c r="H3507">
        <v>29010</v>
      </c>
      <c r="I3507">
        <v>1.65</v>
      </c>
      <c r="J3507">
        <v>24.45</v>
      </c>
      <c r="K3507" t="s">
        <v>146</v>
      </c>
    </row>
    <row r="3508" spans="1:11">
      <c r="A3508" t="str">
        <f>"600815"</f>
        <v>600815</v>
      </c>
      <c r="B3508" t="s">
        <v>3858</v>
      </c>
      <c r="C3508">
        <v>58.19</v>
      </c>
      <c r="D3508">
        <v>22.56</v>
      </c>
      <c r="E3508">
        <v>15.18</v>
      </c>
      <c r="F3508">
        <v>17.74</v>
      </c>
      <c r="G3508">
        <v>17.74</v>
      </c>
      <c r="H3508">
        <v>49621</v>
      </c>
      <c r="I3508">
        <v>3.84</v>
      </c>
      <c r="J3508" t="s">
        <v>14</v>
      </c>
      <c r="K3508" t="s">
        <v>115</v>
      </c>
    </row>
    <row r="3509" spans="1:11">
      <c r="A3509" t="str">
        <f>"600816"</f>
        <v>600816</v>
      </c>
      <c r="B3509" t="s">
        <v>3859</v>
      </c>
      <c r="C3509">
        <v>165.71</v>
      </c>
      <c r="D3509">
        <v>226.82</v>
      </c>
      <c r="E3509">
        <v>138.8</v>
      </c>
      <c r="F3509">
        <v>98.44</v>
      </c>
      <c r="G3509">
        <v>54.69</v>
      </c>
      <c r="H3509">
        <v>94744</v>
      </c>
      <c r="I3509">
        <v>2.15</v>
      </c>
      <c r="J3509">
        <v>433.84</v>
      </c>
      <c r="K3509" t="s">
        <v>243</v>
      </c>
    </row>
    <row r="3510" spans="1:11">
      <c r="A3510" t="str">
        <f>"600817"</f>
        <v>600817</v>
      </c>
      <c r="B3510" t="s">
        <v>3860</v>
      </c>
      <c r="C3510">
        <v>60.44</v>
      </c>
      <c r="D3510">
        <v>40.53</v>
      </c>
      <c r="E3510">
        <v>24.3</v>
      </c>
      <c r="F3510">
        <v>5.33</v>
      </c>
      <c r="G3510">
        <v>5.29</v>
      </c>
      <c r="H3510">
        <v>17653</v>
      </c>
      <c r="I3510">
        <v>2.51</v>
      </c>
      <c r="J3510">
        <v>24.4</v>
      </c>
      <c r="K3510" t="s">
        <v>228</v>
      </c>
    </row>
    <row r="3511" spans="1:11">
      <c r="A3511" t="str">
        <f>"600818"</f>
        <v>600818</v>
      </c>
      <c r="B3511" t="s">
        <v>3861</v>
      </c>
      <c r="C3511">
        <v>23.96</v>
      </c>
      <c r="D3511">
        <v>10.53</v>
      </c>
      <c r="E3511">
        <v>5.59</v>
      </c>
      <c r="F3511">
        <v>3.21</v>
      </c>
      <c r="G3511">
        <v>2.38</v>
      </c>
      <c r="H3511">
        <v>39240</v>
      </c>
      <c r="I3511">
        <v>5.79</v>
      </c>
      <c r="J3511" t="s">
        <v>14</v>
      </c>
      <c r="K3511" t="s">
        <v>870</v>
      </c>
    </row>
    <row r="3512" spans="1:11">
      <c r="A3512" t="str">
        <f>"600819"</f>
        <v>600819</v>
      </c>
      <c r="B3512" t="s">
        <v>3862</v>
      </c>
      <c r="C3512">
        <v>62.41</v>
      </c>
      <c r="D3512">
        <v>84.59</v>
      </c>
      <c r="E3512">
        <v>35.43</v>
      </c>
      <c r="F3512">
        <v>9.35</v>
      </c>
      <c r="G3512">
        <v>7.47</v>
      </c>
      <c r="H3512">
        <v>51040</v>
      </c>
      <c r="I3512">
        <v>2.2</v>
      </c>
      <c r="J3512">
        <v>47.27</v>
      </c>
      <c r="K3512" t="s">
        <v>30</v>
      </c>
    </row>
    <row r="3513" spans="1:11">
      <c r="A3513" t="str">
        <f>"600820"</f>
        <v>600820</v>
      </c>
      <c r="B3513" t="s">
        <v>3863</v>
      </c>
      <c r="C3513">
        <v>208.45</v>
      </c>
      <c r="D3513">
        <v>1719.03</v>
      </c>
      <c r="E3513">
        <v>391.23</v>
      </c>
      <c r="F3513">
        <v>31.44</v>
      </c>
      <c r="G3513">
        <v>31.44</v>
      </c>
      <c r="H3513">
        <v>129688</v>
      </c>
      <c r="I3513">
        <v>0.67</v>
      </c>
      <c r="J3513">
        <v>12.93</v>
      </c>
      <c r="K3513" t="s">
        <v>100</v>
      </c>
    </row>
    <row r="3514" spans="1:11">
      <c r="A3514" t="str">
        <f>"600821"</f>
        <v>600821</v>
      </c>
      <c r="B3514" t="s">
        <v>3864</v>
      </c>
      <c r="C3514">
        <v>106.45</v>
      </c>
      <c r="D3514">
        <v>406.09</v>
      </c>
      <c r="E3514">
        <v>96.66</v>
      </c>
      <c r="F3514">
        <v>19.97</v>
      </c>
      <c r="G3514">
        <v>19.97</v>
      </c>
      <c r="H3514">
        <v>62831</v>
      </c>
      <c r="I3514">
        <v>1.1</v>
      </c>
      <c r="J3514">
        <v>14.22</v>
      </c>
      <c r="K3514" t="s">
        <v>266</v>
      </c>
    </row>
    <row r="3515" spans="1:11">
      <c r="A3515" t="str">
        <f>"600822"</f>
        <v>600822</v>
      </c>
      <c r="B3515" t="s">
        <v>3865</v>
      </c>
      <c r="C3515">
        <v>44.76</v>
      </c>
      <c r="D3515">
        <v>17.92</v>
      </c>
      <c r="E3515">
        <v>12.25</v>
      </c>
      <c r="F3515">
        <v>4.96</v>
      </c>
      <c r="G3515">
        <v>3.96</v>
      </c>
      <c r="H3515">
        <v>50109</v>
      </c>
      <c r="I3515">
        <v>4.57</v>
      </c>
      <c r="J3515">
        <v>213.06</v>
      </c>
      <c r="K3515" t="s">
        <v>3480</v>
      </c>
    </row>
    <row r="3516" spans="1:11">
      <c r="A3516" t="str">
        <f>"600824"</f>
        <v>600824</v>
      </c>
      <c r="B3516" t="s">
        <v>3866</v>
      </c>
      <c r="C3516">
        <v>49.96</v>
      </c>
      <c r="D3516">
        <v>28.28</v>
      </c>
      <c r="E3516">
        <v>24.12</v>
      </c>
      <c r="F3516">
        <v>10.54</v>
      </c>
      <c r="G3516">
        <v>10.54</v>
      </c>
      <c r="H3516">
        <v>58035</v>
      </c>
      <c r="I3516">
        <v>2.07</v>
      </c>
      <c r="J3516">
        <v>195.01</v>
      </c>
      <c r="K3516" t="s">
        <v>148</v>
      </c>
    </row>
    <row r="3517" spans="1:11">
      <c r="A3517" t="str">
        <f>"600825"</f>
        <v>600825</v>
      </c>
      <c r="B3517" t="s">
        <v>3867</v>
      </c>
      <c r="C3517">
        <v>77.64</v>
      </c>
      <c r="D3517">
        <v>38.75</v>
      </c>
      <c r="E3517">
        <v>24.51</v>
      </c>
      <c r="F3517">
        <v>10.45</v>
      </c>
      <c r="G3517">
        <v>10.45</v>
      </c>
      <c r="H3517">
        <v>49744</v>
      </c>
      <c r="I3517">
        <v>3.17</v>
      </c>
      <c r="J3517">
        <v>462.09</v>
      </c>
      <c r="K3517" t="s">
        <v>381</v>
      </c>
    </row>
    <row r="3518" spans="1:11">
      <c r="A3518" t="str">
        <f>"600826"</f>
        <v>600826</v>
      </c>
      <c r="B3518" t="s">
        <v>3868</v>
      </c>
      <c r="C3518">
        <v>88.93</v>
      </c>
      <c r="D3518">
        <v>59.74</v>
      </c>
      <c r="E3518">
        <v>42.93</v>
      </c>
      <c r="F3518">
        <v>7.36</v>
      </c>
      <c r="G3518">
        <v>7.36</v>
      </c>
      <c r="H3518">
        <v>41910</v>
      </c>
      <c r="I3518">
        <v>2.07</v>
      </c>
      <c r="J3518">
        <v>36.82</v>
      </c>
      <c r="K3518" t="s">
        <v>2569</v>
      </c>
    </row>
    <row r="3519" spans="1:11">
      <c r="A3519" t="str">
        <f>"600827"</f>
        <v>600827</v>
      </c>
      <c r="B3519" t="s">
        <v>3869</v>
      </c>
      <c r="C3519">
        <v>147.93</v>
      </c>
      <c r="D3519">
        <v>548.97</v>
      </c>
      <c r="E3519">
        <v>198.33</v>
      </c>
      <c r="F3519">
        <v>17.84</v>
      </c>
      <c r="G3519">
        <v>16.04</v>
      </c>
      <c r="H3519">
        <v>78043</v>
      </c>
      <c r="I3519">
        <v>0.83</v>
      </c>
      <c r="J3519">
        <v>41.81</v>
      </c>
      <c r="K3519" t="s">
        <v>148</v>
      </c>
    </row>
    <row r="3520" spans="1:11">
      <c r="A3520" t="str">
        <f>"600828"</f>
        <v>600828</v>
      </c>
      <c r="B3520" t="s">
        <v>3870</v>
      </c>
      <c r="C3520">
        <v>133.49</v>
      </c>
      <c r="D3520">
        <v>180.9</v>
      </c>
      <c r="E3520">
        <v>70.3</v>
      </c>
      <c r="F3520">
        <v>17.32</v>
      </c>
      <c r="G3520">
        <v>17.31</v>
      </c>
      <c r="H3520">
        <v>30264</v>
      </c>
      <c r="I3520">
        <v>1.9</v>
      </c>
      <c r="J3520">
        <v>239.99</v>
      </c>
      <c r="K3520" t="s">
        <v>146</v>
      </c>
    </row>
    <row r="3521" spans="1:11">
      <c r="A3521" t="str">
        <f>"600829"</f>
        <v>600829</v>
      </c>
      <c r="B3521" t="s">
        <v>3871</v>
      </c>
      <c r="C3521">
        <v>68.95</v>
      </c>
      <c r="D3521">
        <v>70.22</v>
      </c>
      <c r="E3521">
        <v>29.93</v>
      </c>
      <c r="F3521">
        <v>5.8</v>
      </c>
      <c r="G3521">
        <v>5.8</v>
      </c>
      <c r="H3521">
        <v>27745</v>
      </c>
      <c r="I3521">
        <v>2.3</v>
      </c>
      <c r="J3521">
        <v>46.22</v>
      </c>
      <c r="K3521" t="s">
        <v>48</v>
      </c>
    </row>
    <row r="3522" spans="1:11">
      <c r="A3522" t="str">
        <f>"600830"</f>
        <v>600830</v>
      </c>
      <c r="B3522" t="s">
        <v>3872</v>
      </c>
      <c r="C3522">
        <v>44.61</v>
      </c>
      <c r="D3522">
        <v>64.05</v>
      </c>
      <c r="E3522">
        <v>22.32</v>
      </c>
      <c r="F3522">
        <v>4.54</v>
      </c>
      <c r="G3522">
        <v>4.54</v>
      </c>
      <c r="H3522">
        <v>30700</v>
      </c>
      <c r="I3522">
        <v>2</v>
      </c>
      <c r="J3522">
        <v>46.62</v>
      </c>
      <c r="K3522" t="s">
        <v>144</v>
      </c>
    </row>
    <row r="3523" spans="1:11">
      <c r="A3523" t="str">
        <f>"600831"</f>
        <v>600831</v>
      </c>
      <c r="B3523" t="s">
        <v>3873</v>
      </c>
      <c r="C3523">
        <v>32.7</v>
      </c>
      <c r="D3523">
        <v>104.34</v>
      </c>
      <c r="E3523">
        <v>14.7</v>
      </c>
      <c r="F3523">
        <v>7.11</v>
      </c>
      <c r="G3523">
        <v>7.11</v>
      </c>
      <c r="H3523">
        <v>34784</v>
      </c>
      <c r="I3523">
        <v>2.23</v>
      </c>
      <c r="J3523" t="s">
        <v>14</v>
      </c>
      <c r="K3523" t="s">
        <v>113</v>
      </c>
    </row>
    <row r="3524" spans="1:11">
      <c r="A3524" t="str">
        <f>"600833"</f>
        <v>600833</v>
      </c>
      <c r="B3524" t="s">
        <v>3874</v>
      </c>
      <c r="C3524">
        <v>30.01</v>
      </c>
      <c r="D3524">
        <v>20.31</v>
      </c>
      <c r="E3524">
        <v>11.61</v>
      </c>
      <c r="F3524">
        <v>2.23</v>
      </c>
      <c r="G3524">
        <v>2.23</v>
      </c>
      <c r="H3524">
        <v>25293</v>
      </c>
      <c r="I3524">
        <v>2.59</v>
      </c>
      <c r="J3524">
        <v>42.25</v>
      </c>
      <c r="K3524" t="s">
        <v>1507</v>
      </c>
    </row>
    <row r="3525" spans="1:11">
      <c r="A3525" t="str">
        <f>"600834"</f>
        <v>600834</v>
      </c>
      <c r="B3525" t="s">
        <v>3875</v>
      </c>
      <c r="C3525">
        <v>41.53</v>
      </c>
      <c r="D3525">
        <v>20.82</v>
      </c>
      <c r="E3525">
        <v>17.15</v>
      </c>
      <c r="F3525">
        <v>4.77</v>
      </c>
      <c r="G3525">
        <v>4.77</v>
      </c>
      <c r="H3525">
        <v>33975</v>
      </c>
      <c r="I3525">
        <v>2.42</v>
      </c>
      <c r="J3525">
        <v>87.91</v>
      </c>
      <c r="K3525" t="s">
        <v>1145</v>
      </c>
    </row>
    <row r="3526" spans="1:11">
      <c r="A3526" t="str">
        <f>"600835"</f>
        <v>600835</v>
      </c>
      <c r="B3526" t="s">
        <v>3876</v>
      </c>
      <c r="C3526">
        <v>242.92</v>
      </c>
      <c r="D3526">
        <v>346.44</v>
      </c>
      <c r="E3526">
        <v>139.94</v>
      </c>
      <c r="F3526">
        <v>10.23</v>
      </c>
      <c r="G3526">
        <v>8.07</v>
      </c>
      <c r="H3526">
        <v>82639</v>
      </c>
      <c r="I3526">
        <v>2.2</v>
      </c>
      <c r="J3526">
        <v>32.78</v>
      </c>
      <c r="K3526" t="s">
        <v>1155</v>
      </c>
    </row>
    <row r="3527" spans="1:11">
      <c r="A3527" t="str">
        <f>"600838"</f>
        <v>600838</v>
      </c>
      <c r="B3527" t="s">
        <v>3877</v>
      </c>
      <c r="C3527">
        <v>53.12</v>
      </c>
      <c r="D3527">
        <v>17.01</v>
      </c>
      <c r="E3527">
        <v>15.76</v>
      </c>
      <c r="F3527">
        <v>4.01</v>
      </c>
      <c r="G3527">
        <v>4.01</v>
      </c>
      <c r="H3527">
        <v>33280</v>
      </c>
      <c r="I3527">
        <v>3.37</v>
      </c>
      <c r="J3527">
        <v>140.15</v>
      </c>
      <c r="K3527" t="s">
        <v>148</v>
      </c>
    </row>
    <row r="3528" spans="1:11">
      <c r="A3528" t="str">
        <f>"600839"</f>
        <v>600839</v>
      </c>
      <c r="B3528" t="s">
        <v>3878</v>
      </c>
      <c r="C3528">
        <v>470.26</v>
      </c>
      <c r="D3528">
        <v>989.87</v>
      </c>
      <c r="E3528">
        <v>154.63</v>
      </c>
      <c r="F3528">
        <v>46.16</v>
      </c>
      <c r="G3528">
        <v>46.15</v>
      </c>
      <c r="H3528">
        <v>703728</v>
      </c>
      <c r="I3528">
        <v>3.04</v>
      </c>
      <c r="J3528">
        <v>35.01</v>
      </c>
      <c r="K3528" t="s">
        <v>33</v>
      </c>
    </row>
    <row r="3529" spans="1:11">
      <c r="A3529" t="str">
        <f>"600841"</f>
        <v>600841</v>
      </c>
      <c r="B3529" t="s">
        <v>3879</v>
      </c>
      <c r="C3529">
        <v>65.4</v>
      </c>
      <c r="D3529">
        <v>133.03</v>
      </c>
      <c r="E3529">
        <v>31.63</v>
      </c>
      <c r="F3529">
        <v>13.88</v>
      </c>
      <c r="G3529">
        <v>10.43</v>
      </c>
      <c r="H3529">
        <v>61410</v>
      </c>
      <c r="I3529">
        <v>2.75</v>
      </c>
      <c r="J3529" t="s">
        <v>14</v>
      </c>
      <c r="K3529" t="s">
        <v>51</v>
      </c>
    </row>
    <row r="3530" spans="1:11">
      <c r="A3530" t="str">
        <f>"600843"</f>
        <v>600843</v>
      </c>
      <c r="B3530" t="s">
        <v>3880</v>
      </c>
      <c r="C3530">
        <v>56.87</v>
      </c>
      <c r="D3530">
        <v>69.13</v>
      </c>
      <c r="E3530">
        <v>30.44</v>
      </c>
      <c r="F3530">
        <v>7.13</v>
      </c>
      <c r="G3530">
        <v>4.69</v>
      </c>
      <c r="H3530">
        <v>108620</v>
      </c>
      <c r="I3530">
        <v>2.84</v>
      </c>
      <c r="J3530">
        <v>863.57</v>
      </c>
      <c r="K3530" t="s">
        <v>758</v>
      </c>
    </row>
    <row r="3531" spans="1:11">
      <c r="A3531" t="str">
        <f>"600844"</f>
        <v>600844</v>
      </c>
      <c r="B3531" t="s">
        <v>3881</v>
      </c>
      <c r="C3531">
        <v>24.19</v>
      </c>
      <c r="D3531">
        <v>13.1</v>
      </c>
      <c r="E3531">
        <v>1.4</v>
      </c>
      <c r="F3531">
        <v>10.17</v>
      </c>
      <c r="G3531">
        <v>8.23</v>
      </c>
      <c r="H3531">
        <v>52662</v>
      </c>
      <c r="I3531">
        <v>21.46</v>
      </c>
      <c r="J3531" t="s">
        <v>14</v>
      </c>
      <c r="K3531" t="s">
        <v>479</v>
      </c>
    </row>
    <row r="3532" spans="1:11">
      <c r="A3532" t="str">
        <f>"600845"</f>
        <v>600845</v>
      </c>
      <c r="B3532" t="s">
        <v>3882</v>
      </c>
      <c r="C3532">
        <v>532.87</v>
      </c>
      <c r="D3532">
        <v>230.38</v>
      </c>
      <c r="E3532">
        <v>109.95</v>
      </c>
      <c r="F3532">
        <v>28.71</v>
      </c>
      <c r="G3532">
        <v>21.34</v>
      </c>
      <c r="H3532">
        <v>137489</v>
      </c>
      <c r="I3532">
        <v>6.52</v>
      </c>
      <c r="J3532">
        <v>48.97</v>
      </c>
      <c r="K3532" t="s">
        <v>117</v>
      </c>
    </row>
    <row r="3533" spans="1:11">
      <c r="A3533" t="str">
        <f>"600846"</f>
        <v>600846</v>
      </c>
      <c r="B3533" t="s">
        <v>3883</v>
      </c>
      <c r="C3533">
        <v>85.78</v>
      </c>
      <c r="D3533">
        <v>135.72</v>
      </c>
      <c r="E3533">
        <v>41.17</v>
      </c>
      <c r="F3533">
        <v>6.25</v>
      </c>
      <c r="G3533">
        <v>6.25</v>
      </c>
      <c r="H3533">
        <v>28306</v>
      </c>
      <c r="I3533">
        <v>2.08</v>
      </c>
      <c r="J3533">
        <v>39.07</v>
      </c>
      <c r="K3533" t="s">
        <v>428</v>
      </c>
    </row>
    <row r="3534" spans="1:11">
      <c r="A3534" t="str">
        <f>"600847"</f>
        <v>600847</v>
      </c>
      <c r="B3534" t="s">
        <v>3884</v>
      </c>
      <c r="C3534">
        <v>19.34</v>
      </c>
      <c r="D3534">
        <v>5.64</v>
      </c>
      <c r="E3534">
        <v>5.14</v>
      </c>
      <c r="F3534">
        <v>1.53</v>
      </c>
      <c r="G3534">
        <v>1.53</v>
      </c>
      <c r="H3534">
        <v>11599</v>
      </c>
      <c r="I3534">
        <v>3.76</v>
      </c>
      <c r="J3534" t="s">
        <v>14</v>
      </c>
      <c r="K3534" t="s">
        <v>1365</v>
      </c>
    </row>
    <row r="3535" spans="1:11">
      <c r="A3535" t="str">
        <f>"600848"</f>
        <v>600848</v>
      </c>
      <c r="B3535" t="s">
        <v>3885</v>
      </c>
      <c r="C3535">
        <v>289.66</v>
      </c>
      <c r="D3535">
        <v>865.22</v>
      </c>
      <c r="E3535">
        <v>195.71</v>
      </c>
      <c r="F3535">
        <v>25.22</v>
      </c>
      <c r="G3535">
        <v>23.94</v>
      </c>
      <c r="H3535">
        <v>63807</v>
      </c>
      <c r="I3535">
        <v>1.56</v>
      </c>
      <c r="J3535">
        <v>20.76</v>
      </c>
      <c r="K3535" t="s">
        <v>3274</v>
      </c>
    </row>
    <row r="3536" spans="1:11">
      <c r="A3536" t="str">
        <f>"600850"</f>
        <v>600850</v>
      </c>
      <c r="B3536" t="s">
        <v>3886</v>
      </c>
      <c r="C3536">
        <v>219.57</v>
      </c>
      <c r="D3536">
        <v>111.46</v>
      </c>
      <c r="E3536">
        <v>48.62</v>
      </c>
      <c r="F3536">
        <v>6.8</v>
      </c>
      <c r="G3536">
        <v>6.8</v>
      </c>
      <c r="H3536">
        <v>36287</v>
      </c>
      <c r="I3536">
        <v>4.52</v>
      </c>
      <c r="J3536">
        <v>64.62</v>
      </c>
      <c r="K3536" t="s">
        <v>57</v>
      </c>
    </row>
    <row r="3537" spans="1:11">
      <c r="A3537" t="str">
        <f>"600851"</f>
        <v>600851</v>
      </c>
      <c r="B3537" t="s">
        <v>3887</v>
      </c>
      <c r="C3537">
        <v>54.85</v>
      </c>
      <c r="D3537">
        <v>58.29</v>
      </c>
      <c r="E3537">
        <v>46.7</v>
      </c>
      <c r="F3537">
        <v>12.07</v>
      </c>
      <c r="G3537">
        <v>7.38</v>
      </c>
      <c r="H3537">
        <v>60040</v>
      </c>
      <c r="I3537">
        <v>1.92</v>
      </c>
      <c r="J3537">
        <v>46.72</v>
      </c>
      <c r="K3537" t="s">
        <v>109</v>
      </c>
    </row>
    <row r="3538" spans="1:11">
      <c r="A3538" t="str">
        <f>"600853"</f>
        <v>600853</v>
      </c>
      <c r="B3538" t="s">
        <v>3888</v>
      </c>
      <c r="C3538">
        <v>47.44</v>
      </c>
      <c r="D3538">
        <v>367.64</v>
      </c>
      <c r="E3538">
        <v>39.12</v>
      </c>
      <c r="F3538">
        <v>10.14</v>
      </c>
      <c r="G3538">
        <v>10.14</v>
      </c>
      <c r="H3538">
        <v>65255</v>
      </c>
      <c r="I3538">
        <v>1.17</v>
      </c>
      <c r="J3538">
        <v>13.86</v>
      </c>
      <c r="K3538" t="s">
        <v>100</v>
      </c>
    </row>
    <row r="3539" spans="1:11">
      <c r="A3539" t="str">
        <f>"600854"</f>
        <v>600854</v>
      </c>
      <c r="B3539" t="s">
        <v>3889</v>
      </c>
      <c r="C3539">
        <v>26.34</v>
      </c>
      <c r="D3539">
        <v>24.74</v>
      </c>
      <c r="E3539">
        <v>24.51</v>
      </c>
      <c r="F3539">
        <v>5.19</v>
      </c>
      <c r="G3539">
        <v>5.19</v>
      </c>
      <c r="H3539">
        <v>25024</v>
      </c>
      <c r="I3539">
        <v>1.07</v>
      </c>
      <c r="J3539">
        <v>16.44</v>
      </c>
      <c r="K3539" t="s">
        <v>124</v>
      </c>
    </row>
    <row r="3540" spans="1:11">
      <c r="A3540" t="str">
        <f>"600855"</f>
        <v>600855</v>
      </c>
      <c r="B3540" t="s">
        <v>3890</v>
      </c>
      <c r="C3540">
        <v>111.34</v>
      </c>
      <c r="D3540">
        <v>35.57</v>
      </c>
      <c r="E3540">
        <v>15.31</v>
      </c>
      <c r="F3540">
        <v>4.69</v>
      </c>
      <c r="G3540">
        <v>4.68</v>
      </c>
      <c r="H3540">
        <v>58636</v>
      </c>
      <c r="I3540">
        <v>7.29</v>
      </c>
      <c r="J3540" t="s">
        <v>14</v>
      </c>
      <c r="K3540" t="s">
        <v>223</v>
      </c>
    </row>
    <row r="3541" spans="1:11">
      <c r="A3541" t="str">
        <f>"600857"</f>
        <v>600857</v>
      </c>
      <c r="B3541" t="s">
        <v>3891</v>
      </c>
      <c r="C3541">
        <v>31.29</v>
      </c>
      <c r="D3541">
        <v>9.79</v>
      </c>
      <c r="E3541">
        <v>8.91</v>
      </c>
      <c r="F3541">
        <v>2.24</v>
      </c>
      <c r="G3541">
        <v>2.24</v>
      </c>
      <c r="H3541">
        <v>14900</v>
      </c>
      <c r="I3541">
        <v>3.51</v>
      </c>
      <c r="J3541">
        <v>51.01</v>
      </c>
      <c r="K3541" t="s">
        <v>146</v>
      </c>
    </row>
    <row r="3542" spans="1:11">
      <c r="A3542" t="str">
        <f>"600858"</f>
        <v>600858</v>
      </c>
      <c r="B3542" t="s">
        <v>3892</v>
      </c>
      <c r="C3542">
        <v>35.45</v>
      </c>
      <c r="D3542">
        <v>115.05</v>
      </c>
      <c r="E3542">
        <v>27.15</v>
      </c>
      <c r="F3542">
        <v>5.2</v>
      </c>
      <c r="G3542">
        <v>5.18</v>
      </c>
      <c r="H3542">
        <v>24754</v>
      </c>
      <c r="I3542">
        <v>1.31</v>
      </c>
      <c r="J3542">
        <v>30.32</v>
      </c>
      <c r="K3542" t="s">
        <v>148</v>
      </c>
    </row>
    <row r="3543" spans="1:11">
      <c r="A3543" t="str">
        <f>"600859"</f>
        <v>600859</v>
      </c>
      <c r="B3543" t="s">
        <v>3893</v>
      </c>
      <c r="C3543">
        <v>174.98</v>
      </c>
      <c r="D3543">
        <v>399.32</v>
      </c>
      <c r="E3543">
        <v>196.11</v>
      </c>
      <c r="F3543">
        <v>11.24</v>
      </c>
      <c r="G3543">
        <v>11.24</v>
      </c>
      <c r="H3543">
        <v>101271</v>
      </c>
      <c r="I3543">
        <v>0.89</v>
      </c>
      <c r="J3543">
        <v>106.13</v>
      </c>
      <c r="K3543" t="s">
        <v>146</v>
      </c>
    </row>
    <row r="3544" spans="1:11">
      <c r="A3544" t="str">
        <f>"600860"</f>
        <v>600860</v>
      </c>
      <c r="B3544" t="s">
        <v>3894</v>
      </c>
      <c r="C3544">
        <v>55.82</v>
      </c>
      <c r="D3544">
        <v>33.32</v>
      </c>
      <c r="E3544">
        <v>7.72</v>
      </c>
      <c r="F3544">
        <v>5.47</v>
      </c>
      <c r="G3544">
        <v>4.44</v>
      </c>
      <c r="H3544">
        <v>41076</v>
      </c>
      <c r="I3544">
        <v>8.91</v>
      </c>
      <c r="J3544" t="s">
        <v>14</v>
      </c>
      <c r="K3544" t="s">
        <v>63</v>
      </c>
    </row>
    <row r="3545" spans="1:11">
      <c r="A3545" t="str">
        <f>"600861"</f>
        <v>600861</v>
      </c>
      <c r="B3545" t="s">
        <v>3895</v>
      </c>
      <c r="C3545">
        <v>71.37</v>
      </c>
      <c r="D3545">
        <v>163.44</v>
      </c>
      <c r="E3545">
        <v>71.44</v>
      </c>
      <c r="F3545">
        <v>5.66</v>
      </c>
      <c r="G3545">
        <v>3.67</v>
      </c>
      <c r="H3545">
        <v>16277</v>
      </c>
      <c r="I3545">
        <v>1.54</v>
      </c>
      <c r="J3545">
        <v>8.21</v>
      </c>
      <c r="K3545" t="s">
        <v>2442</v>
      </c>
    </row>
    <row r="3546" spans="1:11">
      <c r="A3546" t="str">
        <f>"600862"</f>
        <v>600862</v>
      </c>
      <c r="B3546" t="s">
        <v>3896</v>
      </c>
      <c r="C3546">
        <v>355.37</v>
      </c>
      <c r="D3546">
        <v>107.63</v>
      </c>
      <c r="E3546">
        <v>74.57</v>
      </c>
      <c r="F3546">
        <v>13.93</v>
      </c>
      <c r="G3546">
        <v>13.93</v>
      </c>
      <c r="H3546">
        <v>120101</v>
      </c>
      <c r="I3546">
        <v>4.77</v>
      </c>
      <c r="J3546">
        <v>33.06</v>
      </c>
      <c r="K3546" t="s">
        <v>353</v>
      </c>
    </row>
    <row r="3547" spans="1:11">
      <c r="A3547" t="str">
        <f>"600863"</f>
        <v>600863</v>
      </c>
      <c r="B3547" t="s">
        <v>3897</v>
      </c>
      <c r="C3547">
        <v>298.93</v>
      </c>
      <c r="D3547">
        <v>407.91</v>
      </c>
      <c r="E3547">
        <v>188.29</v>
      </c>
      <c r="F3547">
        <v>72.99</v>
      </c>
      <c r="G3547">
        <v>65.27</v>
      </c>
      <c r="H3547">
        <v>140492</v>
      </c>
      <c r="I3547">
        <v>1.73</v>
      </c>
      <c r="J3547">
        <v>11.36</v>
      </c>
      <c r="K3547" t="s">
        <v>46</v>
      </c>
    </row>
    <row r="3548" spans="1:11">
      <c r="A3548" t="str">
        <f>"600864"</f>
        <v>600864</v>
      </c>
      <c r="B3548" t="s">
        <v>3898</v>
      </c>
      <c r="C3548">
        <v>145.64</v>
      </c>
      <c r="D3548">
        <v>471.01</v>
      </c>
      <c r="E3548">
        <v>132.38</v>
      </c>
      <c r="F3548">
        <v>20.81</v>
      </c>
      <c r="G3548">
        <v>20.81</v>
      </c>
      <c r="H3548">
        <v>73303</v>
      </c>
      <c r="I3548">
        <v>1.1</v>
      </c>
      <c r="J3548">
        <v>20.07</v>
      </c>
      <c r="K3548" t="s">
        <v>120</v>
      </c>
    </row>
    <row r="3549" spans="1:11">
      <c r="A3549" t="str">
        <f>"600865"</f>
        <v>600865</v>
      </c>
      <c r="B3549" t="s">
        <v>3899</v>
      </c>
      <c r="C3549">
        <v>55.87</v>
      </c>
      <c r="D3549">
        <v>24.57</v>
      </c>
      <c r="E3549">
        <v>22.97</v>
      </c>
      <c r="F3549">
        <v>3.76</v>
      </c>
      <c r="G3549">
        <v>3.76</v>
      </c>
      <c r="H3549">
        <v>21895</v>
      </c>
      <c r="I3549">
        <v>2.43</v>
      </c>
      <c r="J3549">
        <v>174.84</v>
      </c>
      <c r="K3549" t="s">
        <v>146</v>
      </c>
    </row>
    <row r="3550" spans="1:11">
      <c r="A3550" t="str">
        <f>"600866"</f>
        <v>600866</v>
      </c>
      <c r="B3550" t="s">
        <v>3900</v>
      </c>
      <c r="C3550">
        <v>89.66</v>
      </c>
      <c r="D3550">
        <v>172.68</v>
      </c>
      <c r="E3550">
        <v>83.08</v>
      </c>
      <c r="F3550">
        <v>16.61</v>
      </c>
      <c r="G3550">
        <v>12.56</v>
      </c>
      <c r="H3550">
        <v>45907</v>
      </c>
      <c r="I3550">
        <v>1.43</v>
      </c>
      <c r="J3550">
        <v>8.76</v>
      </c>
      <c r="K3550" t="s">
        <v>359</v>
      </c>
    </row>
    <row r="3551" spans="1:11">
      <c r="A3551" t="str">
        <f>"600867"</f>
        <v>600867</v>
      </c>
      <c r="B3551" t="s">
        <v>3901</v>
      </c>
      <c r="C3551">
        <v>166.87</v>
      </c>
      <c r="D3551">
        <v>81.54</v>
      </c>
      <c r="E3551">
        <v>71.28</v>
      </c>
      <c r="F3551">
        <v>19.59</v>
      </c>
      <c r="G3551">
        <v>19.59</v>
      </c>
      <c r="H3551">
        <v>82143</v>
      </c>
      <c r="I3551">
        <v>2.34</v>
      </c>
      <c r="J3551">
        <v>10.41</v>
      </c>
      <c r="K3551" t="s">
        <v>184</v>
      </c>
    </row>
    <row r="3552" spans="1:11">
      <c r="A3552" t="str">
        <f>"600868"</f>
        <v>600868</v>
      </c>
      <c r="B3552" t="s">
        <v>3902</v>
      </c>
      <c r="C3552">
        <v>73.27</v>
      </c>
      <c r="D3552">
        <v>28.73</v>
      </c>
      <c r="E3552">
        <v>19.38</v>
      </c>
      <c r="F3552">
        <v>18.98</v>
      </c>
      <c r="G3552">
        <v>18.98</v>
      </c>
      <c r="H3552">
        <v>202778</v>
      </c>
      <c r="I3552">
        <v>3.78</v>
      </c>
      <c r="J3552" t="s">
        <v>14</v>
      </c>
      <c r="K3552" t="s">
        <v>278</v>
      </c>
    </row>
    <row r="3553" spans="1:11">
      <c r="A3553" t="str">
        <f>"600869"</f>
        <v>600869</v>
      </c>
      <c r="B3553" t="s">
        <v>3903</v>
      </c>
      <c r="C3553">
        <v>226.37</v>
      </c>
      <c r="D3553">
        <v>212.81</v>
      </c>
      <c r="E3553">
        <v>42.6</v>
      </c>
      <c r="F3553">
        <v>22.19</v>
      </c>
      <c r="G3553">
        <v>22.19</v>
      </c>
      <c r="H3553">
        <v>83833</v>
      </c>
      <c r="I3553">
        <v>5.32</v>
      </c>
      <c r="J3553">
        <v>101.26</v>
      </c>
      <c r="K3553" t="s">
        <v>383</v>
      </c>
    </row>
    <row r="3554" spans="1:11">
      <c r="A3554" t="str">
        <f>"600871"</f>
        <v>600871</v>
      </c>
      <c r="B3554" t="s">
        <v>3904</v>
      </c>
      <c r="C3554">
        <v>330.55</v>
      </c>
      <c r="D3554">
        <v>782.2</v>
      </c>
      <c r="E3554">
        <v>95.46</v>
      </c>
      <c r="F3554">
        <v>189.57</v>
      </c>
      <c r="G3554">
        <v>135.47</v>
      </c>
      <c r="H3554">
        <v>151223</v>
      </c>
      <c r="I3554">
        <v>4.84</v>
      </c>
      <c r="J3554">
        <v>51.84</v>
      </c>
      <c r="K3554" t="s">
        <v>988</v>
      </c>
    </row>
    <row r="3555" spans="1:11">
      <c r="A3555" t="str">
        <f>"600872"</f>
        <v>600872</v>
      </c>
      <c r="B3555" t="s">
        <v>3905</v>
      </c>
      <c r="C3555">
        <v>137.54</v>
      </c>
      <c r="D3555">
        <v>80.55</v>
      </c>
      <c r="E3555">
        <v>56.92</v>
      </c>
      <c r="F3555">
        <v>7.79</v>
      </c>
      <c r="G3555">
        <v>7.71</v>
      </c>
      <c r="H3555">
        <v>64871</v>
      </c>
      <c r="I3555">
        <v>2.44</v>
      </c>
      <c r="J3555">
        <v>27.42</v>
      </c>
      <c r="K3555" t="s">
        <v>1281</v>
      </c>
    </row>
    <row r="3556" spans="1:11">
      <c r="A3556" t="str">
        <f>"600873"</f>
        <v>600873</v>
      </c>
      <c r="B3556" t="s">
        <v>3906</v>
      </c>
      <c r="C3556">
        <v>284.91</v>
      </c>
      <c r="D3556">
        <v>259.91</v>
      </c>
      <c r="E3556">
        <v>161.16</v>
      </c>
      <c r="F3556">
        <v>28.04</v>
      </c>
      <c r="G3556">
        <v>28.04</v>
      </c>
      <c r="H3556">
        <v>66675</v>
      </c>
      <c r="I3556">
        <v>1.77</v>
      </c>
      <c r="J3556">
        <v>7.06</v>
      </c>
      <c r="K3556" t="s">
        <v>1281</v>
      </c>
    </row>
    <row r="3557" spans="1:11">
      <c r="A3557" t="str">
        <f>"600874"</f>
        <v>600874</v>
      </c>
      <c r="B3557" t="s">
        <v>3907</v>
      </c>
      <c r="C3557">
        <v>74.32</v>
      </c>
      <c r="D3557">
        <v>261.11</v>
      </c>
      <c r="E3557">
        <v>100.99</v>
      </c>
      <c r="F3557">
        <v>15.7</v>
      </c>
      <c r="G3557">
        <v>12.3</v>
      </c>
      <c r="H3557">
        <v>52196</v>
      </c>
      <c r="I3557">
        <v>0.94</v>
      </c>
      <c r="J3557">
        <v>10.14</v>
      </c>
      <c r="K3557" t="s">
        <v>90</v>
      </c>
    </row>
    <row r="3558" spans="1:11">
      <c r="A3558" t="str">
        <f>"600875"</f>
        <v>600875</v>
      </c>
      <c r="B3558" t="s">
        <v>3908</v>
      </c>
      <c r="C3558">
        <v>566.07</v>
      </c>
      <c r="D3558">
        <v>1645.61</v>
      </c>
      <c r="E3558">
        <v>444.67</v>
      </c>
      <c r="F3558">
        <v>34.58</v>
      </c>
      <c r="G3558">
        <v>22.63</v>
      </c>
      <c r="H3558">
        <v>146864</v>
      </c>
      <c r="I3558">
        <v>1.95</v>
      </c>
      <c r="J3558">
        <v>21.87</v>
      </c>
      <c r="K3558" t="s">
        <v>1010</v>
      </c>
    </row>
    <row r="3559" spans="1:11">
      <c r="A3559" t="str">
        <f>"600876"</f>
        <v>600876</v>
      </c>
      <c r="B3559" t="s">
        <v>3909</v>
      </c>
      <c r="C3559">
        <v>39.25</v>
      </c>
      <c r="D3559">
        <v>135.64</v>
      </c>
      <c r="E3559">
        <v>34.21</v>
      </c>
      <c r="F3559">
        <v>6.46</v>
      </c>
      <c r="G3559">
        <v>3.96</v>
      </c>
      <c r="H3559">
        <v>30533</v>
      </c>
      <c r="I3559">
        <v>1.87</v>
      </c>
      <c r="J3559" t="s">
        <v>14</v>
      </c>
      <c r="K3559" t="s">
        <v>30</v>
      </c>
    </row>
    <row r="3560" spans="1:11">
      <c r="A3560" t="str">
        <f>"600877"</f>
        <v>600877</v>
      </c>
      <c r="B3560" t="s">
        <v>3910</v>
      </c>
      <c r="C3560">
        <v>271.15</v>
      </c>
      <c r="D3560">
        <v>29.57</v>
      </c>
      <c r="E3560">
        <v>24.71</v>
      </c>
      <c r="F3560">
        <v>11.84</v>
      </c>
      <c r="G3560">
        <v>11.84</v>
      </c>
      <c r="H3560">
        <v>79985</v>
      </c>
      <c r="I3560">
        <v>10.97</v>
      </c>
      <c r="J3560">
        <v>2047.65</v>
      </c>
      <c r="K3560" t="s">
        <v>691</v>
      </c>
    </row>
    <row r="3561" spans="1:11">
      <c r="A3561" t="str">
        <f>"600879"</f>
        <v>600879</v>
      </c>
      <c r="B3561" t="s">
        <v>3911</v>
      </c>
      <c r="C3561">
        <v>981.54</v>
      </c>
      <c r="D3561">
        <v>485.98</v>
      </c>
      <c r="E3561">
        <v>207.54</v>
      </c>
      <c r="F3561">
        <v>32.99</v>
      </c>
      <c r="G3561">
        <v>32.99</v>
      </c>
      <c r="H3561">
        <v>156029</v>
      </c>
      <c r="I3561">
        <v>4.73</v>
      </c>
      <c r="J3561">
        <v>351.99</v>
      </c>
      <c r="K3561" t="s">
        <v>241</v>
      </c>
    </row>
    <row r="3562" spans="1:11">
      <c r="A3562" t="str">
        <f>"600880"</f>
        <v>600880</v>
      </c>
      <c r="B3562" t="s">
        <v>3912</v>
      </c>
      <c r="C3562">
        <v>77.28</v>
      </c>
      <c r="D3562">
        <v>41.35</v>
      </c>
      <c r="E3562">
        <v>30.39</v>
      </c>
      <c r="F3562">
        <v>10.93</v>
      </c>
      <c r="G3562">
        <v>10.93</v>
      </c>
      <c r="H3562">
        <v>54341</v>
      </c>
      <c r="I3562">
        <v>2.54</v>
      </c>
      <c r="J3562">
        <v>738.83</v>
      </c>
      <c r="K3562" t="s">
        <v>198</v>
      </c>
    </row>
    <row r="3563" spans="1:11">
      <c r="A3563" t="str">
        <f>"600881"</f>
        <v>600881</v>
      </c>
      <c r="B3563" t="s">
        <v>3913</v>
      </c>
      <c r="C3563">
        <v>60.76</v>
      </c>
      <c r="D3563">
        <v>422.63</v>
      </c>
      <c r="E3563">
        <v>16.96</v>
      </c>
      <c r="F3563">
        <v>32.32</v>
      </c>
      <c r="G3563">
        <v>32.32</v>
      </c>
      <c r="H3563">
        <v>120664</v>
      </c>
      <c r="I3563">
        <v>3.58</v>
      </c>
      <c r="J3563" t="s">
        <v>14</v>
      </c>
      <c r="K3563" t="s">
        <v>43</v>
      </c>
    </row>
    <row r="3564" spans="1:11">
      <c r="A3564" t="str">
        <f>"600882"</f>
        <v>600882</v>
      </c>
      <c r="B3564" t="s">
        <v>3914</v>
      </c>
      <c r="C3564">
        <v>126.65</v>
      </c>
      <c r="D3564">
        <v>84.66</v>
      </c>
      <c r="E3564">
        <v>46.22</v>
      </c>
      <c r="F3564">
        <v>5.1</v>
      </c>
      <c r="G3564">
        <v>5.1</v>
      </c>
      <c r="H3564">
        <v>39099</v>
      </c>
      <c r="I3564">
        <v>2.74</v>
      </c>
      <c r="J3564">
        <v>53.99</v>
      </c>
      <c r="K3564" t="s">
        <v>699</v>
      </c>
    </row>
    <row r="3565" spans="1:11">
      <c r="A3565" t="str">
        <f>"600883"</f>
        <v>600883</v>
      </c>
      <c r="B3565" t="s">
        <v>3915</v>
      </c>
      <c r="C3565">
        <v>19.19</v>
      </c>
      <c r="D3565">
        <v>10.46</v>
      </c>
      <c r="E3565">
        <v>9.81</v>
      </c>
      <c r="F3565">
        <v>2.36</v>
      </c>
      <c r="G3565">
        <v>2.36</v>
      </c>
      <c r="H3565">
        <v>13206</v>
      </c>
      <c r="I3565">
        <v>1.96</v>
      </c>
      <c r="J3565">
        <v>64.7</v>
      </c>
      <c r="K3565" t="s">
        <v>1549</v>
      </c>
    </row>
    <row r="3566" spans="1:11">
      <c r="A3566" t="str">
        <f>"600884"</f>
        <v>600884</v>
      </c>
      <c r="B3566" t="s">
        <v>3916</v>
      </c>
      <c r="C3566">
        <v>244.62</v>
      </c>
      <c r="D3566">
        <v>448.94</v>
      </c>
      <c r="E3566">
        <v>219.38</v>
      </c>
      <c r="F3566">
        <v>22.49</v>
      </c>
      <c r="G3566">
        <v>18.35</v>
      </c>
      <c r="H3566">
        <v>179229</v>
      </c>
      <c r="I3566">
        <v>1.37</v>
      </c>
      <c r="J3566">
        <v>79.3</v>
      </c>
      <c r="K3566" t="s">
        <v>24</v>
      </c>
    </row>
    <row r="3567" spans="1:11">
      <c r="A3567" t="str">
        <f>"600885"</f>
        <v>600885</v>
      </c>
      <c r="B3567" t="s">
        <v>3917</v>
      </c>
      <c r="C3567">
        <v>485.79</v>
      </c>
      <c r="D3567">
        <v>218.95</v>
      </c>
      <c r="E3567">
        <v>104.44</v>
      </c>
      <c r="F3567">
        <v>15.48</v>
      </c>
      <c r="G3567">
        <v>15.48</v>
      </c>
      <c r="H3567">
        <v>49522</v>
      </c>
      <c r="I3567">
        <v>4.54</v>
      </c>
      <c r="J3567">
        <v>24.79</v>
      </c>
      <c r="K3567" t="s">
        <v>208</v>
      </c>
    </row>
    <row r="3568" spans="1:11">
      <c r="A3568" t="str">
        <f>"600886"</f>
        <v>600886</v>
      </c>
      <c r="B3568" t="s">
        <v>3918</v>
      </c>
      <c r="C3568">
        <v>990.66</v>
      </c>
      <c r="D3568">
        <v>3140.11</v>
      </c>
      <c r="E3568">
        <v>719.69</v>
      </c>
      <c r="F3568">
        <v>80.04</v>
      </c>
      <c r="G3568">
        <v>74.54</v>
      </c>
      <c r="H3568">
        <v>114631</v>
      </c>
      <c r="I3568">
        <v>1.61</v>
      </c>
      <c r="J3568">
        <v>12.24</v>
      </c>
      <c r="K3568" t="s">
        <v>278</v>
      </c>
    </row>
    <row r="3569" spans="1:11">
      <c r="A3569" t="str">
        <f>"600887"</f>
        <v>600887</v>
      </c>
      <c r="B3569" t="s">
        <v>3919</v>
      </c>
      <c r="C3569">
        <v>1724.54</v>
      </c>
      <c r="D3569">
        <v>1527.26</v>
      </c>
      <c r="E3569">
        <v>563.11</v>
      </c>
      <c r="F3569">
        <v>63.25</v>
      </c>
      <c r="G3569">
        <v>62.94</v>
      </c>
      <c r="H3569">
        <v>426769</v>
      </c>
      <c r="I3569">
        <v>3.08</v>
      </c>
      <c r="J3569">
        <v>12.47</v>
      </c>
      <c r="K3569" t="s">
        <v>699</v>
      </c>
    </row>
    <row r="3570" spans="1:11">
      <c r="A3570" t="str">
        <f>"600888"</f>
        <v>600888</v>
      </c>
      <c r="B3570" t="s">
        <v>3920</v>
      </c>
      <c r="C3570">
        <v>121</v>
      </c>
      <c r="D3570">
        <v>197.92</v>
      </c>
      <c r="E3570">
        <v>113.69</v>
      </c>
      <c r="F3570">
        <v>14.04</v>
      </c>
      <c r="G3570">
        <v>14.04</v>
      </c>
      <c r="H3570">
        <v>63443</v>
      </c>
      <c r="I3570">
        <v>1.07</v>
      </c>
      <c r="J3570">
        <v>17.1</v>
      </c>
      <c r="K3570" t="s">
        <v>288</v>
      </c>
    </row>
    <row r="3571" spans="1:11">
      <c r="A3571" t="str">
        <f>"600889"</f>
        <v>600889</v>
      </c>
      <c r="B3571" t="s">
        <v>3921</v>
      </c>
      <c r="C3571">
        <v>59.82</v>
      </c>
      <c r="D3571">
        <v>12.54</v>
      </c>
      <c r="E3571">
        <v>3.72</v>
      </c>
      <c r="F3571">
        <v>3.66</v>
      </c>
      <c r="G3571">
        <v>3.66</v>
      </c>
      <c r="H3571">
        <v>36124</v>
      </c>
      <c r="I3571">
        <v>16.07</v>
      </c>
      <c r="J3571" t="s">
        <v>14</v>
      </c>
      <c r="K3571" t="s">
        <v>150</v>
      </c>
    </row>
    <row r="3572" spans="1:11">
      <c r="A3572" t="str">
        <f>"600892"</f>
        <v>600892</v>
      </c>
      <c r="B3572" t="s">
        <v>3922</v>
      </c>
      <c r="C3572">
        <v>19.97</v>
      </c>
      <c r="D3572">
        <v>4.95</v>
      </c>
      <c r="E3572">
        <v>0.08</v>
      </c>
      <c r="F3572">
        <v>5.59</v>
      </c>
      <c r="G3572">
        <v>5.59</v>
      </c>
      <c r="H3572">
        <v>15388</v>
      </c>
      <c r="I3572">
        <v>255</v>
      </c>
      <c r="J3572" t="s">
        <v>14</v>
      </c>
      <c r="K3572" t="s">
        <v>950</v>
      </c>
    </row>
    <row r="3573" spans="1:11">
      <c r="A3573" t="str">
        <f>"600893"</f>
        <v>600893</v>
      </c>
      <c r="B3573" t="s">
        <v>3923</v>
      </c>
      <c r="C3573">
        <v>1101.5</v>
      </c>
      <c r="D3573">
        <v>1273.57</v>
      </c>
      <c r="E3573">
        <v>397.91</v>
      </c>
      <c r="F3573">
        <v>26.66</v>
      </c>
      <c r="G3573">
        <v>26.65</v>
      </c>
      <c r="H3573">
        <v>130791</v>
      </c>
      <c r="I3573">
        <v>2.77</v>
      </c>
      <c r="J3573">
        <v>765.33</v>
      </c>
      <c r="K3573" t="s">
        <v>353</v>
      </c>
    </row>
    <row r="3574" spans="1:11">
      <c r="A3574" t="str">
        <f>"600894"</f>
        <v>600894</v>
      </c>
      <c r="B3574" t="s">
        <v>3924</v>
      </c>
      <c r="C3574">
        <v>79.93</v>
      </c>
      <c r="D3574">
        <v>146.3</v>
      </c>
      <c r="E3574">
        <v>86.16</v>
      </c>
      <c r="F3574">
        <v>8.52</v>
      </c>
      <c r="G3574">
        <v>8.43</v>
      </c>
      <c r="H3574">
        <v>28330</v>
      </c>
      <c r="I3574">
        <v>0.94</v>
      </c>
      <c r="J3574">
        <v>15.21</v>
      </c>
      <c r="K3574" t="s">
        <v>1155</v>
      </c>
    </row>
    <row r="3575" spans="1:11">
      <c r="A3575" t="str">
        <f>"600895"</f>
        <v>600895</v>
      </c>
      <c r="B3575" t="s">
        <v>3925</v>
      </c>
      <c r="C3575">
        <v>696.76</v>
      </c>
      <c r="D3575">
        <v>604.23</v>
      </c>
      <c r="E3575">
        <v>156.93</v>
      </c>
      <c r="F3575">
        <v>15.49</v>
      </c>
      <c r="G3575">
        <v>15.49</v>
      </c>
      <c r="H3575">
        <v>262410</v>
      </c>
      <c r="I3575">
        <v>5.22</v>
      </c>
      <c r="J3575">
        <v>84.75</v>
      </c>
      <c r="K3575" t="s">
        <v>3274</v>
      </c>
    </row>
    <row r="3576" spans="1:11">
      <c r="A3576" t="str">
        <f>"600897"</f>
        <v>600897</v>
      </c>
      <c r="B3576" t="s">
        <v>3926</v>
      </c>
      <c r="C3576">
        <v>71.13</v>
      </c>
      <c r="D3576">
        <v>60.75</v>
      </c>
      <c r="E3576">
        <v>47.17</v>
      </c>
      <c r="F3576">
        <v>4.17</v>
      </c>
      <c r="G3576">
        <v>4.17</v>
      </c>
      <c r="H3576">
        <v>16517</v>
      </c>
      <c r="I3576">
        <v>1.51</v>
      </c>
      <c r="J3576">
        <v>13.88</v>
      </c>
      <c r="K3576" t="s">
        <v>98</v>
      </c>
    </row>
    <row r="3577" spans="1:11">
      <c r="A3577" t="str">
        <f>"600900"</f>
        <v>600900</v>
      </c>
      <c r="B3577" t="s">
        <v>3927</v>
      </c>
      <c r="C3577">
        <v>6436.35</v>
      </c>
      <c r="D3577">
        <v>5687.69</v>
      </c>
      <c r="E3577">
        <v>2211.06</v>
      </c>
      <c r="F3577">
        <v>244.68</v>
      </c>
      <c r="G3577">
        <v>240.07</v>
      </c>
      <c r="H3577">
        <v>601559</v>
      </c>
      <c r="I3577">
        <v>2.96</v>
      </c>
      <c r="J3577">
        <v>17.45</v>
      </c>
      <c r="K3577" t="s">
        <v>278</v>
      </c>
    </row>
    <row r="3578" spans="1:11">
      <c r="A3578" t="str">
        <f>"600901"</f>
        <v>600901</v>
      </c>
      <c r="B3578" t="s">
        <v>3928</v>
      </c>
      <c r="C3578">
        <v>357.27</v>
      </c>
      <c r="D3578">
        <v>1620.11</v>
      </c>
      <c r="E3578">
        <v>250.1</v>
      </c>
      <c r="F3578">
        <v>57.92</v>
      </c>
      <c r="G3578">
        <v>57.9</v>
      </c>
      <c r="H3578">
        <v>49836</v>
      </c>
      <c r="I3578">
        <v>1.43</v>
      </c>
      <c r="J3578">
        <v>10.96</v>
      </c>
      <c r="K3578" t="s">
        <v>3465</v>
      </c>
    </row>
    <row r="3579" spans="1:11">
      <c r="A3579" t="str">
        <f>"600903"</f>
        <v>600903</v>
      </c>
      <c r="B3579" t="s">
        <v>3929</v>
      </c>
      <c r="C3579">
        <v>77.63</v>
      </c>
      <c r="D3579">
        <v>114.68</v>
      </c>
      <c r="E3579">
        <v>31.59</v>
      </c>
      <c r="F3579">
        <v>11.5</v>
      </c>
      <c r="G3579">
        <v>11.5</v>
      </c>
      <c r="H3579">
        <v>48580</v>
      </c>
      <c r="I3579">
        <v>2.59</v>
      </c>
      <c r="J3579">
        <v>131.99</v>
      </c>
      <c r="K3579" t="s">
        <v>136</v>
      </c>
    </row>
    <row r="3580" spans="1:11">
      <c r="A3580" t="str">
        <f>"600905"</f>
        <v>600905</v>
      </c>
      <c r="B3580" t="s">
        <v>3930</v>
      </c>
      <c r="C3580">
        <v>1189.25</v>
      </c>
      <c r="D3580">
        <v>3770.23</v>
      </c>
      <c r="E3580">
        <v>892.2</v>
      </c>
      <c r="F3580">
        <v>285.88</v>
      </c>
      <c r="G3580">
        <v>285.88</v>
      </c>
      <c r="H3580">
        <v>504381</v>
      </c>
      <c r="I3580">
        <v>1.33</v>
      </c>
      <c r="J3580">
        <v>20.68</v>
      </c>
      <c r="K3580" t="s">
        <v>111</v>
      </c>
    </row>
    <row r="3581" spans="1:11">
      <c r="A3581" t="str">
        <f>"600906"</f>
        <v>600906</v>
      </c>
      <c r="B3581" t="s">
        <v>3931</v>
      </c>
      <c r="C3581">
        <v>148.91</v>
      </c>
      <c r="D3581">
        <v>541.47</v>
      </c>
      <c r="E3581">
        <v>122.78</v>
      </c>
      <c r="F3581">
        <v>32.45</v>
      </c>
      <c r="G3581">
        <v>21.24</v>
      </c>
      <c r="H3581">
        <v>79709</v>
      </c>
      <c r="I3581">
        <v>1.85</v>
      </c>
      <c r="J3581">
        <v>25.7</v>
      </c>
      <c r="K3581" t="s">
        <v>120</v>
      </c>
    </row>
    <row r="3582" spans="1:11">
      <c r="A3582" t="str">
        <f>"600908"</f>
        <v>600908</v>
      </c>
      <c r="B3582" t="s">
        <v>3932</v>
      </c>
      <c r="C3582">
        <v>117.36</v>
      </c>
      <c r="D3582">
        <v>2774.11</v>
      </c>
      <c r="E3582">
        <v>243.4</v>
      </c>
      <c r="F3582">
        <v>21.95</v>
      </c>
      <c r="G3582">
        <v>19.99</v>
      </c>
      <c r="H3582">
        <v>37122</v>
      </c>
      <c r="I3582">
        <v>0.58</v>
      </c>
      <c r="J3582">
        <v>5.27</v>
      </c>
      <c r="K3582" t="s">
        <v>1581</v>
      </c>
    </row>
    <row r="3583" spans="1:11">
      <c r="A3583" t="str">
        <f>"600909"</f>
        <v>600909</v>
      </c>
      <c r="B3583" t="s">
        <v>3933</v>
      </c>
      <c r="C3583">
        <v>338.25</v>
      </c>
      <c r="D3583">
        <v>1066.55</v>
      </c>
      <c r="E3583">
        <v>236.76</v>
      </c>
      <c r="F3583">
        <v>46.78</v>
      </c>
      <c r="G3583">
        <v>46.78</v>
      </c>
      <c r="H3583">
        <v>106664</v>
      </c>
      <c r="I3583">
        <v>1.45</v>
      </c>
      <c r="J3583">
        <v>13.47</v>
      </c>
      <c r="K3583" t="s">
        <v>120</v>
      </c>
    </row>
    <row r="3584" spans="1:11">
      <c r="A3584" t="str">
        <f>"600916"</f>
        <v>600916</v>
      </c>
      <c r="B3584" t="s">
        <v>3934</v>
      </c>
      <c r="C3584">
        <v>137.42</v>
      </c>
      <c r="D3584">
        <v>137.22</v>
      </c>
      <c r="E3584">
        <v>71.98</v>
      </c>
      <c r="F3584">
        <v>16.8</v>
      </c>
      <c r="G3584">
        <v>16.8</v>
      </c>
      <c r="H3584">
        <v>121012</v>
      </c>
      <c r="I3584">
        <v>1.91</v>
      </c>
      <c r="J3584">
        <v>30.78</v>
      </c>
      <c r="K3584" t="s">
        <v>35</v>
      </c>
    </row>
    <row r="3585" spans="1:11">
      <c r="A3585" t="str">
        <f>"600917"</f>
        <v>600917</v>
      </c>
      <c r="B3585" t="s">
        <v>3935</v>
      </c>
      <c r="C3585">
        <v>87.26</v>
      </c>
      <c r="D3585">
        <v>110.93</v>
      </c>
      <c r="E3585">
        <v>57.21</v>
      </c>
      <c r="F3585">
        <v>15.61</v>
      </c>
      <c r="G3585">
        <v>15.61</v>
      </c>
      <c r="H3585">
        <v>30020</v>
      </c>
      <c r="I3585">
        <v>1.53</v>
      </c>
      <c r="J3585">
        <v>46.8</v>
      </c>
      <c r="K3585" t="s">
        <v>136</v>
      </c>
    </row>
    <row r="3586" spans="1:11">
      <c r="A3586" t="str">
        <f>"600918"</f>
        <v>600918</v>
      </c>
      <c r="B3586" t="s">
        <v>3936</v>
      </c>
      <c r="C3586">
        <v>263.03</v>
      </c>
      <c r="D3586">
        <v>2375.7</v>
      </c>
      <c r="E3586">
        <v>432.79</v>
      </c>
      <c r="F3586">
        <v>79.18</v>
      </c>
      <c r="G3586">
        <v>39.26</v>
      </c>
      <c r="H3586">
        <v>97669</v>
      </c>
      <c r="I3586">
        <v>1.21</v>
      </c>
      <c r="J3586">
        <v>30.61</v>
      </c>
      <c r="K3586" t="s">
        <v>120</v>
      </c>
    </row>
    <row r="3587" spans="1:11">
      <c r="A3587" t="str">
        <f>"600919"</f>
        <v>600919</v>
      </c>
      <c r="B3587" t="s">
        <v>3937</v>
      </c>
      <c r="C3587">
        <v>1857.15</v>
      </c>
      <c r="D3587">
        <v>49274.97</v>
      </c>
      <c r="E3587">
        <v>3350.86</v>
      </c>
      <c r="F3587">
        <v>183.51</v>
      </c>
      <c r="G3587">
        <v>183.51</v>
      </c>
      <c r="H3587">
        <v>159305</v>
      </c>
      <c r="I3587">
        <v>0.73</v>
      </c>
      <c r="J3587">
        <v>4.55</v>
      </c>
      <c r="K3587" t="s">
        <v>643</v>
      </c>
    </row>
    <row r="3588" spans="1:11">
      <c r="A3588" t="str">
        <f>"600925"</f>
        <v>600925</v>
      </c>
      <c r="B3588" t="s">
        <v>3938</v>
      </c>
      <c r="C3588">
        <v>74.04</v>
      </c>
      <c r="D3588">
        <v>397.44</v>
      </c>
      <c r="E3588">
        <v>153.96</v>
      </c>
      <c r="F3588">
        <v>68.89</v>
      </c>
      <c r="G3588">
        <v>16.06</v>
      </c>
      <c r="H3588">
        <v>89213</v>
      </c>
      <c r="I3588">
        <v>2.06</v>
      </c>
      <c r="J3588">
        <v>126.72</v>
      </c>
      <c r="K3588" t="s">
        <v>230</v>
      </c>
    </row>
    <row r="3589" spans="1:11">
      <c r="A3589" t="str">
        <f>"600926"</f>
        <v>600926</v>
      </c>
      <c r="B3589" t="s">
        <v>3939</v>
      </c>
      <c r="C3589">
        <v>1132.29</v>
      </c>
      <c r="D3589">
        <v>22954.23</v>
      </c>
      <c r="E3589">
        <v>1629.5</v>
      </c>
      <c r="F3589">
        <v>72.49</v>
      </c>
      <c r="G3589">
        <v>72.49</v>
      </c>
      <c r="H3589">
        <v>67570</v>
      </c>
      <c r="I3589">
        <v>0.85</v>
      </c>
      <c r="J3589">
        <v>5.35</v>
      </c>
      <c r="K3589" t="s">
        <v>643</v>
      </c>
    </row>
    <row r="3590" spans="1:11">
      <c r="A3590" t="str">
        <f>"600927"</f>
        <v>600927</v>
      </c>
      <c r="B3590" t="s">
        <v>3940</v>
      </c>
      <c r="C3590">
        <v>239.15</v>
      </c>
      <c r="D3590">
        <v>707.15</v>
      </c>
      <c r="E3590">
        <v>131.45</v>
      </c>
      <c r="F3590">
        <v>14.56</v>
      </c>
      <c r="G3590">
        <v>14.56</v>
      </c>
      <c r="H3590">
        <v>39474</v>
      </c>
      <c r="I3590">
        <v>1.82</v>
      </c>
      <c r="J3590">
        <v>37.77</v>
      </c>
      <c r="K3590" t="s">
        <v>652</v>
      </c>
    </row>
    <row r="3591" spans="1:11">
      <c r="A3591" t="str">
        <f>"600928"</f>
        <v>600928</v>
      </c>
      <c r="B3591" t="s">
        <v>3941</v>
      </c>
      <c r="C3591">
        <v>164.99</v>
      </c>
      <c r="D3591">
        <v>5511.35</v>
      </c>
      <c r="E3591">
        <v>395.05</v>
      </c>
      <c r="F3591">
        <v>44.44</v>
      </c>
      <c r="G3591">
        <v>44.23</v>
      </c>
      <c r="H3591">
        <v>52391</v>
      </c>
      <c r="I3591">
        <v>0.48</v>
      </c>
      <c r="J3591">
        <v>6.12</v>
      </c>
      <c r="K3591" t="s">
        <v>643</v>
      </c>
    </row>
    <row r="3592" spans="1:11">
      <c r="A3592" t="str">
        <f>"600929"</f>
        <v>600929</v>
      </c>
      <c r="B3592" t="s">
        <v>3942</v>
      </c>
      <c r="C3592">
        <v>91.98</v>
      </c>
      <c r="D3592">
        <v>112.11</v>
      </c>
      <c r="E3592">
        <v>75.36</v>
      </c>
      <c r="F3592">
        <v>16.4</v>
      </c>
      <c r="G3592">
        <v>16.4</v>
      </c>
      <c r="H3592">
        <v>37510</v>
      </c>
      <c r="I3592">
        <v>1.22</v>
      </c>
      <c r="J3592">
        <v>211.49</v>
      </c>
      <c r="K3592" t="s">
        <v>1781</v>
      </c>
    </row>
    <row r="3593" spans="1:11">
      <c r="A3593" t="str">
        <f>"600930"</f>
        <v>600930</v>
      </c>
      <c r="B3593" t="s">
        <v>3943</v>
      </c>
      <c r="C3593">
        <v>159.08</v>
      </c>
      <c r="D3593">
        <v>4897.85</v>
      </c>
      <c r="E3593">
        <v>1310.7</v>
      </c>
      <c r="F3593">
        <v>417.14</v>
      </c>
      <c r="G3593">
        <v>25.05</v>
      </c>
      <c r="H3593">
        <v>479726</v>
      </c>
      <c r="I3593">
        <v>2.4</v>
      </c>
      <c r="J3593">
        <v>25.78</v>
      </c>
      <c r="K3593" t="s">
        <v>111</v>
      </c>
    </row>
    <row r="3594" spans="1:11">
      <c r="A3594" t="str">
        <f>"600933"</f>
        <v>600933</v>
      </c>
      <c r="B3594" t="s">
        <v>3944</v>
      </c>
      <c r="C3594">
        <v>191.27</v>
      </c>
      <c r="D3594">
        <v>173.93</v>
      </c>
      <c r="E3594">
        <v>94.59</v>
      </c>
      <c r="F3594">
        <v>10.3</v>
      </c>
      <c r="G3594">
        <v>9.77</v>
      </c>
      <c r="H3594">
        <v>29762</v>
      </c>
      <c r="I3594">
        <v>2.07</v>
      </c>
      <c r="J3594">
        <v>16.89</v>
      </c>
      <c r="K3594" t="s">
        <v>51</v>
      </c>
    </row>
    <row r="3595" spans="1:11">
      <c r="A3595" t="str">
        <f>"600935"</f>
        <v>600935</v>
      </c>
      <c r="B3595" t="s">
        <v>3945</v>
      </c>
      <c r="C3595">
        <v>96.45</v>
      </c>
      <c r="D3595">
        <v>99.12</v>
      </c>
      <c r="E3595">
        <v>59.87</v>
      </c>
      <c r="F3595">
        <v>35.95</v>
      </c>
      <c r="G3595">
        <v>35.07</v>
      </c>
      <c r="H3595">
        <v>55005</v>
      </c>
      <c r="I3595">
        <v>1.65</v>
      </c>
      <c r="J3595" t="s">
        <v>14</v>
      </c>
      <c r="K3595" t="s">
        <v>177</v>
      </c>
    </row>
    <row r="3596" spans="1:11">
      <c r="A3596" t="str">
        <f>"600936"</f>
        <v>600936</v>
      </c>
      <c r="B3596" t="s">
        <v>3946</v>
      </c>
      <c r="C3596">
        <v>76.53</v>
      </c>
      <c r="D3596">
        <v>62.45</v>
      </c>
      <c r="E3596">
        <v>9.76</v>
      </c>
      <c r="F3596">
        <v>16.71</v>
      </c>
      <c r="G3596">
        <v>16.71</v>
      </c>
      <c r="H3596">
        <v>39468</v>
      </c>
      <c r="I3596">
        <v>7.84</v>
      </c>
      <c r="J3596" t="s">
        <v>14</v>
      </c>
      <c r="K3596" t="s">
        <v>117</v>
      </c>
    </row>
    <row r="3597" spans="1:11">
      <c r="A3597" t="str">
        <f>"600938"</f>
        <v>600938</v>
      </c>
      <c r="B3597" t="s">
        <v>3947</v>
      </c>
      <c r="C3597">
        <v>884.14</v>
      </c>
      <c r="D3597">
        <v>11264.74</v>
      </c>
      <c r="E3597">
        <v>7855.61</v>
      </c>
      <c r="F3597">
        <v>475.3</v>
      </c>
      <c r="G3597">
        <v>29.9</v>
      </c>
      <c r="H3597">
        <v>216486</v>
      </c>
      <c r="I3597">
        <v>1.79</v>
      </c>
      <c r="J3597">
        <v>10.34</v>
      </c>
      <c r="K3597" t="s">
        <v>588</v>
      </c>
    </row>
    <row r="3598" spans="1:11">
      <c r="A3598" t="str">
        <f>"600939"</f>
        <v>600939</v>
      </c>
      <c r="B3598" t="s">
        <v>3948</v>
      </c>
      <c r="C3598">
        <v>61.45</v>
      </c>
      <c r="D3598">
        <v>853.81</v>
      </c>
      <c r="E3598">
        <v>75.77</v>
      </c>
      <c r="F3598">
        <v>19.02</v>
      </c>
      <c r="G3598">
        <v>19.02</v>
      </c>
      <c r="H3598">
        <v>51299</v>
      </c>
      <c r="I3598">
        <v>0.82</v>
      </c>
      <c r="J3598" t="s">
        <v>14</v>
      </c>
      <c r="K3598" t="s">
        <v>299</v>
      </c>
    </row>
    <row r="3599" spans="1:11">
      <c r="A3599" t="str">
        <f>"600941"</f>
        <v>600941</v>
      </c>
      <c r="B3599" t="s">
        <v>3949</v>
      </c>
      <c r="C3599">
        <v>894.01</v>
      </c>
      <c r="D3599">
        <v>20738.24</v>
      </c>
      <c r="E3599">
        <v>13664.88</v>
      </c>
      <c r="F3599">
        <v>216.45</v>
      </c>
      <c r="G3599">
        <v>9.03</v>
      </c>
      <c r="H3599">
        <v>150475</v>
      </c>
      <c r="I3599">
        <v>1.57</v>
      </c>
      <c r="J3599">
        <v>13.94</v>
      </c>
      <c r="K3599" t="s">
        <v>3258</v>
      </c>
    </row>
    <row r="3600" spans="1:11">
      <c r="A3600" t="str">
        <f>"600955"</f>
        <v>600955</v>
      </c>
      <c r="B3600" t="s">
        <v>3950</v>
      </c>
      <c r="C3600">
        <v>96.08</v>
      </c>
      <c r="D3600">
        <v>131.42</v>
      </c>
      <c r="E3600">
        <v>84.13</v>
      </c>
      <c r="F3600">
        <v>5.5</v>
      </c>
      <c r="G3600">
        <v>5.5</v>
      </c>
      <c r="H3600">
        <v>33538</v>
      </c>
      <c r="I3600">
        <v>1.14</v>
      </c>
      <c r="J3600" t="s">
        <v>14</v>
      </c>
      <c r="K3600" t="s">
        <v>1201</v>
      </c>
    </row>
    <row r="3601" spans="1:11">
      <c r="A3601" t="str">
        <f>"600956"</f>
        <v>600956</v>
      </c>
      <c r="B3601" t="s">
        <v>3951</v>
      </c>
      <c r="C3601">
        <v>174.7</v>
      </c>
      <c r="D3601">
        <v>873.1</v>
      </c>
      <c r="E3601">
        <v>239.18</v>
      </c>
      <c r="F3601">
        <v>45.13</v>
      </c>
      <c r="G3601">
        <v>23.48</v>
      </c>
      <c r="H3601">
        <v>39209</v>
      </c>
      <c r="I3601">
        <v>1.4</v>
      </c>
      <c r="J3601">
        <v>16.16</v>
      </c>
      <c r="K3601" t="s">
        <v>136</v>
      </c>
    </row>
    <row r="3602" spans="1:11">
      <c r="A3602" t="str">
        <f>"600958"</f>
        <v>600958</v>
      </c>
      <c r="B3602" t="s">
        <v>3952</v>
      </c>
      <c r="C3602">
        <v>817.16</v>
      </c>
      <c r="D3602">
        <v>4539.4</v>
      </c>
      <c r="E3602">
        <v>819.24</v>
      </c>
      <c r="F3602">
        <v>84.97</v>
      </c>
      <c r="G3602">
        <v>74.69</v>
      </c>
      <c r="H3602">
        <v>183844</v>
      </c>
      <c r="I3602">
        <v>1.18</v>
      </c>
      <c r="J3602">
        <v>13.64</v>
      </c>
      <c r="K3602" t="s">
        <v>120</v>
      </c>
    </row>
    <row r="3603" spans="1:11">
      <c r="A3603" t="str">
        <f>"600959"</f>
        <v>600959</v>
      </c>
      <c r="B3603" t="s">
        <v>3953</v>
      </c>
      <c r="C3603">
        <v>192.53</v>
      </c>
      <c r="D3603">
        <v>367.18</v>
      </c>
      <c r="E3603">
        <v>227.36</v>
      </c>
      <c r="F3603">
        <v>50.01</v>
      </c>
      <c r="G3603">
        <v>50.01</v>
      </c>
      <c r="H3603">
        <v>97500</v>
      </c>
      <c r="I3603">
        <v>0.85</v>
      </c>
      <c r="J3603">
        <v>46.16</v>
      </c>
      <c r="K3603" t="s">
        <v>113</v>
      </c>
    </row>
    <row r="3604" spans="1:11">
      <c r="A3604" t="str">
        <f>"600960"</f>
        <v>600960</v>
      </c>
      <c r="B3604" t="s">
        <v>3954</v>
      </c>
      <c r="C3604">
        <v>51.33</v>
      </c>
      <c r="D3604">
        <v>64</v>
      </c>
      <c r="E3604">
        <v>36.95</v>
      </c>
      <c r="F3604">
        <v>9.51</v>
      </c>
      <c r="G3604">
        <v>9.51</v>
      </c>
      <c r="H3604">
        <v>36686</v>
      </c>
      <c r="I3604">
        <v>1.39</v>
      </c>
      <c r="J3604">
        <v>18.32</v>
      </c>
      <c r="K3604" t="s">
        <v>51</v>
      </c>
    </row>
    <row r="3605" spans="1:11">
      <c r="A3605" t="str">
        <f>"600961"</f>
        <v>600961</v>
      </c>
      <c r="B3605" t="s">
        <v>3955</v>
      </c>
      <c r="C3605">
        <v>138.71</v>
      </c>
      <c r="D3605">
        <v>89.48</v>
      </c>
      <c r="E3605">
        <v>44.64</v>
      </c>
      <c r="F3605">
        <v>10.73</v>
      </c>
      <c r="G3605">
        <v>7.52</v>
      </c>
      <c r="H3605">
        <v>38800</v>
      </c>
      <c r="I3605">
        <v>5.4</v>
      </c>
      <c r="J3605">
        <v>17.3</v>
      </c>
      <c r="K3605" t="s">
        <v>79</v>
      </c>
    </row>
    <row r="3606" spans="1:11">
      <c r="A3606" t="str">
        <f>"600962"</f>
        <v>600962</v>
      </c>
      <c r="B3606" t="s">
        <v>3956</v>
      </c>
      <c r="C3606">
        <v>60.6</v>
      </c>
      <c r="D3606">
        <v>20.8</v>
      </c>
      <c r="E3606">
        <v>9.43</v>
      </c>
      <c r="F3606">
        <v>2.62</v>
      </c>
      <c r="G3606">
        <v>2.62</v>
      </c>
      <c r="H3606">
        <v>16500</v>
      </c>
      <c r="I3606">
        <v>6.43</v>
      </c>
      <c r="J3606">
        <v>159.25</v>
      </c>
      <c r="K3606" t="s">
        <v>488</v>
      </c>
    </row>
    <row r="3607" spans="1:11">
      <c r="A3607" t="str">
        <f>"600963"</f>
        <v>600963</v>
      </c>
      <c r="B3607" t="s">
        <v>3957</v>
      </c>
      <c r="C3607">
        <v>81.2</v>
      </c>
      <c r="D3607">
        <v>206.16</v>
      </c>
      <c r="E3607">
        <v>79.87</v>
      </c>
      <c r="F3607">
        <v>17.58</v>
      </c>
      <c r="G3607">
        <v>17.58</v>
      </c>
      <c r="H3607">
        <v>56282</v>
      </c>
      <c r="I3607">
        <v>1.02</v>
      </c>
      <c r="J3607">
        <v>37.57</v>
      </c>
      <c r="K3607" t="s">
        <v>165</v>
      </c>
    </row>
    <row r="3608" spans="1:11">
      <c r="A3608" t="str">
        <f>"600965"</f>
        <v>600965</v>
      </c>
      <c r="B3608" t="s">
        <v>3958</v>
      </c>
      <c r="C3608">
        <v>51.5</v>
      </c>
      <c r="D3608">
        <v>26.67</v>
      </c>
      <c r="E3608">
        <v>21.76</v>
      </c>
      <c r="F3608">
        <v>8.19</v>
      </c>
      <c r="G3608">
        <v>8.19</v>
      </c>
      <c r="H3608">
        <v>28075</v>
      </c>
      <c r="I3608">
        <v>2.37</v>
      </c>
      <c r="J3608">
        <v>71.81</v>
      </c>
      <c r="K3608" t="s">
        <v>1109</v>
      </c>
    </row>
    <row r="3609" spans="1:11">
      <c r="A3609" t="str">
        <f>"600966"</f>
        <v>600966</v>
      </c>
      <c r="B3609" t="s">
        <v>3959</v>
      </c>
      <c r="C3609">
        <v>87.03</v>
      </c>
      <c r="D3609">
        <v>237.81</v>
      </c>
      <c r="E3609">
        <v>73.79</v>
      </c>
      <c r="F3609">
        <v>13.37</v>
      </c>
      <c r="G3609">
        <v>13.37</v>
      </c>
      <c r="H3609">
        <v>45757</v>
      </c>
      <c r="I3609">
        <v>1.18</v>
      </c>
      <c r="J3609">
        <v>53.74</v>
      </c>
      <c r="K3609" t="s">
        <v>165</v>
      </c>
    </row>
    <row r="3610" spans="1:11">
      <c r="A3610" t="str">
        <f>"600967"</f>
        <v>600967</v>
      </c>
      <c r="B3610" t="s">
        <v>3960</v>
      </c>
      <c r="C3610">
        <v>333.89</v>
      </c>
      <c r="D3610">
        <v>212.93</v>
      </c>
      <c r="E3610">
        <v>118.64</v>
      </c>
      <c r="F3610">
        <v>17.02</v>
      </c>
      <c r="G3610">
        <v>17.02</v>
      </c>
      <c r="H3610">
        <v>181322</v>
      </c>
      <c r="I3610">
        <v>2.81</v>
      </c>
      <c r="J3610">
        <v>64.84</v>
      </c>
      <c r="K3610" t="s">
        <v>186</v>
      </c>
    </row>
    <row r="3611" spans="1:11">
      <c r="A3611" t="str">
        <f>"600968"</f>
        <v>600968</v>
      </c>
      <c r="B3611" t="s">
        <v>3961</v>
      </c>
      <c r="C3611">
        <v>400.51</v>
      </c>
      <c r="D3611">
        <v>482.55</v>
      </c>
      <c r="E3611">
        <v>286.17</v>
      </c>
      <c r="F3611">
        <v>101.65</v>
      </c>
      <c r="G3611">
        <v>101.65</v>
      </c>
      <c r="H3611">
        <v>73955</v>
      </c>
      <c r="I3611">
        <v>1.4</v>
      </c>
      <c r="J3611">
        <v>10.53</v>
      </c>
      <c r="K3611" t="s">
        <v>988</v>
      </c>
    </row>
    <row r="3612" spans="1:11">
      <c r="A3612" t="str">
        <f>"600969"</f>
        <v>600969</v>
      </c>
      <c r="B3612" t="s">
        <v>3962</v>
      </c>
      <c r="C3612">
        <v>40.71</v>
      </c>
      <c r="D3612">
        <v>142.82</v>
      </c>
      <c r="E3612">
        <v>36.4</v>
      </c>
      <c r="F3612">
        <v>3.7</v>
      </c>
      <c r="G3612">
        <v>3.7</v>
      </c>
      <c r="H3612">
        <v>15978</v>
      </c>
      <c r="I3612">
        <v>1.12</v>
      </c>
      <c r="J3612">
        <v>37.71</v>
      </c>
      <c r="K3612" t="s">
        <v>505</v>
      </c>
    </row>
    <row r="3613" spans="1:11">
      <c r="A3613" t="str">
        <f>"600970"</f>
        <v>600970</v>
      </c>
      <c r="B3613" t="s">
        <v>3963</v>
      </c>
      <c r="C3613">
        <v>237.57</v>
      </c>
      <c r="D3613">
        <v>608.55</v>
      </c>
      <c r="E3613">
        <v>221.58</v>
      </c>
      <c r="F3613">
        <v>26.22</v>
      </c>
      <c r="G3613">
        <v>22.52</v>
      </c>
      <c r="H3613">
        <v>62991</v>
      </c>
      <c r="I3613">
        <v>1.25</v>
      </c>
      <c r="J3613">
        <v>10</v>
      </c>
      <c r="K3613" t="s">
        <v>86</v>
      </c>
    </row>
    <row r="3614" spans="1:11">
      <c r="A3614" t="str">
        <f>"600971"</f>
        <v>600971</v>
      </c>
      <c r="B3614" t="s">
        <v>3964</v>
      </c>
      <c r="C3614">
        <v>76.32</v>
      </c>
      <c r="D3614">
        <v>215.72</v>
      </c>
      <c r="E3614">
        <v>119.72</v>
      </c>
      <c r="F3614">
        <v>12</v>
      </c>
      <c r="G3614">
        <v>12</v>
      </c>
      <c r="H3614">
        <v>38542</v>
      </c>
      <c r="I3614">
        <v>0.64</v>
      </c>
      <c r="J3614" t="s">
        <v>14</v>
      </c>
      <c r="K3614" t="s">
        <v>230</v>
      </c>
    </row>
    <row r="3615" spans="1:11">
      <c r="A3615" t="str">
        <f>"600973"</f>
        <v>600973</v>
      </c>
      <c r="B3615" t="s">
        <v>3965</v>
      </c>
      <c r="C3615">
        <v>107.65</v>
      </c>
      <c r="D3615">
        <v>216.1</v>
      </c>
      <c r="E3615">
        <v>35.75</v>
      </c>
      <c r="F3615">
        <v>13.71</v>
      </c>
      <c r="G3615">
        <v>13.71</v>
      </c>
      <c r="H3615">
        <v>46349</v>
      </c>
      <c r="I3615">
        <v>3.01</v>
      </c>
      <c r="J3615">
        <v>135.72</v>
      </c>
      <c r="K3615" t="s">
        <v>383</v>
      </c>
    </row>
    <row r="3616" spans="1:11">
      <c r="A3616" t="str">
        <f>"600975"</f>
        <v>600975</v>
      </c>
      <c r="B3616" t="s">
        <v>3966</v>
      </c>
      <c r="C3616">
        <v>74.1</v>
      </c>
      <c r="D3616">
        <v>119.36</v>
      </c>
      <c r="E3616">
        <v>30.02</v>
      </c>
      <c r="F3616">
        <v>12.5</v>
      </c>
      <c r="G3616">
        <v>12.5</v>
      </c>
      <c r="H3616">
        <v>66896</v>
      </c>
      <c r="I3616">
        <v>2.48</v>
      </c>
      <c r="J3616" t="s">
        <v>14</v>
      </c>
      <c r="K3616" t="s">
        <v>68</v>
      </c>
    </row>
    <row r="3617" spans="1:11">
      <c r="A3617" t="str">
        <f>"600976"</f>
        <v>600976</v>
      </c>
      <c r="B3617" t="s">
        <v>3967</v>
      </c>
      <c r="C3617">
        <v>53.42</v>
      </c>
      <c r="D3617">
        <v>43.38</v>
      </c>
      <c r="E3617">
        <v>25.82</v>
      </c>
      <c r="F3617">
        <v>1.53</v>
      </c>
      <c r="G3617">
        <v>1.53</v>
      </c>
      <c r="H3617">
        <v>14261</v>
      </c>
      <c r="I3617">
        <v>2.07</v>
      </c>
      <c r="J3617">
        <v>14.03</v>
      </c>
      <c r="K3617" t="s">
        <v>155</v>
      </c>
    </row>
    <row r="3618" spans="1:11">
      <c r="A3618" t="str">
        <f>"600977"</f>
        <v>600977</v>
      </c>
      <c r="B3618" t="s">
        <v>3968</v>
      </c>
      <c r="C3618">
        <v>310.48</v>
      </c>
      <c r="D3618">
        <v>189.46</v>
      </c>
      <c r="E3618">
        <v>110.56</v>
      </c>
      <c r="F3618">
        <v>18.67</v>
      </c>
      <c r="G3618">
        <v>18.67</v>
      </c>
      <c r="H3618">
        <v>147587</v>
      </c>
      <c r="I3618">
        <v>2.81</v>
      </c>
      <c r="J3618">
        <v>350.92</v>
      </c>
      <c r="K3618" t="s">
        <v>710</v>
      </c>
    </row>
    <row r="3619" spans="1:11">
      <c r="A3619" t="str">
        <f>"600979"</f>
        <v>600979</v>
      </c>
      <c r="B3619" t="s">
        <v>3969</v>
      </c>
      <c r="C3619">
        <v>57.55</v>
      </c>
      <c r="D3619">
        <v>125.97</v>
      </c>
      <c r="E3619">
        <v>46.42</v>
      </c>
      <c r="F3619">
        <v>12.62</v>
      </c>
      <c r="G3619">
        <v>12.32</v>
      </c>
      <c r="H3619">
        <v>78116</v>
      </c>
      <c r="I3619">
        <v>1.27</v>
      </c>
      <c r="J3619">
        <v>29.2</v>
      </c>
      <c r="K3619" t="s">
        <v>278</v>
      </c>
    </row>
    <row r="3620" spans="1:11">
      <c r="A3620" t="str">
        <f>"600980"</f>
        <v>600980</v>
      </c>
      <c r="B3620" t="s">
        <v>3970</v>
      </c>
      <c r="C3620">
        <v>44.64</v>
      </c>
      <c r="D3620">
        <v>28.28</v>
      </c>
      <c r="E3620">
        <v>14.48</v>
      </c>
      <c r="F3620">
        <v>1.89</v>
      </c>
      <c r="G3620">
        <v>1.88</v>
      </c>
      <c r="H3620">
        <v>36080</v>
      </c>
      <c r="I3620">
        <v>3.11</v>
      </c>
      <c r="J3620">
        <v>40.19</v>
      </c>
      <c r="K3620" t="s">
        <v>491</v>
      </c>
    </row>
    <row r="3621" spans="1:11">
      <c r="A3621" t="str">
        <f>"600981"</f>
        <v>600981</v>
      </c>
      <c r="B3621" t="s">
        <v>3971</v>
      </c>
      <c r="C3621">
        <v>74</v>
      </c>
      <c r="D3621">
        <v>271.17</v>
      </c>
      <c r="E3621">
        <v>50.72</v>
      </c>
      <c r="F3621">
        <v>22.42</v>
      </c>
      <c r="G3621">
        <v>22.42</v>
      </c>
      <c r="H3621">
        <v>39933</v>
      </c>
      <c r="I3621">
        <v>1.46</v>
      </c>
      <c r="J3621">
        <v>106.97</v>
      </c>
      <c r="K3621" t="s">
        <v>107</v>
      </c>
    </row>
    <row r="3622" spans="1:11">
      <c r="A3622" t="str">
        <f>"600982"</f>
        <v>600982</v>
      </c>
      <c r="B3622" t="s">
        <v>3972</v>
      </c>
      <c r="C3622">
        <v>50.41</v>
      </c>
      <c r="D3622">
        <v>165.3</v>
      </c>
      <c r="E3622">
        <v>54.11</v>
      </c>
      <c r="F3622">
        <v>11.18</v>
      </c>
      <c r="G3622">
        <v>11.18</v>
      </c>
      <c r="H3622">
        <v>53266</v>
      </c>
      <c r="I3622">
        <v>1.14</v>
      </c>
      <c r="J3622">
        <v>15.64</v>
      </c>
      <c r="K3622" t="s">
        <v>350</v>
      </c>
    </row>
    <row r="3623" spans="1:11">
      <c r="A3623" t="str">
        <f>"600983"</f>
        <v>600983</v>
      </c>
      <c r="B3623" t="s">
        <v>3973</v>
      </c>
      <c r="C3623">
        <v>79.02</v>
      </c>
      <c r="D3623">
        <v>56.89</v>
      </c>
      <c r="E3623">
        <v>27.73</v>
      </c>
      <c r="F3623">
        <v>7.66</v>
      </c>
      <c r="G3623">
        <v>7.66</v>
      </c>
      <c r="H3623">
        <v>16703</v>
      </c>
      <c r="I3623">
        <v>2.85</v>
      </c>
      <c r="J3623">
        <v>18.71</v>
      </c>
      <c r="K3623" t="s">
        <v>190</v>
      </c>
    </row>
    <row r="3624" spans="1:11">
      <c r="A3624" t="str">
        <f>"600984"</f>
        <v>600984</v>
      </c>
      <c r="B3624" t="s">
        <v>3974</v>
      </c>
      <c r="C3624">
        <v>51.04</v>
      </c>
      <c r="D3624">
        <v>155.64</v>
      </c>
      <c r="E3624">
        <v>43.34</v>
      </c>
      <c r="F3624">
        <v>12.57</v>
      </c>
      <c r="G3624">
        <v>12.57</v>
      </c>
      <c r="H3624">
        <v>37762</v>
      </c>
      <c r="I3624">
        <v>1.53</v>
      </c>
      <c r="J3624" t="s">
        <v>14</v>
      </c>
      <c r="K3624" t="s">
        <v>115</v>
      </c>
    </row>
    <row r="3625" spans="1:11">
      <c r="A3625" t="str">
        <f>"600985"</f>
        <v>600985</v>
      </c>
      <c r="B3625" t="s">
        <v>3975</v>
      </c>
      <c r="C3625">
        <v>302.72</v>
      </c>
      <c r="D3625">
        <v>892.56</v>
      </c>
      <c r="E3625">
        <v>413.99</v>
      </c>
      <c r="F3625">
        <v>26.93</v>
      </c>
      <c r="G3625">
        <v>26.93</v>
      </c>
      <c r="H3625">
        <v>43401</v>
      </c>
      <c r="I3625">
        <v>0.73</v>
      </c>
      <c r="J3625">
        <v>21.21</v>
      </c>
      <c r="K3625" t="s">
        <v>567</v>
      </c>
    </row>
    <row r="3626" spans="1:11">
      <c r="A3626" t="str">
        <f>"600986"</f>
        <v>600986</v>
      </c>
      <c r="B3626" t="s">
        <v>3976</v>
      </c>
      <c r="C3626">
        <v>184.29</v>
      </c>
      <c r="D3626">
        <v>95.99</v>
      </c>
      <c r="E3626">
        <v>52.25</v>
      </c>
      <c r="F3626">
        <v>14.87</v>
      </c>
      <c r="G3626">
        <v>14.87</v>
      </c>
      <c r="H3626">
        <v>97018</v>
      </c>
      <c r="I3626">
        <v>3.53</v>
      </c>
      <c r="J3626">
        <v>109.15</v>
      </c>
      <c r="K3626" t="s">
        <v>333</v>
      </c>
    </row>
    <row r="3627" spans="1:11">
      <c r="A3627" t="str">
        <f>"600987"</f>
        <v>600987</v>
      </c>
      <c r="B3627" t="s">
        <v>3977</v>
      </c>
      <c r="C3627">
        <v>70.64</v>
      </c>
      <c r="D3627">
        <v>112.06</v>
      </c>
      <c r="E3627">
        <v>64.46</v>
      </c>
      <c r="F3627">
        <v>10.21</v>
      </c>
      <c r="G3627">
        <v>10.21</v>
      </c>
      <c r="H3627">
        <v>17547</v>
      </c>
      <c r="I3627">
        <v>1.1</v>
      </c>
      <c r="J3627">
        <v>10.97</v>
      </c>
      <c r="K3627" t="s">
        <v>3560</v>
      </c>
    </row>
    <row r="3628" spans="1:11">
      <c r="A3628" t="str">
        <f>"600988"</f>
        <v>600988</v>
      </c>
      <c r="B3628" t="s">
        <v>3978</v>
      </c>
      <c r="C3628">
        <v>537.78</v>
      </c>
      <c r="D3628">
        <v>234.71</v>
      </c>
      <c r="E3628">
        <v>125.21</v>
      </c>
      <c r="F3628">
        <v>19</v>
      </c>
      <c r="G3628">
        <v>16.64</v>
      </c>
      <c r="H3628">
        <v>103968</v>
      </c>
      <c r="I3628">
        <v>4.91</v>
      </c>
      <c r="J3628">
        <v>22.38</v>
      </c>
      <c r="K3628" t="s">
        <v>173</v>
      </c>
    </row>
    <row r="3629" spans="1:11">
      <c r="A3629" t="str">
        <f>"600989"</f>
        <v>600989</v>
      </c>
      <c r="B3629" t="s">
        <v>3979</v>
      </c>
      <c r="C3629">
        <v>1520.94</v>
      </c>
      <c r="D3629">
        <v>902.86</v>
      </c>
      <c r="E3629">
        <v>459.55</v>
      </c>
      <c r="F3629">
        <v>73.33</v>
      </c>
      <c r="G3629">
        <v>73.33</v>
      </c>
      <c r="H3629">
        <v>65356</v>
      </c>
      <c r="I3629">
        <v>3.31</v>
      </c>
      <c r="J3629">
        <v>12.75</v>
      </c>
      <c r="K3629" t="s">
        <v>479</v>
      </c>
    </row>
    <row r="3630" spans="1:11">
      <c r="A3630" t="str">
        <f>"600990"</f>
        <v>600990</v>
      </c>
      <c r="B3630" t="s">
        <v>3980</v>
      </c>
      <c r="C3630">
        <v>80.57</v>
      </c>
      <c r="D3630">
        <v>59.32</v>
      </c>
      <c r="E3630">
        <v>18.02</v>
      </c>
      <c r="F3630">
        <v>2.71</v>
      </c>
      <c r="G3630">
        <v>2.69</v>
      </c>
      <c r="H3630">
        <v>33476</v>
      </c>
      <c r="I3630">
        <v>4.51</v>
      </c>
      <c r="J3630" t="s">
        <v>14</v>
      </c>
      <c r="K3630" t="s">
        <v>223</v>
      </c>
    </row>
    <row r="3631" spans="1:11">
      <c r="A3631" t="str">
        <f>"600992"</f>
        <v>600992</v>
      </c>
      <c r="B3631" t="s">
        <v>3981</v>
      </c>
      <c r="C3631">
        <v>33.5</v>
      </c>
      <c r="D3631">
        <v>34.2</v>
      </c>
      <c r="E3631">
        <v>13.93</v>
      </c>
      <c r="F3631">
        <v>2.45</v>
      </c>
      <c r="G3631">
        <v>2.45</v>
      </c>
      <c r="H3631">
        <v>31697</v>
      </c>
      <c r="I3631">
        <v>2.41</v>
      </c>
      <c r="J3631" t="s">
        <v>14</v>
      </c>
      <c r="K3631" t="s">
        <v>63</v>
      </c>
    </row>
    <row r="3632" spans="1:11">
      <c r="A3632" t="str">
        <f>"600993"</f>
        <v>600993</v>
      </c>
      <c r="B3632" t="s">
        <v>3982</v>
      </c>
      <c r="C3632">
        <v>123.15</v>
      </c>
      <c r="D3632">
        <v>53.41</v>
      </c>
      <c r="E3632">
        <v>42.99</v>
      </c>
      <c r="F3632">
        <v>4.31</v>
      </c>
      <c r="G3632">
        <v>4.3</v>
      </c>
      <c r="H3632">
        <v>38300</v>
      </c>
      <c r="I3632">
        <v>2.87</v>
      </c>
      <c r="J3632">
        <v>18.47</v>
      </c>
      <c r="K3632" t="s">
        <v>155</v>
      </c>
    </row>
    <row r="3633" spans="1:11">
      <c r="A3633" t="str">
        <f>"600995"</f>
        <v>600995</v>
      </c>
      <c r="B3633" t="s">
        <v>3983</v>
      </c>
      <c r="C3633">
        <v>425.39</v>
      </c>
      <c r="D3633">
        <v>562.02</v>
      </c>
      <c r="E3633">
        <v>224.21</v>
      </c>
      <c r="F3633">
        <v>31.96</v>
      </c>
      <c r="G3633">
        <v>31.96</v>
      </c>
      <c r="H3633">
        <v>46745</v>
      </c>
      <c r="I3633">
        <v>1.9</v>
      </c>
      <c r="J3633">
        <v>22.26</v>
      </c>
      <c r="K3633" t="s">
        <v>278</v>
      </c>
    </row>
    <row r="3634" spans="1:11">
      <c r="A3634" t="str">
        <f>"600996"</f>
        <v>600996</v>
      </c>
      <c r="B3634" t="s">
        <v>3984</v>
      </c>
      <c r="C3634">
        <v>126.55</v>
      </c>
      <c r="D3634">
        <v>151.85</v>
      </c>
      <c r="E3634">
        <v>23.39</v>
      </c>
      <c r="F3634">
        <v>12.47</v>
      </c>
      <c r="G3634">
        <v>12.47</v>
      </c>
      <c r="H3634">
        <v>52676</v>
      </c>
      <c r="I3634">
        <v>5.41</v>
      </c>
      <c r="J3634" t="s">
        <v>14</v>
      </c>
      <c r="K3634" t="s">
        <v>113</v>
      </c>
    </row>
    <row r="3635" spans="1:11">
      <c r="A3635" t="str">
        <f>"600997"</f>
        <v>600997</v>
      </c>
      <c r="B3635" t="s">
        <v>3985</v>
      </c>
      <c r="C3635">
        <v>93.36</v>
      </c>
      <c r="D3635">
        <v>264.38</v>
      </c>
      <c r="E3635">
        <v>140.41</v>
      </c>
      <c r="F3635">
        <v>15.88</v>
      </c>
      <c r="G3635">
        <v>15.88</v>
      </c>
      <c r="H3635">
        <v>37654</v>
      </c>
      <c r="I3635">
        <v>0.66</v>
      </c>
      <c r="J3635">
        <v>37.85</v>
      </c>
      <c r="K3635" t="s">
        <v>388</v>
      </c>
    </row>
    <row r="3636" spans="1:11">
      <c r="A3636" t="str">
        <f>"600998"</f>
        <v>600998</v>
      </c>
      <c r="B3636" t="s">
        <v>3986</v>
      </c>
      <c r="C3636">
        <v>271.28</v>
      </c>
      <c r="D3636">
        <v>1122.78</v>
      </c>
      <c r="E3636">
        <v>282.49</v>
      </c>
      <c r="F3636">
        <v>50.42</v>
      </c>
      <c r="G3636">
        <v>50.42</v>
      </c>
      <c r="H3636">
        <v>56953</v>
      </c>
      <c r="I3636">
        <v>1.02</v>
      </c>
      <c r="J3636">
        <v>10.3</v>
      </c>
      <c r="K3636" t="s">
        <v>48</v>
      </c>
    </row>
    <row r="3637" spans="1:11">
      <c r="A3637" t="str">
        <f>"600999"</f>
        <v>600999</v>
      </c>
      <c r="B3637" t="s">
        <v>3987</v>
      </c>
      <c r="C3637">
        <v>1283.26</v>
      </c>
      <c r="D3637">
        <v>7456.32</v>
      </c>
      <c r="E3637">
        <v>1346.36</v>
      </c>
      <c r="F3637">
        <v>86.97</v>
      </c>
      <c r="G3637">
        <v>74.22</v>
      </c>
      <c r="H3637">
        <v>175873</v>
      </c>
      <c r="I3637">
        <v>1.28</v>
      </c>
      <c r="J3637">
        <v>12.71</v>
      </c>
      <c r="K3637" t="s">
        <v>120</v>
      </c>
    </row>
    <row r="3638" spans="1:11">
      <c r="A3638" t="str">
        <f>"601000"</f>
        <v>601000</v>
      </c>
      <c r="B3638" t="s">
        <v>3988</v>
      </c>
      <c r="C3638">
        <v>232.89</v>
      </c>
      <c r="D3638">
        <v>249.92</v>
      </c>
      <c r="E3638">
        <v>209.66</v>
      </c>
      <c r="F3638">
        <v>59.26</v>
      </c>
      <c r="G3638">
        <v>59.26</v>
      </c>
      <c r="H3638">
        <v>76108</v>
      </c>
      <c r="I3638">
        <v>1.11</v>
      </c>
      <c r="J3638">
        <v>12.59</v>
      </c>
      <c r="K3638" t="s">
        <v>96</v>
      </c>
    </row>
    <row r="3639" spans="1:11">
      <c r="A3639" t="str">
        <f>"601001"</f>
        <v>601001</v>
      </c>
      <c r="B3639" t="s">
        <v>3989</v>
      </c>
      <c r="C3639">
        <v>237.83</v>
      </c>
      <c r="D3639">
        <v>350.13</v>
      </c>
      <c r="E3639">
        <v>188</v>
      </c>
      <c r="F3639">
        <v>16.74</v>
      </c>
      <c r="G3639">
        <v>16.74</v>
      </c>
      <c r="H3639">
        <v>50000</v>
      </c>
      <c r="I3639">
        <v>1.27</v>
      </c>
      <c r="J3639">
        <v>13.97</v>
      </c>
      <c r="K3639" t="s">
        <v>230</v>
      </c>
    </row>
    <row r="3640" spans="1:11">
      <c r="A3640" t="str">
        <f>"601002"</f>
        <v>601002</v>
      </c>
      <c r="B3640" t="s">
        <v>3990</v>
      </c>
      <c r="C3640">
        <v>49.54</v>
      </c>
      <c r="D3640">
        <v>50.38</v>
      </c>
      <c r="E3640">
        <v>42.48</v>
      </c>
      <c r="F3640">
        <v>9.54</v>
      </c>
      <c r="G3640">
        <v>9.54</v>
      </c>
      <c r="H3640">
        <v>52191</v>
      </c>
      <c r="I3640">
        <v>1.17</v>
      </c>
      <c r="J3640">
        <v>22.82</v>
      </c>
      <c r="K3640" t="s">
        <v>424</v>
      </c>
    </row>
    <row r="3641" spans="1:11">
      <c r="A3641" t="str">
        <f>"601003"</f>
        <v>601003</v>
      </c>
      <c r="B3641" t="s">
        <v>3991</v>
      </c>
      <c r="C3641">
        <v>129.42</v>
      </c>
      <c r="D3641">
        <v>637.21</v>
      </c>
      <c r="E3641">
        <v>90.25</v>
      </c>
      <c r="F3641">
        <v>25.63</v>
      </c>
      <c r="G3641">
        <v>25.63</v>
      </c>
      <c r="H3641">
        <v>62157</v>
      </c>
      <c r="I3641">
        <v>1.43</v>
      </c>
      <c r="J3641">
        <v>14.72</v>
      </c>
      <c r="K3641" t="s">
        <v>366</v>
      </c>
    </row>
    <row r="3642" spans="1:11">
      <c r="A3642" t="str">
        <f>"601005"</f>
        <v>601005</v>
      </c>
      <c r="B3642" t="s">
        <v>3992</v>
      </c>
      <c r="C3642">
        <v>125.54</v>
      </c>
      <c r="D3642">
        <v>350.77</v>
      </c>
      <c r="E3642">
        <v>164.08</v>
      </c>
      <c r="F3642">
        <v>88.52</v>
      </c>
      <c r="G3642">
        <v>83.14</v>
      </c>
      <c r="H3642">
        <v>180847</v>
      </c>
      <c r="I3642">
        <v>0.81</v>
      </c>
      <c r="J3642" t="s">
        <v>14</v>
      </c>
      <c r="K3642" t="s">
        <v>366</v>
      </c>
    </row>
    <row r="3643" spans="1:11">
      <c r="A3643" t="str">
        <f>"601006"</f>
        <v>601006</v>
      </c>
      <c r="B3643" t="s">
        <v>3993</v>
      </c>
      <c r="C3643">
        <v>1025.49</v>
      </c>
      <c r="D3643">
        <v>2119.23</v>
      </c>
      <c r="E3643">
        <v>1664.09</v>
      </c>
      <c r="F3643">
        <v>201.47</v>
      </c>
      <c r="G3643">
        <v>201.47</v>
      </c>
      <c r="H3643">
        <v>210325</v>
      </c>
      <c r="I3643">
        <v>0.62</v>
      </c>
      <c r="J3643">
        <v>12.36</v>
      </c>
      <c r="K3643" t="s">
        <v>235</v>
      </c>
    </row>
    <row r="3644" spans="1:11">
      <c r="A3644" t="str">
        <f>"601007"</f>
        <v>601007</v>
      </c>
      <c r="B3644" t="s">
        <v>3994</v>
      </c>
      <c r="C3644">
        <v>30.77</v>
      </c>
      <c r="D3644">
        <v>34.32</v>
      </c>
      <c r="E3644">
        <v>15.84</v>
      </c>
      <c r="F3644">
        <v>3.9</v>
      </c>
      <c r="G3644">
        <v>3.9</v>
      </c>
      <c r="H3644">
        <v>30169</v>
      </c>
      <c r="I3644">
        <v>1.94</v>
      </c>
      <c r="J3644">
        <v>57.59</v>
      </c>
      <c r="K3644" t="s">
        <v>159</v>
      </c>
    </row>
    <row r="3645" spans="1:11">
      <c r="A3645" t="str">
        <f>"601008"</f>
        <v>601008</v>
      </c>
      <c r="B3645" t="s">
        <v>3995</v>
      </c>
      <c r="C3645">
        <v>65.26</v>
      </c>
      <c r="D3645">
        <v>143.69</v>
      </c>
      <c r="E3645">
        <v>41.23</v>
      </c>
      <c r="F3645">
        <v>12.41</v>
      </c>
      <c r="G3645">
        <v>12.41</v>
      </c>
      <c r="H3645">
        <v>101408</v>
      </c>
      <c r="I3645">
        <v>1.58</v>
      </c>
      <c r="J3645">
        <v>46.09</v>
      </c>
      <c r="K3645" t="s">
        <v>96</v>
      </c>
    </row>
    <row r="3646" spans="1:11">
      <c r="A3646" t="str">
        <f>"601009"</f>
        <v>601009</v>
      </c>
      <c r="B3646" t="s">
        <v>3996</v>
      </c>
      <c r="C3646">
        <v>1321.67</v>
      </c>
      <c r="D3646">
        <v>29623.08</v>
      </c>
      <c r="E3646">
        <v>2119.31</v>
      </c>
      <c r="F3646">
        <v>123.64</v>
      </c>
      <c r="G3646">
        <v>123.64</v>
      </c>
      <c r="H3646">
        <v>76761</v>
      </c>
      <c r="I3646">
        <v>0.73</v>
      </c>
      <c r="J3646">
        <v>5.51</v>
      </c>
      <c r="K3646" t="s">
        <v>643</v>
      </c>
    </row>
    <row r="3647" spans="1:11">
      <c r="A3647" t="str">
        <f>"601010"</f>
        <v>601010</v>
      </c>
      <c r="B3647" t="s">
        <v>3997</v>
      </c>
      <c r="C3647">
        <v>52.85</v>
      </c>
      <c r="D3647">
        <v>62.93</v>
      </c>
      <c r="E3647">
        <v>42.81</v>
      </c>
      <c r="F3647">
        <v>18.48</v>
      </c>
      <c r="G3647">
        <v>18.48</v>
      </c>
      <c r="H3647">
        <v>102583</v>
      </c>
      <c r="I3647">
        <v>1.23</v>
      </c>
      <c r="J3647">
        <v>233.25</v>
      </c>
      <c r="K3647" t="s">
        <v>146</v>
      </c>
    </row>
    <row r="3648" spans="1:11">
      <c r="A3648" t="str">
        <f>"601011"</f>
        <v>601011</v>
      </c>
      <c r="B3648" t="s">
        <v>3998</v>
      </c>
      <c r="C3648">
        <v>65.13</v>
      </c>
      <c r="D3648">
        <v>116.43</v>
      </c>
      <c r="E3648">
        <v>57.59</v>
      </c>
      <c r="F3648">
        <v>19.16</v>
      </c>
      <c r="G3648">
        <v>19.16</v>
      </c>
      <c r="H3648">
        <v>83064</v>
      </c>
      <c r="I3648">
        <v>1.13</v>
      </c>
      <c r="J3648">
        <v>97.01</v>
      </c>
      <c r="K3648" t="s">
        <v>388</v>
      </c>
    </row>
    <row r="3649" spans="1:11">
      <c r="A3649" t="str">
        <f>"601012"</f>
        <v>601012</v>
      </c>
      <c r="B3649" t="s">
        <v>3999</v>
      </c>
      <c r="C3649">
        <v>1408.76</v>
      </c>
      <c r="D3649">
        <v>1539.72</v>
      </c>
      <c r="E3649">
        <v>573.82</v>
      </c>
      <c r="F3649">
        <v>75.78</v>
      </c>
      <c r="G3649">
        <v>75.78</v>
      </c>
      <c r="H3649">
        <v>821833</v>
      </c>
      <c r="I3649">
        <v>2.48</v>
      </c>
      <c r="J3649" t="s">
        <v>14</v>
      </c>
      <c r="K3649" t="s">
        <v>815</v>
      </c>
    </row>
    <row r="3650" spans="1:11">
      <c r="A3650" t="str">
        <f>"601015"</f>
        <v>601015</v>
      </c>
      <c r="B3650" t="s">
        <v>4000</v>
      </c>
      <c r="C3650">
        <v>80.27</v>
      </c>
      <c r="D3650">
        <v>194.11</v>
      </c>
      <c r="E3650">
        <v>56.39</v>
      </c>
      <c r="F3650">
        <v>20.42</v>
      </c>
      <c r="G3650">
        <v>20.42</v>
      </c>
      <c r="H3650">
        <v>79386</v>
      </c>
      <c r="I3650">
        <v>1.42</v>
      </c>
      <c r="J3650" t="s">
        <v>14</v>
      </c>
      <c r="K3650" t="s">
        <v>388</v>
      </c>
    </row>
    <row r="3651" spans="1:11">
      <c r="A3651" t="str">
        <f>"601016"</f>
        <v>601016</v>
      </c>
      <c r="B3651" t="s">
        <v>4001</v>
      </c>
      <c r="C3651">
        <v>186.92</v>
      </c>
      <c r="D3651">
        <v>449.68</v>
      </c>
      <c r="E3651">
        <v>177.85</v>
      </c>
      <c r="F3651">
        <v>64.4</v>
      </c>
      <c r="G3651">
        <v>59.34</v>
      </c>
      <c r="H3651">
        <v>188958</v>
      </c>
      <c r="I3651">
        <v>1.16</v>
      </c>
      <c r="J3651">
        <v>20.28</v>
      </c>
      <c r="K3651" t="s">
        <v>111</v>
      </c>
    </row>
    <row r="3652" spans="1:11">
      <c r="A3652" t="str">
        <f>"601018"</f>
        <v>601018</v>
      </c>
      <c r="B3652" t="s">
        <v>4002</v>
      </c>
      <c r="C3652">
        <v>710.09</v>
      </c>
      <c r="D3652">
        <v>1176.26</v>
      </c>
      <c r="E3652">
        <v>796.28</v>
      </c>
      <c r="F3652">
        <v>194.54</v>
      </c>
      <c r="G3652">
        <v>194.54</v>
      </c>
      <c r="H3652">
        <v>149453</v>
      </c>
      <c r="I3652">
        <v>0.89</v>
      </c>
      <c r="J3652">
        <v>13.75</v>
      </c>
      <c r="K3652" t="s">
        <v>96</v>
      </c>
    </row>
    <row r="3653" spans="1:11">
      <c r="A3653" t="str">
        <f>"601019"</f>
        <v>601019</v>
      </c>
      <c r="B3653" t="s">
        <v>4003</v>
      </c>
      <c r="C3653">
        <v>192.2</v>
      </c>
      <c r="D3653">
        <v>233.45</v>
      </c>
      <c r="E3653">
        <v>155.53</v>
      </c>
      <c r="F3653">
        <v>20.87</v>
      </c>
      <c r="G3653">
        <v>20.87</v>
      </c>
      <c r="H3653">
        <v>32430</v>
      </c>
      <c r="I3653">
        <v>1.24</v>
      </c>
      <c r="J3653">
        <v>11.59</v>
      </c>
      <c r="K3653" t="s">
        <v>1948</v>
      </c>
    </row>
    <row r="3654" spans="1:11">
      <c r="A3654" t="str">
        <f>"601020"</f>
        <v>601020</v>
      </c>
      <c r="B3654" t="s">
        <v>4004</v>
      </c>
      <c r="C3654">
        <v>244.43</v>
      </c>
      <c r="D3654">
        <v>103.72</v>
      </c>
      <c r="E3654">
        <v>42.78</v>
      </c>
      <c r="F3654">
        <v>8.2</v>
      </c>
      <c r="G3654">
        <v>8.2</v>
      </c>
      <c r="H3654">
        <v>66715</v>
      </c>
      <c r="I3654">
        <v>5.71</v>
      </c>
      <c r="J3654">
        <v>22.88</v>
      </c>
      <c r="K3654" t="s">
        <v>79</v>
      </c>
    </row>
    <row r="3655" spans="1:11">
      <c r="A3655" t="str">
        <f>"601021"</f>
        <v>601021</v>
      </c>
      <c r="B3655" t="s">
        <v>4005</v>
      </c>
      <c r="C3655">
        <v>562.44</v>
      </c>
      <c r="D3655">
        <v>465.27</v>
      </c>
      <c r="E3655">
        <v>181.79</v>
      </c>
      <c r="F3655">
        <v>9.78</v>
      </c>
      <c r="G3655">
        <v>9.78</v>
      </c>
      <c r="H3655">
        <v>30164</v>
      </c>
      <c r="I3655">
        <v>3.09</v>
      </c>
      <c r="J3655">
        <v>18.06</v>
      </c>
      <c r="K3655" t="s">
        <v>104</v>
      </c>
    </row>
    <row r="3656" spans="1:11">
      <c r="A3656" t="str">
        <f>"601022"</f>
        <v>601022</v>
      </c>
      <c r="B3656" t="s">
        <v>4006</v>
      </c>
      <c r="C3656">
        <v>123.01</v>
      </c>
      <c r="D3656">
        <v>87.6</v>
      </c>
      <c r="E3656">
        <v>60.2</v>
      </c>
      <c r="F3656">
        <v>13.09</v>
      </c>
      <c r="G3656">
        <v>13.09</v>
      </c>
      <c r="H3656">
        <v>46626</v>
      </c>
      <c r="I3656">
        <v>2.04</v>
      </c>
      <c r="J3656">
        <v>17.31</v>
      </c>
      <c r="K3656" t="s">
        <v>188</v>
      </c>
    </row>
    <row r="3657" spans="1:11">
      <c r="A3657" t="str">
        <f>"601026"</f>
        <v>601026</v>
      </c>
      <c r="B3657" t="s">
        <v>4007</v>
      </c>
      <c r="C3657">
        <v>21.93</v>
      </c>
      <c r="D3657">
        <v>38.11</v>
      </c>
      <c r="E3657">
        <v>19.62</v>
      </c>
      <c r="F3657">
        <v>6.59</v>
      </c>
      <c r="G3657">
        <v>1.07</v>
      </c>
      <c r="H3657">
        <v>151238</v>
      </c>
      <c r="I3657">
        <v>5.09</v>
      </c>
      <c r="J3657">
        <v>65.92</v>
      </c>
      <c r="K3657" t="s">
        <v>456</v>
      </c>
    </row>
    <row r="3658" spans="1:11">
      <c r="A3658" t="str">
        <f>"601033"</f>
        <v>601033</v>
      </c>
      <c r="B3658" t="s">
        <v>4008</v>
      </c>
      <c r="C3658">
        <v>36.26</v>
      </c>
      <c r="D3658">
        <v>256.17</v>
      </c>
      <c r="E3658">
        <v>107.07</v>
      </c>
      <c r="F3658">
        <v>9</v>
      </c>
      <c r="G3658">
        <v>2.4</v>
      </c>
      <c r="H3658">
        <v>29360</v>
      </c>
      <c r="I3658">
        <v>1.27</v>
      </c>
      <c r="J3658">
        <v>13.68</v>
      </c>
      <c r="K3658" t="s">
        <v>59</v>
      </c>
    </row>
    <row r="3659" spans="1:11">
      <c r="A3659" t="str">
        <f>"601038"</f>
        <v>601038</v>
      </c>
      <c r="B3659" t="s">
        <v>4009</v>
      </c>
      <c r="C3659">
        <v>100.24</v>
      </c>
      <c r="D3659">
        <v>162.47</v>
      </c>
      <c r="E3659">
        <v>78.4</v>
      </c>
      <c r="F3659">
        <v>11.24</v>
      </c>
      <c r="G3659">
        <v>7.32</v>
      </c>
      <c r="H3659">
        <v>33867</v>
      </c>
      <c r="I3659">
        <v>1.96</v>
      </c>
      <c r="J3659">
        <v>11.61</v>
      </c>
      <c r="K3659" t="s">
        <v>1556</v>
      </c>
    </row>
    <row r="3660" spans="1:11">
      <c r="A3660" t="str">
        <f>"601058"</f>
        <v>601058</v>
      </c>
      <c r="B3660" t="s">
        <v>4010</v>
      </c>
      <c r="C3660">
        <v>506.04</v>
      </c>
      <c r="D3660">
        <v>458.25</v>
      </c>
      <c r="E3660">
        <v>210.68</v>
      </c>
      <c r="F3660">
        <v>32.88</v>
      </c>
      <c r="G3660">
        <v>32.88</v>
      </c>
      <c r="H3660">
        <v>47367</v>
      </c>
      <c r="I3660">
        <v>2.4</v>
      </c>
      <c r="J3660">
        <v>13.22</v>
      </c>
      <c r="K3660" t="s">
        <v>263</v>
      </c>
    </row>
    <row r="3661" spans="1:11">
      <c r="A3661" t="str">
        <f>"601059"</f>
        <v>601059</v>
      </c>
      <c r="B3661" t="s">
        <v>4011</v>
      </c>
      <c r="C3661">
        <v>123.38</v>
      </c>
      <c r="D3661">
        <v>1282.51</v>
      </c>
      <c r="E3661">
        <v>263.66</v>
      </c>
      <c r="F3661">
        <v>32.43</v>
      </c>
      <c r="G3661">
        <v>6.92</v>
      </c>
      <c r="H3661">
        <v>80157</v>
      </c>
      <c r="I3661">
        <v>2.84</v>
      </c>
      <c r="J3661">
        <v>32.05</v>
      </c>
      <c r="K3661" t="s">
        <v>120</v>
      </c>
    </row>
    <row r="3662" spans="1:11">
      <c r="A3662" t="str">
        <f>"601061"</f>
        <v>601061</v>
      </c>
      <c r="B3662" t="s">
        <v>4012</v>
      </c>
      <c r="C3662">
        <v>78.08</v>
      </c>
      <c r="D3662">
        <v>528.36</v>
      </c>
      <c r="E3662">
        <v>236.42</v>
      </c>
      <c r="F3662">
        <v>49</v>
      </c>
      <c r="G3662">
        <v>5.01</v>
      </c>
      <c r="H3662">
        <v>57030</v>
      </c>
      <c r="I3662">
        <v>3.23</v>
      </c>
      <c r="J3662">
        <v>24.62</v>
      </c>
      <c r="K3662" t="s">
        <v>107</v>
      </c>
    </row>
    <row r="3663" spans="1:11">
      <c r="A3663" t="str">
        <f>"601065"</f>
        <v>601065</v>
      </c>
      <c r="B3663" t="s">
        <v>4013</v>
      </c>
      <c r="C3663">
        <v>35.09</v>
      </c>
      <c r="D3663">
        <v>56.83</v>
      </c>
      <c r="E3663">
        <v>44.25</v>
      </c>
      <c r="F3663">
        <v>6.43</v>
      </c>
      <c r="G3663">
        <v>4.16</v>
      </c>
      <c r="H3663">
        <v>34096</v>
      </c>
      <c r="I3663">
        <v>1.22</v>
      </c>
      <c r="J3663">
        <v>20.76</v>
      </c>
      <c r="K3663" t="s">
        <v>1781</v>
      </c>
    </row>
    <row r="3664" spans="1:11">
      <c r="A3664" t="str">
        <f>"601066"</f>
        <v>601066</v>
      </c>
      <c r="B3664" t="s">
        <v>4014</v>
      </c>
      <c r="C3664">
        <v>1661.59</v>
      </c>
      <c r="D3664">
        <v>6627.57</v>
      </c>
      <c r="E3664">
        <v>1157.79</v>
      </c>
      <c r="F3664">
        <v>77.57</v>
      </c>
      <c r="G3664">
        <v>64.96</v>
      </c>
      <c r="H3664">
        <v>118395</v>
      </c>
      <c r="I3664">
        <v>2.42</v>
      </c>
      <c r="J3664">
        <v>20.99</v>
      </c>
      <c r="K3664" t="s">
        <v>120</v>
      </c>
    </row>
    <row r="3665" spans="1:11">
      <c r="A3665" t="str">
        <f>"601068"</f>
        <v>601068</v>
      </c>
      <c r="B3665" t="s">
        <v>4015</v>
      </c>
      <c r="C3665">
        <v>148.46</v>
      </c>
      <c r="D3665">
        <v>419.2</v>
      </c>
      <c r="E3665">
        <v>95.09</v>
      </c>
      <c r="F3665">
        <v>29.88</v>
      </c>
      <c r="G3665">
        <v>25.6</v>
      </c>
      <c r="H3665">
        <v>37383</v>
      </c>
      <c r="I3665">
        <v>5.94</v>
      </c>
      <c r="J3665">
        <v>109.33</v>
      </c>
      <c r="K3665" t="s">
        <v>55</v>
      </c>
    </row>
    <row r="3666" spans="1:11">
      <c r="A3666" t="str">
        <f>"601069"</f>
        <v>601069</v>
      </c>
      <c r="B3666" t="s">
        <v>4016</v>
      </c>
      <c r="C3666">
        <v>264.83</v>
      </c>
      <c r="D3666">
        <v>144.48</v>
      </c>
      <c r="E3666">
        <v>45.53</v>
      </c>
      <c r="F3666">
        <v>9.11</v>
      </c>
      <c r="G3666">
        <v>8.87</v>
      </c>
      <c r="H3666">
        <v>79443</v>
      </c>
      <c r="I3666">
        <v>5.97</v>
      </c>
      <c r="J3666">
        <v>68.87</v>
      </c>
      <c r="K3666" t="s">
        <v>173</v>
      </c>
    </row>
    <row r="3667" spans="1:11">
      <c r="A3667" t="str">
        <f>"601077"</f>
        <v>601077</v>
      </c>
      <c r="B3667" t="s">
        <v>4017</v>
      </c>
      <c r="C3667">
        <v>577.14</v>
      </c>
      <c r="D3667">
        <v>16558.1</v>
      </c>
      <c r="E3667">
        <v>1375.68</v>
      </c>
      <c r="F3667">
        <v>113.57</v>
      </c>
      <c r="G3667">
        <v>88.38</v>
      </c>
      <c r="H3667">
        <v>116423</v>
      </c>
      <c r="I3667">
        <v>0.56</v>
      </c>
      <c r="J3667">
        <v>5.2</v>
      </c>
      <c r="K3667" t="s">
        <v>1581</v>
      </c>
    </row>
    <row r="3668" spans="1:11">
      <c r="A3668" t="str">
        <f>"601083"</f>
        <v>601083</v>
      </c>
      <c r="B3668" t="s">
        <v>4018</v>
      </c>
      <c r="C3668">
        <v>22.34</v>
      </c>
      <c r="D3668">
        <v>112.71</v>
      </c>
      <c r="E3668">
        <v>91.38</v>
      </c>
      <c r="F3668">
        <v>12.94</v>
      </c>
      <c r="G3668">
        <v>1.94</v>
      </c>
      <c r="H3668">
        <v>36077</v>
      </c>
      <c r="I3668">
        <v>1.63</v>
      </c>
      <c r="J3668">
        <v>9.43</v>
      </c>
      <c r="K3668" t="s">
        <v>188</v>
      </c>
    </row>
    <row r="3669" spans="1:11">
      <c r="A3669" t="str">
        <f>"601086"</f>
        <v>601086</v>
      </c>
      <c r="B3669" t="s">
        <v>4019</v>
      </c>
      <c r="C3669">
        <v>70.53</v>
      </c>
      <c r="D3669">
        <v>27.78</v>
      </c>
      <c r="E3669">
        <v>15.9</v>
      </c>
      <c r="F3669">
        <v>6.66</v>
      </c>
      <c r="G3669">
        <v>6.66</v>
      </c>
      <c r="H3669">
        <v>51102</v>
      </c>
      <c r="I3669">
        <v>4.43</v>
      </c>
      <c r="J3669">
        <v>86.84</v>
      </c>
      <c r="K3669" t="s">
        <v>146</v>
      </c>
    </row>
    <row r="3670" spans="1:11">
      <c r="A3670" t="str">
        <f>"601088"</f>
        <v>601088</v>
      </c>
      <c r="B3670" t="s">
        <v>4020</v>
      </c>
      <c r="C3670">
        <v>6883.36</v>
      </c>
      <c r="D3670">
        <v>6428.76</v>
      </c>
      <c r="E3670">
        <v>4160.85</v>
      </c>
      <c r="F3670">
        <v>198.69</v>
      </c>
      <c r="G3670">
        <v>164.91</v>
      </c>
      <c r="H3670">
        <v>209226</v>
      </c>
      <c r="I3670">
        <v>1.99</v>
      </c>
      <c r="J3670">
        <v>15.93</v>
      </c>
      <c r="K3670" t="s">
        <v>230</v>
      </c>
    </row>
    <row r="3671" spans="1:11">
      <c r="A3671" t="str">
        <f>"601089"</f>
        <v>601089</v>
      </c>
      <c r="B3671" t="s">
        <v>4021</v>
      </c>
      <c r="C3671">
        <v>137.81</v>
      </c>
      <c r="D3671">
        <v>47.93</v>
      </c>
      <c r="E3671">
        <v>36.85</v>
      </c>
      <c r="F3671">
        <v>4.8</v>
      </c>
      <c r="G3671">
        <v>4.8</v>
      </c>
      <c r="H3671">
        <v>22691</v>
      </c>
      <c r="I3671">
        <v>3.74</v>
      </c>
      <c r="J3671">
        <v>27.54</v>
      </c>
      <c r="K3671" t="s">
        <v>109</v>
      </c>
    </row>
    <row r="3672" spans="1:11">
      <c r="A3672" t="str">
        <f>"601096"</f>
        <v>601096</v>
      </c>
      <c r="B3672" t="s">
        <v>4022</v>
      </c>
      <c r="C3672">
        <v>70.98</v>
      </c>
      <c r="D3672">
        <v>99.3</v>
      </c>
      <c r="E3672">
        <v>45.84</v>
      </c>
      <c r="F3672">
        <v>26.75</v>
      </c>
      <c r="G3672">
        <v>16.43</v>
      </c>
      <c r="H3672">
        <v>76755</v>
      </c>
      <c r="I3672">
        <v>2.52</v>
      </c>
      <c r="J3672">
        <v>30.63</v>
      </c>
      <c r="K3672" t="s">
        <v>904</v>
      </c>
    </row>
    <row r="3673" spans="1:11">
      <c r="A3673" t="str">
        <f>"601098"</f>
        <v>601098</v>
      </c>
      <c r="B3673" t="s">
        <v>4023</v>
      </c>
      <c r="C3673">
        <v>209.59</v>
      </c>
      <c r="D3673">
        <v>267.07</v>
      </c>
      <c r="E3673">
        <v>157.53</v>
      </c>
      <c r="F3673">
        <v>17.96</v>
      </c>
      <c r="G3673">
        <v>17.96</v>
      </c>
      <c r="H3673">
        <v>30218</v>
      </c>
      <c r="I3673">
        <v>1.33</v>
      </c>
      <c r="J3673">
        <v>13.43</v>
      </c>
      <c r="K3673" t="s">
        <v>1948</v>
      </c>
    </row>
    <row r="3674" spans="1:11">
      <c r="A3674" t="str">
        <f>"601099"</f>
        <v>601099</v>
      </c>
      <c r="B3674" t="s">
        <v>4024</v>
      </c>
      <c r="C3674">
        <v>300.6</v>
      </c>
      <c r="D3674">
        <v>200.02</v>
      </c>
      <c r="E3674">
        <v>99.45</v>
      </c>
      <c r="F3674">
        <v>68.16</v>
      </c>
      <c r="G3674">
        <v>68.16</v>
      </c>
      <c r="H3674">
        <v>365169</v>
      </c>
      <c r="I3674">
        <v>3.02</v>
      </c>
      <c r="J3674">
        <v>91.78</v>
      </c>
      <c r="K3674" t="s">
        <v>120</v>
      </c>
    </row>
    <row r="3675" spans="1:11">
      <c r="A3675" t="str">
        <f>"601100"</f>
        <v>601100</v>
      </c>
      <c r="B3675" t="s">
        <v>4025</v>
      </c>
      <c r="C3675">
        <v>1531.22</v>
      </c>
      <c r="D3675">
        <v>210.1</v>
      </c>
      <c r="E3675">
        <v>170.56</v>
      </c>
      <c r="F3675">
        <v>13.41</v>
      </c>
      <c r="G3675">
        <v>13.41</v>
      </c>
      <c r="H3675">
        <v>36857</v>
      </c>
      <c r="I3675">
        <v>8.98</v>
      </c>
      <c r="J3675">
        <v>55.03</v>
      </c>
      <c r="K3675" t="s">
        <v>641</v>
      </c>
    </row>
    <row r="3676" spans="1:11">
      <c r="A3676" t="str">
        <f>"601101"</f>
        <v>601101</v>
      </c>
      <c r="B3676" t="s">
        <v>4026</v>
      </c>
      <c r="C3676">
        <v>106.42</v>
      </c>
      <c r="D3676">
        <v>284.49</v>
      </c>
      <c r="E3676">
        <v>120.81</v>
      </c>
      <c r="F3676">
        <v>14.4</v>
      </c>
      <c r="G3676">
        <v>14.4</v>
      </c>
      <c r="H3676">
        <v>36812</v>
      </c>
      <c r="I3676">
        <v>0.88</v>
      </c>
      <c r="J3676">
        <v>14.4</v>
      </c>
      <c r="K3676" t="s">
        <v>230</v>
      </c>
    </row>
    <row r="3677" spans="1:11">
      <c r="A3677" t="str">
        <f>"601106"</f>
        <v>601106</v>
      </c>
      <c r="B3677" t="s">
        <v>4027</v>
      </c>
      <c r="C3677">
        <v>452.61</v>
      </c>
      <c r="D3677">
        <v>384.86</v>
      </c>
      <c r="E3677">
        <v>52.74</v>
      </c>
      <c r="F3677">
        <v>68.58</v>
      </c>
      <c r="G3677">
        <v>68.58</v>
      </c>
      <c r="H3677">
        <v>223088</v>
      </c>
      <c r="I3677">
        <v>8.58</v>
      </c>
      <c r="J3677" t="s">
        <v>14</v>
      </c>
      <c r="K3677" t="s">
        <v>491</v>
      </c>
    </row>
    <row r="3678" spans="1:11">
      <c r="A3678" t="str">
        <f>"601107"</f>
        <v>601107</v>
      </c>
      <c r="B3678" t="s">
        <v>4028</v>
      </c>
      <c r="C3678">
        <v>129.33</v>
      </c>
      <c r="D3678">
        <v>628.47</v>
      </c>
      <c r="E3678">
        <v>200.06</v>
      </c>
      <c r="F3678">
        <v>30.58</v>
      </c>
      <c r="G3678">
        <v>21.63</v>
      </c>
      <c r="H3678">
        <v>34012</v>
      </c>
      <c r="I3678">
        <v>1.09</v>
      </c>
      <c r="J3678">
        <v>10.55</v>
      </c>
      <c r="K3678" t="s">
        <v>161</v>
      </c>
    </row>
    <row r="3679" spans="1:11">
      <c r="A3679" t="str">
        <f>"601108"</f>
        <v>601108</v>
      </c>
      <c r="B3679" t="s">
        <v>4029</v>
      </c>
      <c r="C3679">
        <v>418.87</v>
      </c>
      <c r="D3679">
        <v>1483.5</v>
      </c>
      <c r="E3679">
        <v>374.19</v>
      </c>
      <c r="F3679">
        <v>46.44</v>
      </c>
      <c r="G3679">
        <v>46.44</v>
      </c>
      <c r="H3679">
        <v>106571</v>
      </c>
      <c r="I3679">
        <v>1.13</v>
      </c>
      <c r="J3679">
        <v>15.42</v>
      </c>
      <c r="K3679" t="s">
        <v>120</v>
      </c>
    </row>
    <row r="3680" spans="1:11">
      <c r="A3680" t="str">
        <f>"601111"</f>
        <v>601111</v>
      </c>
      <c r="B3680" t="s">
        <v>4030</v>
      </c>
      <c r="C3680">
        <v>995.06</v>
      </c>
      <c r="D3680">
        <v>3493.63</v>
      </c>
      <c r="E3680">
        <v>463.51</v>
      </c>
      <c r="F3680">
        <v>174.48</v>
      </c>
      <c r="G3680">
        <v>116.38</v>
      </c>
      <c r="H3680">
        <v>129056</v>
      </c>
      <c r="I3680">
        <v>3.22</v>
      </c>
      <c r="J3680">
        <v>59.84</v>
      </c>
      <c r="K3680" t="s">
        <v>104</v>
      </c>
    </row>
    <row r="3681" spans="1:11">
      <c r="A3681" t="str">
        <f>"601113"</f>
        <v>601113</v>
      </c>
      <c r="B3681" t="s">
        <v>4031</v>
      </c>
      <c r="C3681">
        <v>53.66</v>
      </c>
      <c r="D3681">
        <v>63.79</v>
      </c>
      <c r="E3681">
        <v>39.73</v>
      </c>
      <c r="F3681">
        <v>11.04</v>
      </c>
      <c r="G3681">
        <v>11.04</v>
      </c>
      <c r="H3681">
        <v>29389</v>
      </c>
      <c r="I3681">
        <v>1.35</v>
      </c>
      <c r="J3681">
        <v>21.44</v>
      </c>
      <c r="K3681" t="s">
        <v>430</v>
      </c>
    </row>
    <row r="3682" spans="1:11">
      <c r="A3682" t="str">
        <f>"601116"</f>
        <v>601116</v>
      </c>
      <c r="B3682" t="s">
        <v>4032</v>
      </c>
      <c r="C3682">
        <v>114.36</v>
      </c>
      <c r="D3682">
        <v>50.73</v>
      </c>
      <c r="E3682">
        <v>32.16</v>
      </c>
      <c r="F3682">
        <v>5.48</v>
      </c>
      <c r="G3682">
        <v>5.48</v>
      </c>
      <c r="H3682">
        <v>48419</v>
      </c>
      <c r="I3682">
        <v>3.56</v>
      </c>
      <c r="J3682">
        <v>74.91</v>
      </c>
      <c r="K3682" t="s">
        <v>415</v>
      </c>
    </row>
    <row r="3683" spans="1:11">
      <c r="A3683" t="str">
        <f>"601117"</f>
        <v>601117</v>
      </c>
      <c r="B3683" t="s">
        <v>4033</v>
      </c>
      <c r="C3683">
        <v>476.09</v>
      </c>
      <c r="D3683">
        <v>2425.98</v>
      </c>
      <c r="E3683">
        <v>655.27</v>
      </c>
      <c r="F3683">
        <v>61.07</v>
      </c>
      <c r="G3683">
        <v>60.88</v>
      </c>
      <c r="H3683">
        <v>111241</v>
      </c>
      <c r="I3683">
        <v>0.73</v>
      </c>
      <c r="J3683">
        <v>8.46</v>
      </c>
      <c r="K3683" t="s">
        <v>910</v>
      </c>
    </row>
    <row r="3684" spans="1:11">
      <c r="A3684" t="str">
        <f>"601118"</f>
        <v>601118</v>
      </c>
      <c r="B3684" t="s">
        <v>4034</v>
      </c>
      <c r="C3684">
        <v>255.91</v>
      </c>
      <c r="D3684">
        <v>355.32</v>
      </c>
      <c r="E3684">
        <v>100.45</v>
      </c>
      <c r="F3684">
        <v>42.79</v>
      </c>
      <c r="G3684">
        <v>42.79</v>
      </c>
      <c r="H3684">
        <v>99000</v>
      </c>
      <c r="I3684">
        <v>2.64</v>
      </c>
      <c r="J3684" t="s">
        <v>14</v>
      </c>
      <c r="K3684" t="s">
        <v>3305</v>
      </c>
    </row>
    <row r="3685" spans="1:11">
      <c r="A3685" t="str">
        <f>"601121"</f>
        <v>601121</v>
      </c>
      <c r="B3685" t="s">
        <v>4035</v>
      </c>
      <c r="C3685">
        <v>28.84</v>
      </c>
      <c r="D3685">
        <v>70.43</v>
      </c>
      <c r="E3685">
        <v>31.46</v>
      </c>
      <c r="F3685">
        <v>8</v>
      </c>
      <c r="G3685">
        <v>3.8</v>
      </c>
      <c r="H3685">
        <v>32746</v>
      </c>
      <c r="I3685">
        <v>1.93</v>
      </c>
      <c r="J3685">
        <v>39.26</v>
      </c>
      <c r="K3685" t="s">
        <v>319</v>
      </c>
    </row>
    <row r="3686" spans="1:11">
      <c r="A3686" t="str">
        <f>"601126"</f>
        <v>601126</v>
      </c>
      <c r="B3686" t="s">
        <v>4036</v>
      </c>
      <c r="C3686">
        <v>289.93</v>
      </c>
      <c r="D3686">
        <v>118.54</v>
      </c>
      <c r="E3686">
        <v>47.29</v>
      </c>
      <c r="F3686">
        <v>8.33</v>
      </c>
      <c r="G3686">
        <v>8.25</v>
      </c>
      <c r="H3686">
        <v>33761</v>
      </c>
      <c r="I3686">
        <v>6.19</v>
      </c>
      <c r="J3686">
        <v>31.19</v>
      </c>
      <c r="K3686" t="s">
        <v>127</v>
      </c>
    </row>
    <row r="3687" spans="1:11">
      <c r="A3687" t="str">
        <f>"601127"</f>
        <v>601127</v>
      </c>
      <c r="B3687" t="s">
        <v>4037</v>
      </c>
      <c r="C3687">
        <v>1837.4</v>
      </c>
      <c r="D3687">
        <v>1215.06</v>
      </c>
      <c r="E3687">
        <v>278.03</v>
      </c>
      <c r="F3687">
        <v>17.42</v>
      </c>
      <c r="G3687">
        <v>15.1</v>
      </c>
      <c r="H3687">
        <v>192577</v>
      </c>
      <c r="I3687">
        <v>7.15</v>
      </c>
      <c r="J3687">
        <v>29.93</v>
      </c>
      <c r="K3687" t="s">
        <v>256</v>
      </c>
    </row>
    <row r="3688" spans="1:11">
      <c r="A3688" t="str">
        <f>"601128"</f>
        <v>601128</v>
      </c>
      <c r="B3688" t="s">
        <v>4038</v>
      </c>
      <c r="C3688">
        <v>230.83</v>
      </c>
      <c r="D3688">
        <v>4022.3</v>
      </c>
      <c r="E3688">
        <v>304.57</v>
      </c>
      <c r="F3688">
        <v>33.17</v>
      </c>
      <c r="G3688">
        <v>33.17</v>
      </c>
      <c r="H3688">
        <v>49554</v>
      </c>
      <c r="I3688">
        <v>0.76</v>
      </c>
      <c r="J3688">
        <v>5.16</v>
      </c>
      <c r="K3688" t="s">
        <v>1581</v>
      </c>
    </row>
    <row r="3689" spans="1:11">
      <c r="A3689" t="str">
        <f>"601133"</f>
        <v>601133</v>
      </c>
      <c r="B3689" t="s">
        <v>4039</v>
      </c>
      <c r="C3689">
        <v>25.17</v>
      </c>
      <c r="D3689">
        <v>53.81</v>
      </c>
      <c r="E3689">
        <v>29.26</v>
      </c>
      <c r="F3689">
        <v>5.28</v>
      </c>
      <c r="G3689">
        <v>1.49</v>
      </c>
      <c r="H3689">
        <v>33045</v>
      </c>
      <c r="I3689">
        <v>3.04</v>
      </c>
      <c r="J3689">
        <v>50.19</v>
      </c>
      <c r="K3689" t="s">
        <v>55</v>
      </c>
    </row>
    <row r="3690" spans="1:11">
      <c r="A3690" t="str">
        <f>"601136"</f>
        <v>601136</v>
      </c>
      <c r="B3690" t="s">
        <v>4040</v>
      </c>
      <c r="C3690">
        <v>528.35</v>
      </c>
      <c r="D3690">
        <v>531.8</v>
      </c>
      <c r="E3690">
        <v>137.38</v>
      </c>
      <c r="F3690">
        <v>27.33</v>
      </c>
      <c r="G3690">
        <v>27.33</v>
      </c>
      <c r="H3690">
        <v>86302</v>
      </c>
      <c r="I3690">
        <v>3.85</v>
      </c>
      <c r="J3690">
        <v>49.31</v>
      </c>
      <c r="K3690" t="s">
        <v>120</v>
      </c>
    </row>
    <row r="3691" spans="1:11">
      <c r="A3691" t="str">
        <f>"601137"</f>
        <v>601137</v>
      </c>
      <c r="B3691" t="s">
        <v>4041</v>
      </c>
      <c r="C3691">
        <v>198.68</v>
      </c>
      <c r="D3691">
        <v>200.45</v>
      </c>
      <c r="E3691">
        <v>89.12</v>
      </c>
      <c r="F3691">
        <v>8.85</v>
      </c>
      <c r="G3691">
        <v>8.84</v>
      </c>
      <c r="H3691">
        <v>55987</v>
      </c>
      <c r="I3691">
        <v>2.09</v>
      </c>
      <c r="J3691">
        <v>16.93</v>
      </c>
      <c r="K3691" t="s">
        <v>307</v>
      </c>
    </row>
    <row r="3692" spans="1:11">
      <c r="A3692" t="str">
        <f>"601138"</f>
        <v>601138</v>
      </c>
      <c r="B3692" t="s">
        <v>4042</v>
      </c>
      <c r="C3692">
        <v>11914.92</v>
      </c>
      <c r="D3692">
        <v>4473.38</v>
      </c>
      <c r="E3692">
        <v>1615.28</v>
      </c>
      <c r="F3692">
        <v>198.58</v>
      </c>
      <c r="G3692">
        <v>198.58</v>
      </c>
      <c r="H3692">
        <v>476358</v>
      </c>
      <c r="I3692">
        <v>7.38</v>
      </c>
      <c r="J3692">
        <v>39.74</v>
      </c>
      <c r="K3692" t="s">
        <v>41</v>
      </c>
    </row>
    <row r="3693" spans="1:11">
      <c r="A3693" t="str">
        <f>"601139"</f>
        <v>601139</v>
      </c>
      <c r="B3693" t="s">
        <v>4043</v>
      </c>
      <c r="C3693">
        <v>192.45</v>
      </c>
      <c r="D3693">
        <v>471.46</v>
      </c>
      <c r="E3693">
        <v>160.17</v>
      </c>
      <c r="F3693">
        <v>28.77</v>
      </c>
      <c r="G3693">
        <v>28.77</v>
      </c>
      <c r="H3693">
        <v>48591</v>
      </c>
      <c r="I3693">
        <v>1.17</v>
      </c>
      <c r="J3693">
        <v>15.73</v>
      </c>
      <c r="K3693" t="s">
        <v>136</v>
      </c>
    </row>
    <row r="3694" spans="1:11">
      <c r="A3694" t="str">
        <f>"601155"</f>
        <v>601155</v>
      </c>
      <c r="B3694" t="s">
        <v>4044</v>
      </c>
      <c r="C3694">
        <v>324.81</v>
      </c>
      <c r="D3694">
        <v>2806.73</v>
      </c>
      <c r="E3694">
        <v>618.66</v>
      </c>
      <c r="F3694">
        <v>22.56</v>
      </c>
      <c r="G3694">
        <v>22.56</v>
      </c>
      <c r="H3694">
        <v>43248</v>
      </c>
      <c r="I3694">
        <v>0.53</v>
      </c>
      <c r="J3694">
        <v>25.01</v>
      </c>
      <c r="K3694" t="s">
        <v>15</v>
      </c>
    </row>
    <row r="3695" spans="1:11">
      <c r="A3695" t="str">
        <f>"601156"</f>
        <v>601156</v>
      </c>
      <c r="B3695" t="s">
        <v>4045</v>
      </c>
      <c r="C3695">
        <v>173.99</v>
      </c>
      <c r="D3695">
        <v>313.45</v>
      </c>
      <c r="E3695">
        <v>190.48</v>
      </c>
      <c r="F3695">
        <v>15.88</v>
      </c>
      <c r="G3695">
        <v>9.45</v>
      </c>
      <c r="H3695">
        <v>39464</v>
      </c>
      <c r="I3695">
        <v>1.54</v>
      </c>
      <c r="J3695">
        <v>10.96</v>
      </c>
      <c r="K3695" t="s">
        <v>740</v>
      </c>
    </row>
    <row r="3696" spans="1:11">
      <c r="A3696" t="str">
        <f>"601158"</f>
        <v>601158</v>
      </c>
      <c r="B3696" t="s">
        <v>4046</v>
      </c>
      <c r="C3696">
        <v>216.48</v>
      </c>
      <c r="D3696">
        <v>358.03</v>
      </c>
      <c r="E3696">
        <v>172.66</v>
      </c>
      <c r="F3696">
        <v>48</v>
      </c>
      <c r="G3696">
        <v>48</v>
      </c>
      <c r="H3696">
        <v>41507</v>
      </c>
      <c r="I3696">
        <v>1.25</v>
      </c>
      <c r="J3696">
        <v>20.83</v>
      </c>
      <c r="K3696" t="s">
        <v>274</v>
      </c>
    </row>
    <row r="3697" spans="1:11">
      <c r="A3697" t="str">
        <f>"601162"</f>
        <v>601162</v>
      </c>
      <c r="B3697" t="s">
        <v>4047</v>
      </c>
      <c r="C3697">
        <v>378.31</v>
      </c>
      <c r="D3697">
        <v>924.96</v>
      </c>
      <c r="E3697">
        <v>274.31</v>
      </c>
      <c r="F3697">
        <v>100.74</v>
      </c>
      <c r="G3697">
        <v>85.98</v>
      </c>
      <c r="H3697">
        <v>513569</v>
      </c>
      <c r="I3697">
        <v>1.63</v>
      </c>
      <c r="J3697">
        <v>217.1</v>
      </c>
      <c r="K3697" t="s">
        <v>120</v>
      </c>
    </row>
    <row r="3698" spans="1:11">
      <c r="A3698" t="str">
        <f>"601163"</f>
        <v>601163</v>
      </c>
      <c r="B3698" t="s">
        <v>4048</v>
      </c>
      <c r="C3698">
        <v>112.96</v>
      </c>
      <c r="D3698">
        <v>192.25</v>
      </c>
      <c r="E3698">
        <v>137.13</v>
      </c>
      <c r="F3698">
        <v>8</v>
      </c>
      <c r="G3698">
        <v>8</v>
      </c>
      <c r="H3698">
        <v>39420</v>
      </c>
      <c r="I3698">
        <v>0.82</v>
      </c>
      <c r="J3698">
        <v>12.41</v>
      </c>
      <c r="K3698" t="s">
        <v>263</v>
      </c>
    </row>
    <row r="3699" spans="1:11">
      <c r="A3699" t="str">
        <f>"601166"</f>
        <v>601166</v>
      </c>
      <c r="B3699" t="s">
        <v>4049</v>
      </c>
      <c r="C3699">
        <v>4340.5</v>
      </c>
      <c r="D3699">
        <v>106732.53</v>
      </c>
      <c r="E3699">
        <v>8906.58</v>
      </c>
      <c r="F3699">
        <v>211.63</v>
      </c>
      <c r="G3699">
        <v>211.63</v>
      </c>
      <c r="H3699">
        <v>217901</v>
      </c>
      <c r="I3699">
        <v>0.54</v>
      </c>
      <c r="J3699">
        <v>5.16</v>
      </c>
      <c r="K3699" t="s">
        <v>12</v>
      </c>
    </row>
    <row r="3700" spans="1:11">
      <c r="A3700" t="str">
        <f>"601168"</f>
        <v>601168</v>
      </c>
      <c r="B3700" t="s">
        <v>4050</v>
      </c>
      <c r="C3700">
        <v>716.33</v>
      </c>
      <c r="D3700">
        <v>575.85</v>
      </c>
      <c r="E3700">
        <v>176.84</v>
      </c>
      <c r="F3700">
        <v>23.83</v>
      </c>
      <c r="G3700">
        <v>23.83</v>
      </c>
      <c r="H3700">
        <v>115500</v>
      </c>
      <c r="I3700">
        <v>4.05</v>
      </c>
      <c r="J3700">
        <v>18.24</v>
      </c>
      <c r="K3700" t="s">
        <v>303</v>
      </c>
    </row>
    <row r="3701" spans="1:11">
      <c r="A3701" t="str">
        <f>"601169"</f>
        <v>601169</v>
      </c>
      <c r="B3701" t="s">
        <v>4051</v>
      </c>
      <c r="C3701">
        <v>1137.49</v>
      </c>
      <c r="D3701">
        <v>48922.27</v>
      </c>
      <c r="E3701">
        <v>3857.23</v>
      </c>
      <c r="F3701">
        <v>211.43</v>
      </c>
      <c r="G3701">
        <v>211.43</v>
      </c>
      <c r="H3701">
        <v>183025</v>
      </c>
      <c r="I3701">
        <v>0.41</v>
      </c>
      <c r="J3701">
        <v>4.05</v>
      </c>
      <c r="K3701" t="s">
        <v>643</v>
      </c>
    </row>
    <row r="3702" spans="1:11">
      <c r="A3702" t="str">
        <f>"601177"</f>
        <v>601177</v>
      </c>
      <c r="B3702" t="s">
        <v>4052</v>
      </c>
      <c r="C3702">
        <v>69.21</v>
      </c>
      <c r="D3702">
        <v>53.47</v>
      </c>
      <c r="E3702">
        <v>27.91</v>
      </c>
      <c r="F3702">
        <v>4.08</v>
      </c>
      <c r="G3702">
        <v>4</v>
      </c>
      <c r="H3702">
        <v>63577</v>
      </c>
      <c r="I3702">
        <v>2.53</v>
      </c>
      <c r="J3702">
        <v>25.53</v>
      </c>
      <c r="K3702" t="s">
        <v>424</v>
      </c>
    </row>
    <row r="3703" spans="1:11">
      <c r="A3703" t="str">
        <f>"601179"</f>
        <v>601179</v>
      </c>
      <c r="B3703" t="s">
        <v>4053</v>
      </c>
      <c r="C3703">
        <v>655.6</v>
      </c>
      <c r="D3703">
        <v>476.62</v>
      </c>
      <c r="E3703">
        <v>226.25</v>
      </c>
      <c r="F3703">
        <v>51.26</v>
      </c>
      <c r="G3703">
        <v>51.26</v>
      </c>
      <c r="H3703">
        <v>178861</v>
      </c>
      <c r="I3703">
        <v>2.9</v>
      </c>
      <c r="J3703">
        <v>52.39</v>
      </c>
      <c r="K3703" t="s">
        <v>208</v>
      </c>
    </row>
    <row r="3704" spans="1:11">
      <c r="A3704" t="str">
        <f>"601186"</f>
        <v>601186</v>
      </c>
      <c r="B3704" t="s">
        <v>4054</v>
      </c>
      <c r="C3704">
        <v>882.3</v>
      </c>
      <c r="D3704">
        <v>20660.7</v>
      </c>
      <c r="E3704">
        <v>3413.1</v>
      </c>
      <c r="F3704">
        <v>135.8</v>
      </c>
      <c r="G3704">
        <v>115.03</v>
      </c>
      <c r="H3704">
        <v>243034</v>
      </c>
      <c r="I3704">
        <v>0.38</v>
      </c>
      <c r="J3704">
        <v>5.27</v>
      </c>
      <c r="K3704" t="s">
        <v>100</v>
      </c>
    </row>
    <row r="3705" spans="1:11">
      <c r="A3705" t="str">
        <f>"601187"</f>
        <v>601187</v>
      </c>
      <c r="B3705" t="s">
        <v>4055</v>
      </c>
      <c r="C3705">
        <v>187.5</v>
      </c>
      <c r="D3705">
        <v>4425.58</v>
      </c>
      <c r="E3705">
        <v>323.06</v>
      </c>
      <c r="F3705">
        <v>26.39</v>
      </c>
      <c r="G3705">
        <v>26.33</v>
      </c>
      <c r="H3705">
        <v>40830</v>
      </c>
      <c r="I3705">
        <v>0.71</v>
      </c>
      <c r="J3705">
        <v>7.27</v>
      </c>
      <c r="K3705" t="s">
        <v>643</v>
      </c>
    </row>
    <row r="3706" spans="1:11">
      <c r="A3706" t="str">
        <f>"601188"</f>
        <v>601188</v>
      </c>
      <c r="B3706" t="s">
        <v>4056</v>
      </c>
      <c r="C3706">
        <v>47</v>
      </c>
      <c r="D3706">
        <v>54.79</v>
      </c>
      <c r="E3706">
        <v>46.53</v>
      </c>
      <c r="F3706">
        <v>13.05</v>
      </c>
      <c r="G3706">
        <v>13.05</v>
      </c>
      <c r="H3706">
        <v>47871</v>
      </c>
      <c r="I3706">
        <v>1.02</v>
      </c>
      <c r="J3706">
        <v>22.53</v>
      </c>
      <c r="K3706" t="s">
        <v>161</v>
      </c>
    </row>
    <row r="3707" spans="1:11">
      <c r="A3707" t="str">
        <f>"601198"</f>
        <v>601198</v>
      </c>
      <c r="B3707" t="s">
        <v>4057</v>
      </c>
      <c r="C3707">
        <v>449.63</v>
      </c>
      <c r="D3707">
        <v>1163.91</v>
      </c>
      <c r="E3707">
        <v>295.92</v>
      </c>
      <c r="F3707">
        <v>32.32</v>
      </c>
      <c r="G3707">
        <v>32.32</v>
      </c>
      <c r="H3707">
        <v>101251</v>
      </c>
      <c r="I3707">
        <v>1.52</v>
      </c>
      <c r="J3707">
        <v>21.09</v>
      </c>
      <c r="K3707" t="s">
        <v>120</v>
      </c>
    </row>
    <row r="3708" spans="1:11">
      <c r="A3708" t="str">
        <f>"601199"</f>
        <v>601199</v>
      </c>
      <c r="B3708" t="s">
        <v>4058</v>
      </c>
      <c r="C3708">
        <v>52.84</v>
      </c>
      <c r="D3708">
        <v>70.42</v>
      </c>
      <c r="E3708">
        <v>45.51</v>
      </c>
      <c r="F3708">
        <v>9.35</v>
      </c>
      <c r="G3708">
        <v>9.35</v>
      </c>
      <c r="H3708">
        <v>22250</v>
      </c>
      <c r="I3708">
        <v>1.16</v>
      </c>
      <c r="J3708">
        <v>14.39</v>
      </c>
      <c r="K3708" t="s">
        <v>274</v>
      </c>
    </row>
    <row r="3709" spans="1:11">
      <c r="A3709" t="str">
        <f>"601200"</f>
        <v>601200</v>
      </c>
      <c r="B3709" t="s">
        <v>4059</v>
      </c>
      <c r="C3709">
        <v>110.26</v>
      </c>
      <c r="D3709">
        <v>315.07</v>
      </c>
      <c r="E3709">
        <v>115.93</v>
      </c>
      <c r="F3709">
        <v>13.46</v>
      </c>
      <c r="G3709">
        <v>13.46</v>
      </c>
      <c r="H3709">
        <v>61993</v>
      </c>
      <c r="I3709">
        <v>0.95</v>
      </c>
      <c r="J3709">
        <v>15.87</v>
      </c>
      <c r="K3709" t="s">
        <v>59</v>
      </c>
    </row>
    <row r="3710" spans="1:11">
      <c r="A3710" t="str">
        <f>"601208"</f>
        <v>601208</v>
      </c>
      <c r="B3710" t="s">
        <v>4060</v>
      </c>
      <c r="C3710">
        <v>265.73</v>
      </c>
      <c r="D3710">
        <v>112.16</v>
      </c>
      <c r="E3710">
        <v>60.21</v>
      </c>
      <c r="F3710">
        <v>10.18</v>
      </c>
      <c r="G3710">
        <v>10.18</v>
      </c>
      <c r="H3710">
        <v>52306</v>
      </c>
      <c r="I3710">
        <v>4.41</v>
      </c>
      <c r="J3710">
        <v>70.44</v>
      </c>
      <c r="K3710" t="s">
        <v>496</v>
      </c>
    </row>
    <row r="3711" spans="1:11">
      <c r="A3711" t="str">
        <f>"601211"</f>
        <v>601211</v>
      </c>
      <c r="B3711" t="s">
        <v>4061</v>
      </c>
      <c r="C3711">
        <v>2801.35</v>
      </c>
      <c r="D3711">
        <v>20089.26</v>
      </c>
      <c r="E3711">
        <v>3241.42</v>
      </c>
      <c r="F3711">
        <v>176.29</v>
      </c>
      <c r="G3711">
        <v>134.94</v>
      </c>
      <c r="H3711">
        <v>359379</v>
      </c>
      <c r="I3711">
        <v>1.16</v>
      </c>
      <c r="J3711">
        <v>12.43</v>
      </c>
      <c r="K3711" t="s">
        <v>120</v>
      </c>
    </row>
    <row r="3712" spans="1:11">
      <c r="A3712" t="str">
        <f>"601212"</f>
        <v>601212</v>
      </c>
      <c r="B3712" t="s">
        <v>4062</v>
      </c>
      <c r="C3712">
        <v>522.04</v>
      </c>
      <c r="D3712">
        <v>531.8</v>
      </c>
      <c r="E3712">
        <v>154.28</v>
      </c>
      <c r="F3712">
        <v>74.05</v>
      </c>
      <c r="G3712">
        <v>74.05</v>
      </c>
      <c r="H3712">
        <v>180734</v>
      </c>
      <c r="I3712">
        <v>3.38</v>
      </c>
      <c r="J3712" t="s">
        <v>14</v>
      </c>
      <c r="K3712" t="s">
        <v>303</v>
      </c>
    </row>
    <row r="3713" spans="1:11">
      <c r="A3713" t="str">
        <f>"601216"</f>
        <v>601216</v>
      </c>
      <c r="B3713" t="s">
        <v>4063</v>
      </c>
      <c r="C3713">
        <v>478.44</v>
      </c>
      <c r="D3713">
        <v>424.37</v>
      </c>
      <c r="E3713">
        <v>288.25</v>
      </c>
      <c r="F3713">
        <v>84.38</v>
      </c>
      <c r="G3713">
        <v>84.38</v>
      </c>
      <c r="H3713">
        <v>184712</v>
      </c>
      <c r="I3713">
        <v>1.66</v>
      </c>
      <c r="J3713">
        <v>12.82</v>
      </c>
      <c r="K3713" t="s">
        <v>177</v>
      </c>
    </row>
    <row r="3714" spans="1:11">
      <c r="A3714" t="str">
        <f>"601218"</f>
        <v>601218</v>
      </c>
      <c r="B3714" t="s">
        <v>4064</v>
      </c>
      <c r="C3714">
        <v>49.91</v>
      </c>
      <c r="D3714">
        <v>37.19</v>
      </c>
      <c r="E3714">
        <v>29.61</v>
      </c>
      <c r="F3714">
        <v>9.69</v>
      </c>
      <c r="G3714">
        <v>9.69</v>
      </c>
      <c r="H3714">
        <v>111912</v>
      </c>
      <c r="I3714">
        <v>1.69</v>
      </c>
      <c r="J3714">
        <v>32.82</v>
      </c>
      <c r="K3714" t="s">
        <v>456</v>
      </c>
    </row>
    <row r="3715" spans="1:11">
      <c r="A3715" t="str">
        <f>"601222"</f>
        <v>601222</v>
      </c>
      <c r="B3715" t="s">
        <v>4065</v>
      </c>
      <c r="C3715">
        <v>119.7</v>
      </c>
      <c r="D3715">
        <v>248.96</v>
      </c>
      <c r="E3715">
        <v>155.24</v>
      </c>
      <c r="F3715">
        <v>20.6</v>
      </c>
      <c r="G3715">
        <v>20.6</v>
      </c>
      <c r="H3715">
        <v>74169</v>
      </c>
      <c r="I3715">
        <v>0.77</v>
      </c>
      <c r="J3715">
        <v>25.01</v>
      </c>
      <c r="K3715" t="s">
        <v>266</v>
      </c>
    </row>
    <row r="3716" spans="1:11">
      <c r="A3716" t="str">
        <f>"601225"</f>
        <v>601225</v>
      </c>
      <c r="B3716" t="s">
        <v>4066</v>
      </c>
      <c r="C3716">
        <v>2169.74</v>
      </c>
      <c r="D3716">
        <v>2383.05</v>
      </c>
      <c r="E3716">
        <v>944.3</v>
      </c>
      <c r="F3716">
        <v>96.95</v>
      </c>
      <c r="G3716">
        <v>96.95</v>
      </c>
      <c r="H3716">
        <v>105024</v>
      </c>
      <c r="I3716">
        <v>2.3</v>
      </c>
      <c r="J3716">
        <v>12.8</v>
      </c>
      <c r="K3716" t="s">
        <v>230</v>
      </c>
    </row>
    <row r="3717" spans="1:11">
      <c r="A3717" t="str">
        <f>"601226"</f>
        <v>601226</v>
      </c>
      <c r="B3717" t="s">
        <v>4067</v>
      </c>
      <c r="C3717">
        <v>103.67</v>
      </c>
      <c r="D3717">
        <v>111.37</v>
      </c>
      <c r="E3717">
        <v>43.63</v>
      </c>
      <c r="F3717">
        <v>11.62</v>
      </c>
      <c r="G3717">
        <v>11.62</v>
      </c>
      <c r="H3717">
        <v>39307</v>
      </c>
      <c r="I3717">
        <v>2.38</v>
      </c>
      <c r="J3717">
        <v>64.75</v>
      </c>
      <c r="K3717" t="s">
        <v>55</v>
      </c>
    </row>
    <row r="3718" spans="1:11">
      <c r="A3718" t="str">
        <f>"601228"</f>
        <v>601228</v>
      </c>
      <c r="B3718" t="s">
        <v>4068</v>
      </c>
      <c r="C3718">
        <v>265.57</v>
      </c>
      <c r="D3718">
        <v>531.99</v>
      </c>
      <c r="E3718">
        <v>212.3</v>
      </c>
      <c r="F3718">
        <v>75.45</v>
      </c>
      <c r="G3718">
        <v>75.45</v>
      </c>
      <c r="H3718">
        <v>61378</v>
      </c>
      <c r="I3718">
        <v>1.25</v>
      </c>
      <c r="J3718">
        <v>26.63</v>
      </c>
      <c r="K3718" t="s">
        <v>96</v>
      </c>
    </row>
    <row r="3719" spans="1:11">
      <c r="A3719" t="str">
        <f>"601229"</f>
        <v>601229</v>
      </c>
      <c r="B3719" t="s">
        <v>4069</v>
      </c>
      <c r="C3719">
        <v>1415.22</v>
      </c>
      <c r="D3719">
        <v>33080.02</v>
      </c>
      <c r="E3719">
        <v>2601.89</v>
      </c>
      <c r="F3719">
        <v>142.09</v>
      </c>
      <c r="G3719">
        <v>142.09</v>
      </c>
      <c r="H3719">
        <v>114918</v>
      </c>
      <c r="I3719">
        <v>0.59</v>
      </c>
      <c r="J3719">
        <v>5.87</v>
      </c>
      <c r="K3719" t="s">
        <v>643</v>
      </c>
    </row>
    <row r="3720" spans="1:11">
      <c r="A3720" t="str">
        <f>"601231"</f>
        <v>601231</v>
      </c>
      <c r="B3720" t="s">
        <v>4070</v>
      </c>
      <c r="C3720">
        <v>633.43</v>
      </c>
      <c r="D3720">
        <v>421.43</v>
      </c>
      <c r="E3720">
        <v>189.26</v>
      </c>
      <c r="F3720">
        <v>22.79</v>
      </c>
      <c r="G3720">
        <v>22.79</v>
      </c>
      <c r="H3720">
        <v>41465</v>
      </c>
      <c r="I3720">
        <v>3.29</v>
      </c>
      <c r="J3720">
        <v>37.61</v>
      </c>
      <c r="K3720" t="s">
        <v>41</v>
      </c>
    </row>
    <row r="3721" spans="1:11">
      <c r="A3721" t="str">
        <f>"601233"</f>
        <v>601233</v>
      </c>
      <c r="B3721" t="s">
        <v>4071</v>
      </c>
      <c r="C3721">
        <v>441.08</v>
      </c>
      <c r="D3721">
        <v>1139.54</v>
      </c>
      <c r="E3721">
        <v>378.75</v>
      </c>
      <c r="F3721">
        <v>24.05</v>
      </c>
      <c r="G3721">
        <v>23.96</v>
      </c>
      <c r="H3721">
        <v>50144</v>
      </c>
      <c r="I3721">
        <v>1.17</v>
      </c>
      <c r="J3721">
        <v>21.44</v>
      </c>
      <c r="K3721" t="s">
        <v>122</v>
      </c>
    </row>
    <row r="3722" spans="1:11">
      <c r="A3722" t="str">
        <f>"601236"</f>
        <v>601236</v>
      </c>
      <c r="B3722" t="s">
        <v>4072</v>
      </c>
      <c r="C3722">
        <v>398.57</v>
      </c>
      <c r="D3722">
        <v>566.63</v>
      </c>
      <c r="E3722">
        <v>246.89</v>
      </c>
      <c r="F3722">
        <v>47.17</v>
      </c>
      <c r="G3722">
        <v>47.17</v>
      </c>
      <c r="H3722">
        <v>79708</v>
      </c>
      <c r="I3722">
        <v>1.61</v>
      </c>
      <c r="J3722">
        <v>34.58</v>
      </c>
      <c r="K3722" t="s">
        <v>120</v>
      </c>
    </row>
    <row r="3723" spans="1:11">
      <c r="A3723" t="str">
        <f>"601238"</f>
        <v>601238</v>
      </c>
      <c r="B3723" t="s">
        <v>4073</v>
      </c>
      <c r="C3723">
        <v>613.59</v>
      </c>
      <c r="D3723">
        <v>2129.09</v>
      </c>
      <c r="E3723">
        <v>1104.39</v>
      </c>
      <c r="F3723">
        <v>101.97</v>
      </c>
      <c r="G3723">
        <v>73.84</v>
      </c>
      <c r="H3723">
        <v>127566</v>
      </c>
      <c r="I3723">
        <v>0.77</v>
      </c>
      <c r="J3723" t="s">
        <v>14</v>
      </c>
      <c r="K3723" t="s">
        <v>256</v>
      </c>
    </row>
    <row r="3724" spans="1:11">
      <c r="A3724" t="str">
        <f>"601279"</f>
        <v>601279</v>
      </c>
      <c r="B3724" t="s">
        <v>4074</v>
      </c>
      <c r="C3724">
        <v>77.07</v>
      </c>
      <c r="D3724">
        <v>77.03</v>
      </c>
      <c r="E3724">
        <v>42.21</v>
      </c>
      <c r="F3724">
        <v>15.86</v>
      </c>
      <c r="G3724">
        <v>15.86</v>
      </c>
      <c r="H3724">
        <v>35229</v>
      </c>
      <c r="I3724">
        <v>1.83</v>
      </c>
      <c r="J3724" t="s">
        <v>14</v>
      </c>
      <c r="K3724" t="s">
        <v>356</v>
      </c>
    </row>
    <row r="3725" spans="1:11">
      <c r="A3725" t="str">
        <f>"601288"</f>
        <v>601288</v>
      </c>
      <c r="B3725" t="s">
        <v>4075</v>
      </c>
      <c r="C3725">
        <v>23879.47</v>
      </c>
      <c r="D3725">
        <v>481354.28</v>
      </c>
      <c r="E3725">
        <v>31685.02</v>
      </c>
      <c r="F3725">
        <v>3499.83</v>
      </c>
      <c r="G3725">
        <v>3192.44</v>
      </c>
      <c r="H3725">
        <v>539787</v>
      </c>
      <c r="I3725">
        <v>0.96</v>
      </c>
      <c r="J3725">
        <v>8.89</v>
      </c>
      <c r="K3725" t="s">
        <v>4076</v>
      </c>
    </row>
    <row r="3726" spans="1:11">
      <c r="A3726" t="str">
        <f>"601298"</f>
        <v>601298</v>
      </c>
      <c r="B3726" t="s">
        <v>4077</v>
      </c>
      <c r="C3726">
        <v>447</v>
      </c>
      <c r="D3726">
        <v>666.74</v>
      </c>
      <c r="E3726">
        <v>453.63</v>
      </c>
      <c r="F3726">
        <v>64.91</v>
      </c>
      <c r="G3726">
        <v>53.92</v>
      </c>
      <c r="H3726">
        <v>38279</v>
      </c>
      <c r="I3726">
        <v>1.19</v>
      </c>
      <c r="J3726">
        <v>9.65</v>
      </c>
      <c r="K3726" t="s">
        <v>96</v>
      </c>
    </row>
    <row r="3727" spans="1:11">
      <c r="A3727" t="str">
        <f>"601311"</f>
        <v>601311</v>
      </c>
      <c r="B3727" t="s">
        <v>4078</v>
      </c>
      <c r="C3727">
        <v>109.92</v>
      </c>
      <c r="D3727">
        <v>155.95</v>
      </c>
      <c r="E3727">
        <v>98.53</v>
      </c>
      <c r="F3727">
        <v>11.73</v>
      </c>
      <c r="G3727">
        <v>11.73</v>
      </c>
      <c r="H3727">
        <v>71569</v>
      </c>
      <c r="I3727">
        <v>1.12</v>
      </c>
      <c r="J3727">
        <v>13.32</v>
      </c>
      <c r="K3727" t="s">
        <v>1365</v>
      </c>
    </row>
    <row r="3728" spans="1:11">
      <c r="A3728" t="str">
        <f>"601318"</f>
        <v>601318</v>
      </c>
      <c r="B3728" t="s">
        <v>4079</v>
      </c>
      <c r="C3728">
        <v>7142.24</v>
      </c>
      <c r="D3728">
        <v>136499.92</v>
      </c>
      <c r="E3728">
        <v>9864.06</v>
      </c>
      <c r="F3728">
        <v>181.08</v>
      </c>
      <c r="G3728">
        <v>106.6</v>
      </c>
      <c r="H3728">
        <v>696248</v>
      </c>
      <c r="I3728">
        <v>1.23</v>
      </c>
      <c r="J3728">
        <v>6.85</v>
      </c>
      <c r="K3728" t="s">
        <v>4080</v>
      </c>
    </row>
    <row r="3729" spans="1:11">
      <c r="A3729" t="str">
        <f>"601319"</f>
        <v>601319</v>
      </c>
      <c r="B3729" t="s">
        <v>4081</v>
      </c>
      <c r="C3729">
        <v>3407.78</v>
      </c>
      <c r="D3729">
        <v>19430.27</v>
      </c>
      <c r="E3729">
        <v>3140.71</v>
      </c>
      <c r="F3729">
        <v>442.24</v>
      </c>
      <c r="G3729">
        <v>354.98</v>
      </c>
      <c r="H3729">
        <v>147343</v>
      </c>
      <c r="I3729">
        <v>1.35</v>
      </c>
      <c r="J3729">
        <v>6.8</v>
      </c>
      <c r="K3729" t="s">
        <v>4080</v>
      </c>
    </row>
    <row r="3730" spans="1:11">
      <c r="A3730" t="str">
        <f>"601326"</f>
        <v>601326</v>
      </c>
      <c r="B3730" t="s">
        <v>4082</v>
      </c>
      <c r="C3730">
        <v>166.51</v>
      </c>
      <c r="D3730">
        <v>281.26</v>
      </c>
      <c r="E3730">
        <v>202.83</v>
      </c>
      <c r="F3730">
        <v>55.87</v>
      </c>
      <c r="G3730">
        <v>47.58</v>
      </c>
      <c r="H3730">
        <v>47515</v>
      </c>
      <c r="I3730">
        <v>0.96</v>
      </c>
      <c r="J3730">
        <v>10.55</v>
      </c>
      <c r="K3730" t="s">
        <v>96</v>
      </c>
    </row>
    <row r="3731" spans="1:11">
      <c r="A3731" t="str">
        <f>"601328"</f>
        <v>601328</v>
      </c>
      <c r="B3731" t="s">
        <v>4083</v>
      </c>
      <c r="C3731">
        <v>1835.5</v>
      </c>
      <c r="D3731">
        <v>154997.83</v>
      </c>
      <c r="E3731">
        <v>12803.69</v>
      </c>
      <c r="F3731">
        <v>883.64</v>
      </c>
      <c r="G3731">
        <v>260.72</v>
      </c>
      <c r="H3731">
        <v>320822</v>
      </c>
      <c r="I3731">
        <v>0.55</v>
      </c>
      <c r="J3731">
        <v>6.67</v>
      </c>
      <c r="K3731" t="s">
        <v>4076</v>
      </c>
    </row>
    <row r="3732" spans="1:11">
      <c r="A3732" t="str">
        <f>"601330"</f>
        <v>601330</v>
      </c>
      <c r="B3732" t="s">
        <v>4084</v>
      </c>
      <c r="C3732">
        <v>67.95</v>
      </c>
      <c r="D3732">
        <v>220.42</v>
      </c>
      <c r="E3732">
        <v>84.14</v>
      </c>
      <c r="F3732">
        <v>14.31</v>
      </c>
      <c r="G3732">
        <v>9.89</v>
      </c>
      <c r="H3732">
        <v>35112</v>
      </c>
      <c r="I3732">
        <v>1.17</v>
      </c>
      <c r="J3732">
        <v>11.77</v>
      </c>
      <c r="K3732" t="s">
        <v>59</v>
      </c>
    </row>
    <row r="3733" spans="1:11">
      <c r="A3733" t="str">
        <f>"601333"</f>
        <v>601333</v>
      </c>
      <c r="B3733" t="s">
        <v>4085</v>
      </c>
      <c r="C3733">
        <v>171.83</v>
      </c>
      <c r="D3733">
        <v>369.77</v>
      </c>
      <c r="E3733">
        <v>281.84</v>
      </c>
      <c r="F3733">
        <v>70.84</v>
      </c>
      <c r="G3733">
        <v>56.52</v>
      </c>
      <c r="H3733">
        <v>148306</v>
      </c>
      <c r="I3733">
        <v>0.76</v>
      </c>
      <c r="J3733">
        <v>11.09</v>
      </c>
      <c r="K3733" t="s">
        <v>235</v>
      </c>
    </row>
    <row r="3734" spans="1:11">
      <c r="A3734" t="str">
        <f>"601336"</f>
        <v>601336</v>
      </c>
      <c r="B3734" t="s">
        <v>4086</v>
      </c>
      <c r="C3734">
        <v>1726.74</v>
      </c>
      <c r="D3734">
        <v>18334.91</v>
      </c>
      <c r="E3734">
        <v>1005.08</v>
      </c>
      <c r="F3734">
        <v>31.2</v>
      </c>
      <c r="G3734">
        <v>20.85</v>
      </c>
      <c r="H3734">
        <v>81868</v>
      </c>
      <c r="I3734">
        <v>2.57</v>
      </c>
      <c r="J3734">
        <v>5.9</v>
      </c>
      <c r="K3734" t="s">
        <v>4080</v>
      </c>
    </row>
    <row r="3735" spans="1:11">
      <c r="A3735" t="str">
        <f>"601339"</f>
        <v>601339</v>
      </c>
      <c r="B3735" t="s">
        <v>4087</v>
      </c>
      <c r="C3735">
        <v>88.77</v>
      </c>
      <c r="D3735">
        <v>135.46</v>
      </c>
      <c r="E3735">
        <v>91.75</v>
      </c>
      <c r="F3735">
        <v>15</v>
      </c>
      <c r="G3735">
        <v>15</v>
      </c>
      <c r="H3735">
        <v>23150</v>
      </c>
      <c r="I3735">
        <v>0.97</v>
      </c>
      <c r="J3735">
        <v>12.11</v>
      </c>
      <c r="K3735" t="s">
        <v>391</v>
      </c>
    </row>
    <row r="3736" spans="1:11">
      <c r="A3736" t="str">
        <f>"601360"</f>
        <v>601360</v>
      </c>
      <c r="B3736" t="s">
        <v>4088</v>
      </c>
      <c r="C3736">
        <v>951.94</v>
      </c>
      <c r="D3736">
        <v>378.39</v>
      </c>
      <c r="E3736">
        <v>293.52</v>
      </c>
      <c r="F3736">
        <v>70</v>
      </c>
      <c r="G3736">
        <v>70</v>
      </c>
      <c r="H3736">
        <v>339280</v>
      </c>
      <c r="I3736">
        <v>3.24</v>
      </c>
      <c r="J3736" t="s">
        <v>14</v>
      </c>
      <c r="K3736" t="s">
        <v>17</v>
      </c>
    </row>
    <row r="3737" spans="1:11">
      <c r="A3737" t="str">
        <f>"601366"</f>
        <v>601366</v>
      </c>
      <c r="B3737" t="s">
        <v>4089</v>
      </c>
      <c r="C3737">
        <v>46.19</v>
      </c>
      <c r="D3737">
        <v>155.03</v>
      </c>
      <c r="E3737">
        <v>41.24</v>
      </c>
      <c r="F3737">
        <v>9.33</v>
      </c>
      <c r="G3737">
        <v>9.33</v>
      </c>
      <c r="H3737">
        <v>28927</v>
      </c>
      <c r="I3737">
        <v>1.14</v>
      </c>
      <c r="J3737">
        <v>252.19</v>
      </c>
      <c r="K3737" t="s">
        <v>148</v>
      </c>
    </row>
    <row r="3738" spans="1:11">
      <c r="A3738" t="str">
        <f>"601368"</f>
        <v>601368</v>
      </c>
      <c r="B3738" t="s">
        <v>4090</v>
      </c>
      <c r="C3738">
        <v>44.68</v>
      </c>
      <c r="D3738">
        <v>248.21</v>
      </c>
      <c r="E3738">
        <v>48.5</v>
      </c>
      <c r="F3738">
        <v>8.83</v>
      </c>
      <c r="G3738">
        <v>8.83</v>
      </c>
      <c r="H3738">
        <v>26000</v>
      </c>
      <c r="I3738">
        <v>0.92</v>
      </c>
      <c r="J3738">
        <v>24.76</v>
      </c>
      <c r="K3738" t="s">
        <v>274</v>
      </c>
    </row>
    <row r="3739" spans="1:11">
      <c r="A3739" t="str">
        <f>"601369"</f>
        <v>601369</v>
      </c>
      <c r="B3739" t="s">
        <v>4091</v>
      </c>
      <c r="C3739">
        <v>168.57</v>
      </c>
      <c r="D3739">
        <v>247.51</v>
      </c>
      <c r="E3739">
        <v>87.85</v>
      </c>
      <c r="F3739">
        <v>17.23</v>
      </c>
      <c r="G3739">
        <v>17.06</v>
      </c>
      <c r="H3739">
        <v>28856</v>
      </c>
      <c r="I3739">
        <v>1.94</v>
      </c>
      <c r="J3739">
        <v>20.68</v>
      </c>
      <c r="K3739" t="s">
        <v>744</v>
      </c>
    </row>
    <row r="3740" spans="1:11">
      <c r="A3740" t="str">
        <f>"601375"</f>
        <v>601375</v>
      </c>
      <c r="B3740" t="s">
        <v>4092</v>
      </c>
      <c r="C3740">
        <v>152.73</v>
      </c>
      <c r="D3740">
        <v>573.78</v>
      </c>
      <c r="E3740">
        <v>143.24</v>
      </c>
      <c r="F3740">
        <v>46.43</v>
      </c>
      <c r="G3740">
        <v>34.48</v>
      </c>
      <c r="H3740">
        <v>119250</v>
      </c>
      <c r="I3740">
        <v>1.44</v>
      </c>
      <c r="J3740">
        <v>39.61</v>
      </c>
      <c r="K3740" t="s">
        <v>120</v>
      </c>
    </row>
    <row r="3741" spans="1:11">
      <c r="A3741" t="str">
        <f>"601377"</f>
        <v>601377</v>
      </c>
      <c r="B3741" t="s">
        <v>4093</v>
      </c>
      <c r="C3741">
        <v>616.61</v>
      </c>
      <c r="D3741">
        <v>3166.08</v>
      </c>
      <c r="E3741">
        <v>618.51</v>
      </c>
      <c r="F3741">
        <v>86.36</v>
      </c>
      <c r="G3741">
        <v>86.36</v>
      </c>
      <c r="H3741">
        <v>198300</v>
      </c>
      <c r="I3741">
        <v>1.1</v>
      </c>
      <c r="J3741">
        <v>18.34</v>
      </c>
      <c r="K3741" t="s">
        <v>120</v>
      </c>
    </row>
    <row r="3742" spans="1:11">
      <c r="A3742" t="str">
        <f>"601388"</f>
        <v>601388</v>
      </c>
      <c r="B3742" t="s">
        <v>4094</v>
      </c>
      <c r="C3742">
        <v>70.22</v>
      </c>
      <c r="D3742">
        <v>62.82</v>
      </c>
      <c r="E3742">
        <v>45.79</v>
      </c>
      <c r="F3742">
        <v>22.01</v>
      </c>
      <c r="G3742">
        <v>22.01</v>
      </c>
      <c r="H3742">
        <v>80084</v>
      </c>
      <c r="I3742">
        <v>1.53</v>
      </c>
      <c r="J3742">
        <v>54.01</v>
      </c>
      <c r="K3742" t="s">
        <v>288</v>
      </c>
    </row>
    <row r="3743" spans="1:11">
      <c r="A3743" t="str">
        <f>"601390"</f>
        <v>601390</v>
      </c>
      <c r="B3743" t="s">
        <v>4095</v>
      </c>
      <c r="C3743">
        <v>1122.24</v>
      </c>
      <c r="D3743">
        <v>23996.71</v>
      </c>
      <c r="E3743">
        <v>3708.86</v>
      </c>
      <c r="F3743">
        <v>246.86</v>
      </c>
      <c r="G3743">
        <v>204.79</v>
      </c>
      <c r="H3743">
        <v>486853</v>
      </c>
      <c r="I3743">
        <v>0.43</v>
      </c>
      <c r="J3743">
        <v>5.8</v>
      </c>
      <c r="K3743" t="s">
        <v>100</v>
      </c>
    </row>
    <row r="3744" spans="1:11">
      <c r="A3744" t="str">
        <f>"601398"</f>
        <v>601398</v>
      </c>
      <c r="B3744" t="s">
        <v>4096</v>
      </c>
      <c r="C3744">
        <v>20733.18</v>
      </c>
      <c r="D3744">
        <v>528134.19</v>
      </c>
      <c r="E3744">
        <v>41684.27</v>
      </c>
      <c r="F3744">
        <v>3564.06</v>
      </c>
      <c r="G3744">
        <v>2696.12</v>
      </c>
      <c r="H3744">
        <v>759583</v>
      </c>
      <c r="I3744">
        <v>0.72</v>
      </c>
      <c r="J3744">
        <v>7.62</v>
      </c>
      <c r="K3744" t="s">
        <v>4076</v>
      </c>
    </row>
    <row r="3745" spans="1:11">
      <c r="A3745" t="str">
        <f>"601399"</f>
        <v>601399</v>
      </c>
      <c r="B3745" t="s">
        <v>4097</v>
      </c>
      <c r="C3745">
        <v>431.37</v>
      </c>
      <c r="D3745">
        <v>344.58</v>
      </c>
      <c r="E3745">
        <v>147.99</v>
      </c>
      <c r="F3745">
        <v>72.14</v>
      </c>
      <c r="G3745">
        <v>72.14</v>
      </c>
      <c r="H3745">
        <v>92463</v>
      </c>
      <c r="I3745">
        <v>2.91</v>
      </c>
      <c r="J3745">
        <v>74.14</v>
      </c>
      <c r="K3745" t="s">
        <v>491</v>
      </c>
    </row>
    <row r="3746" spans="1:11">
      <c r="A3746" t="str">
        <f>"601456"</f>
        <v>601456</v>
      </c>
      <c r="B3746" t="s">
        <v>4098</v>
      </c>
      <c r="C3746">
        <v>432.91</v>
      </c>
      <c r="D3746">
        <v>1893.25</v>
      </c>
      <c r="E3746">
        <v>520.2</v>
      </c>
      <c r="F3746">
        <v>56.81</v>
      </c>
      <c r="G3746">
        <v>43.68</v>
      </c>
      <c r="H3746">
        <v>91934</v>
      </c>
      <c r="I3746">
        <v>1.08</v>
      </c>
      <c r="J3746">
        <v>23.95</v>
      </c>
      <c r="K3746" t="s">
        <v>120</v>
      </c>
    </row>
    <row r="3747" spans="1:11">
      <c r="A3747" t="str">
        <f>"601500"</f>
        <v>601500</v>
      </c>
      <c r="B3747" t="s">
        <v>4099</v>
      </c>
      <c r="C3747">
        <v>76.46</v>
      </c>
      <c r="D3747">
        <v>147.55</v>
      </c>
      <c r="E3747">
        <v>61.36</v>
      </c>
      <c r="F3747">
        <v>15.89</v>
      </c>
      <c r="G3747">
        <v>15.83</v>
      </c>
      <c r="H3747">
        <v>62557</v>
      </c>
      <c r="I3747">
        <v>1.25</v>
      </c>
      <c r="J3747">
        <v>52.28</v>
      </c>
      <c r="K3747" t="s">
        <v>263</v>
      </c>
    </row>
    <row r="3748" spans="1:11">
      <c r="A3748" t="str">
        <f>"601512"</f>
        <v>601512</v>
      </c>
      <c r="B3748" t="s">
        <v>4100</v>
      </c>
      <c r="C3748">
        <v>141.65</v>
      </c>
      <c r="D3748">
        <v>355.93</v>
      </c>
      <c r="E3748">
        <v>150.81</v>
      </c>
      <c r="F3748">
        <v>14.99</v>
      </c>
      <c r="G3748">
        <v>14.99</v>
      </c>
      <c r="H3748">
        <v>21637</v>
      </c>
      <c r="I3748">
        <v>0.94</v>
      </c>
      <c r="J3748">
        <v>12.8</v>
      </c>
      <c r="K3748" t="s">
        <v>3274</v>
      </c>
    </row>
    <row r="3749" spans="1:11">
      <c r="A3749" t="str">
        <f>"601515"</f>
        <v>601515</v>
      </c>
      <c r="B3749" t="s">
        <v>4101</v>
      </c>
      <c r="C3749">
        <v>84.1</v>
      </c>
      <c r="D3749">
        <v>65.39</v>
      </c>
      <c r="E3749">
        <v>50.77</v>
      </c>
      <c r="F3749">
        <v>19.24</v>
      </c>
      <c r="G3749">
        <v>19.24</v>
      </c>
      <c r="H3749">
        <v>31546</v>
      </c>
      <c r="I3749">
        <v>1.62</v>
      </c>
      <c r="J3749" t="s">
        <v>14</v>
      </c>
      <c r="K3749" t="s">
        <v>460</v>
      </c>
    </row>
    <row r="3750" spans="1:11">
      <c r="A3750" t="str">
        <f>"601518"</f>
        <v>601518</v>
      </c>
      <c r="B3750" t="s">
        <v>4102</v>
      </c>
      <c r="C3750">
        <v>53.12</v>
      </c>
      <c r="D3750">
        <v>65.03</v>
      </c>
      <c r="E3750">
        <v>56.2</v>
      </c>
      <c r="F3750">
        <v>18.91</v>
      </c>
      <c r="G3750">
        <v>18.91</v>
      </c>
      <c r="H3750">
        <v>41203</v>
      </c>
      <c r="I3750">
        <v>0.95</v>
      </c>
      <c r="J3750">
        <v>10.07</v>
      </c>
      <c r="K3750" t="s">
        <v>161</v>
      </c>
    </row>
    <row r="3751" spans="1:11">
      <c r="A3751" t="str">
        <f>"601519"</f>
        <v>601519</v>
      </c>
      <c r="B3751" t="s">
        <v>4103</v>
      </c>
      <c r="C3751">
        <v>296.58</v>
      </c>
      <c r="D3751">
        <v>17.72</v>
      </c>
      <c r="E3751">
        <v>13.56</v>
      </c>
      <c r="F3751">
        <v>19.89</v>
      </c>
      <c r="G3751">
        <v>19.89</v>
      </c>
      <c r="H3751">
        <v>166033</v>
      </c>
      <c r="I3751">
        <v>21.86</v>
      </c>
      <c r="J3751" t="s">
        <v>14</v>
      </c>
      <c r="K3751" t="s">
        <v>117</v>
      </c>
    </row>
    <row r="3752" spans="1:11">
      <c r="A3752" t="str">
        <f>"601528"</f>
        <v>601528</v>
      </c>
      <c r="B3752" t="s">
        <v>4104</v>
      </c>
      <c r="C3752">
        <v>94.18</v>
      </c>
      <c r="D3752">
        <v>2302.65</v>
      </c>
      <c r="E3752">
        <v>193.04</v>
      </c>
      <c r="F3752">
        <v>19.62</v>
      </c>
      <c r="G3752">
        <v>17.34</v>
      </c>
      <c r="H3752">
        <v>29793</v>
      </c>
      <c r="I3752">
        <v>0.55</v>
      </c>
      <c r="J3752">
        <v>5.24</v>
      </c>
      <c r="K3752" t="s">
        <v>1581</v>
      </c>
    </row>
    <row r="3753" spans="1:11">
      <c r="A3753" t="str">
        <f>"601555"</f>
        <v>601555</v>
      </c>
      <c r="B3753" t="s">
        <v>4105</v>
      </c>
      <c r="C3753">
        <v>456.62</v>
      </c>
      <c r="D3753">
        <v>2169.6</v>
      </c>
      <c r="E3753">
        <v>422.96</v>
      </c>
      <c r="F3753">
        <v>49.69</v>
      </c>
      <c r="G3753">
        <v>49.69</v>
      </c>
      <c r="H3753">
        <v>111061</v>
      </c>
      <c r="I3753">
        <v>1.08</v>
      </c>
      <c r="J3753">
        <v>11.67</v>
      </c>
      <c r="K3753" t="s">
        <v>120</v>
      </c>
    </row>
    <row r="3754" spans="1:11">
      <c r="A3754" t="str">
        <f>"601566"</f>
        <v>601566</v>
      </c>
      <c r="B3754" t="s">
        <v>4106</v>
      </c>
      <c r="C3754">
        <v>74.13</v>
      </c>
      <c r="D3754">
        <v>56.5</v>
      </c>
      <c r="E3754">
        <v>40.78</v>
      </c>
      <c r="F3754">
        <v>5.75</v>
      </c>
      <c r="G3754">
        <v>5.75</v>
      </c>
      <c r="H3754">
        <v>14220</v>
      </c>
      <c r="I3754">
        <v>1.82</v>
      </c>
      <c r="J3754">
        <v>17.92</v>
      </c>
      <c r="K3754" t="s">
        <v>622</v>
      </c>
    </row>
    <row r="3755" spans="1:11">
      <c r="A3755" t="str">
        <f>"601567"</f>
        <v>601567</v>
      </c>
      <c r="B3755" t="s">
        <v>4107</v>
      </c>
      <c r="C3755">
        <v>344.28</v>
      </c>
      <c r="D3755">
        <v>241.57</v>
      </c>
      <c r="E3755">
        <v>124.2</v>
      </c>
      <c r="F3755">
        <v>14.05</v>
      </c>
      <c r="G3755">
        <v>14.05</v>
      </c>
      <c r="H3755">
        <v>33504</v>
      </c>
      <c r="I3755">
        <v>2.77</v>
      </c>
      <c r="J3755">
        <v>16.9</v>
      </c>
      <c r="K3755" t="s">
        <v>943</v>
      </c>
    </row>
    <row r="3756" spans="1:11">
      <c r="A3756" t="str">
        <f>"601568"</f>
        <v>601568</v>
      </c>
      <c r="B3756" t="s">
        <v>4108</v>
      </c>
      <c r="C3756">
        <v>156.9</v>
      </c>
      <c r="D3756">
        <v>139.16</v>
      </c>
      <c r="E3756">
        <v>114.58</v>
      </c>
      <c r="F3756">
        <v>39.72</v>
      </c>
      <c r="G3756">
        <v>39.72</v>
      </c>
      <c r="H3756">
        <v>66191</v>
      </c>
      <c r="I3756">
        <v>1.37</v>
      </c>
      <c r="J3756">
        <v>55.05</v>
      </c>
      <c r="K3756" t="s">
        <v>177</v>
      </c>
    </row>
    <row r="3757" spans="1:11">
      <c r="A3757" t="str">
        <f>"601577"</f>
        <v>601577</v>
      </c>
      <c r="B3757" t="s">
        <v>4109</v>
      </c>
      <c r="C3757">
        <v>375.93</v>
      </c>
      <c r="D3757">
        <v>12436.98</v>
      </c>
      <c r="E3757">
        <v>808.26</v>
      </c>
      <c r="F3757">
        <v>40.22</v>
      </c>
      <c r="G3757">
        <v>40.21</v>
      </c>
      <c r="H3757">
        <v>34740</v>
      </c>
      <c r="I3757">
        <v>0.54</v>
      </c>
      <c r="J3757">
        <v>4.3</v>
      </c>
      <c r="K3757" t="s">
        <v>643</v>
      </c>
    </row>
    <row r="3758" spans="1:11">
      <c r="A3758" t="str">
        <f>"601579"</f>
        <v>601579</v>
      </c>
      <c r="B3758" t="s">
        <v>4110</v>
      </c>
      <c r="C3758">
        <v>100.11</v>
      </c>
      <c r="D3758">
        <v>43.76</v>
      </c>
      <c r="E3758">
        <v>36.38</v>
      </c>
      <c r="F3758">
        <v>4.79</v>
      </c>
      <c r="G3758">
        <v>4.79</v>
      </c>
      <c r="H3758">
        <v>29918</v>
      </c>
      <c r="I3758">
        <v>2.75</v>
      </c>
      <c r="J3758">
        <v>64.58</v>
      </c>
      <c r="K3758" t="s">
        <v>3268</v>
      </c>
    </row>
    <row r="3759" spans="1:11">
      <c r="A3759" t="str">
        <f>"601588"</f>
        <v>601588</v>
      </c>
      <c r="B3759" t="s">
        <v>4111</v>
      </c>
      <c r="C3759">
        <v>47.08</v>
      </c>
      <c r="D3759">
        <v>447.31</v>
      </c>
      <c r="E3759">
        <v>75.25</v>
      </c>
      <c r="F3759">
        <v>33.67</v>
      </c>
      <c r="G3759">
        <v>26.6</v>
      </c>
      <c r="H3759">
        <v>116721</v>
      </c>
      <c r="I3759">
        <v>0.79</v>
      </c>
      <c r="J3759" t="s">
        <v>14</v>
      </c>
      <c r="K3759" t="s">
        <v>15</v>
      </c>
    </row>
    <row r="3760" spans="1:11">
      <c r="A3760" t="str">
        <f>"601595"</f>
        <v>601595</v>
      </c>
      <c r="B3760" t="s">
        <v>4112</v>
      </c>
      <c r="C3760">
        <v>147.23</v>
      </c>
      <c r="D3760">
        <v>28.23</v>
      </c>
      <c r="E3760">
        <v>17.31</v>
      </c>
      <c r="F3760">
        <v>4.48</v>
      </c>
      <c r="G3760">
        <v>4.48</v>
      </c>
      <c r="H3760">
        <v>43803</v>
      </c>
      <c r="I3760">
        <v>8.5</v>
      </c>
      <c r="J3760">
        <v>79.2</v>
      </c>
      <c r="K3760" t="s">
        <v>710</v>
      </c>
    </row>
    <row r="3761" spans="1:11">
      <c r="A3761" t="str">
        <f>"601598"</f>
        <v>601598</v>
      </c>
      <c r="B3761" t="s">
        <v>4113</v>
      </c>
      <c r="C3761">
        <v>307.9</v>
      </c>
      <c r="D3761">
        <v>817.66</v>
      </c>
      <c r="E3761">
        <v>397.79</v>
      </c>
      <c r="F3761">
        <v>71.74</v>
      </c>
      <c r="G3761">
        <v>51.57</v>
      </c>
      <c r="H3761">
        <v>43483</v>
      </c>
      <c r="I3761">
        <v>1.09</v>
      </c>
      <c r="J3761">
        <v>11.99</v>
      </c>
      <c r="K3761" t="s">
        <v>740</v>
      </c>
    </row>
    <row r="3762" spans="1:11">
      <c r="A3762" t="str">
        <f>"601599"</f>
        <v>601599</v>
      </c>
      <c r="B3762" t="s">
        <v>4114</v>
      </c>
      <c r="C3762">
        <v>47.35</v>
      </c>
      <c r="D3762">
        <v>35.32</v>
      </c>
      <c r="E3762">
        <v>15.19</v>
      </c>
      <c r="F3762">
        <v>11.61</v>
      </c>
      <c r="G3762">
        <v>11.61</v>
      </c>
      <c r="H3762">
        <v>35028</v>
      </c>
      <c r="I3762">
        <v>3.12</v>
      </c>
      <c r="J3762">
        <v>25.95</v>
      </c>
      <c r="K3762" t="s">
        <v>577</v>
      </c>
    </row>
    <row r="3763" spans="1:11">
      <c r="A3763" t="str">
        <f>"601600"</f>
        <v>601600</v>
      </c>
      <c r="B3763" t="s">
        <v>4115</v>
      </c>
      <c r="C3763">
        <v>1795.53</v>
      </c>
      <c r="D3763">
        <v>2303.99</v>
      </c>
      <c r="E3763">
        <v>734.07</v>
      </c>
      <c r="F3763">
        <v>171.56</v>
      </c>
      <c r="G3763">
        <v>131.73</v>
      </c>
      <c r="H3763">
        <v>356252</v>
      </c>
      <c r="I3763">
        <v>3.19</v>
      </c>
      <c r="J3763">
        <v>16.13</v>
      </c>
      <c r="K3763" t="s">
        <v>288</v>
      </c>
    </row>
    <row r="3764" spans="1:11">
      <c r="A3764" t="str">
        <f>"601601"</f>
        <v>601601</v>
      </c>
      <c r="B3764" t="s">
        <v>4116</v>
      </c>
      <c r="C3764">
        <v>3100.12</v>
      </c>
      <c r="D3764">
        <v>30776.4</v>
      </c>
      <c r="E3764">
        <v>2841.85</v>
      </c>
      <c r="F3764">
        <v>96.2</v>
      </c>
      <c r="G3764">
        <v>68.45</v>
      </c>
      <c r="H3764">
        <v>102000</v>
      </c>
      <c r="I3764">
        <v>1.53</v>
      </c>
      <c r="J3764">
        <v>7.15</v>
      </c>
      <c r="K3764" t="s">
        <v>4080</v>
      </c>
    </row>
    <row r="3765" spans="1:11">
      <c r="A3765" t="str">
        <f>"601606"</f>
        <v>601606</v>
      </c>
      <c r="B3765" t="s">
        <v>4117</v>
      </c>
      <c r="C3765">
        <v>354.15</v>
      </c>
      <c r="D3765">
        <v>44.28</v>
      </c>
      <c r="E3765">
        <v>22.13</v>
      </c>
      <c r="F3765">
        <v>7.24</v>
      </c>
      <c r="G3765">
        <v>7.24</v>
      </c>
      <c r="H3765">
        <v>182652</v>
      </c>
      <c r="I3765">
        <v>16</v>
      </c>
      <c r="J3765" t="s">
        <v>14</v>
      </c>
      <c r="K3765" t="s">
        <v>186</v>
      </c>
    </row>
    <row r="3766" spans="1:11">
      <c r="A3766" t="str">
        <f>"601607"</f>
        <v>601607</v>
      </c>
      <c r="B3766" t="s">
        <v>4118</v>
      </c>
      <c r="C3766">
        <v>490.34</v>
      </c>
      <c r="D3766">
        <v>2367.46</v>
      </c>
      <c r="E3766">
        <v>757.83</v>
      </c>
      <c r="F3766">
        <v>37.08</v>
      </c>
      <c r="G3766">
        <v>27.89</v>
      </c>
      <c r="H3766">
        <v>92942</v>
      </c>
      <c r="I3766">
        <v>0.86</v>
      </c>
      <c r="J3766">
        <v>9.5</v>
      </c>
      <c r="K3766" t="s">
        <v>48</v>
      </c>
    </row>
    <row r="3767" spans="1:11">
      <c r="A3767" t="str">
        <f>"601608"</f>
        <v>601608</v>
      </c>
      <c r="B3767" t="s">
        <v>4119</v>
      </c>
      <c r="C3767">
        <v>324.91</v>
      </c>
      <c r="D3767">
        <v>198.71</v>
      </c>
      <c r="E3767">
        <v>92.46</v>
      </c>
      <c r="F3767">
        <v>45.8</v>
      </c>
      <c r="G3767">
        <v>45.51</v>
      </c>
      <c r="H3767">
        <v>109095</v>
      </c>
      <c r="I3767">
        <v>3.54</v>
      </c>
      <c r="J3767">
        <v>86.06</v>
      </c>
      <c r="K3767" t="s">
        <v>491</v>
      </c>
    </row>
    <row r="3768" spans="1:11">
      <c r="A3768" t="str">
        <f>"601609"</f>
        <v>601609</v>
      </c>
      <c r="B3768" t="s">
        <v>4120</v>
      </c>
      <c r="C3768">
        <v>191.36</v>
      </c>
      <c r="D3768">
        <v>287.9</v>
      </c>
      <c r="E3768">
        <v>101.76</v>
      </c>
      <c r="F3768">
        <v>17.29</v>
      </c>
      <c r="G3768">
        <v>17.29</v>
      </c>
      <c r="H3768">
        <v>143199</v>
      </c>
      <c r="I3768">
        <v>1.92</v>
      </c>
      <c r="J3768">
        <v>24.39</v>
      </c>
      <c r="K3768" t="s">
        <v>303</v>
      </c>
    </row>
    <row r="3769" spans="1:11">
      <c r="A3769" t="str">
        <f>"601611"</f>
        <v>601611</v>
      </c>
      <c r="B3769" t="s">
        <v>4121</v>
      </c>
      <c r="C3769">
        <v>543.39</v>
      </c>
      <c r="D3769">
        <v>2445.43</v>
      </c>
      <c r="E3769">
        <v>333.61</v>
      </c>
      <c r="F3769">
        <v>30.14</v>
      </c>
      <c r="G3769">
        <v>30.14</v>
      </c>
      <c r="H3769">
        <v>90968</v>
      </c>
      <c r="I3769">
        <v>2.5</v>
      </c>
      <c r="J3769">
        <v>36.83</v>
      </c>
      <c r="K3769" t="s">
        <v>100</v>
      </c>
    </row>
    <row r="3770" spans="1:11">
      <c r="A3770" t="str">
        <f>"601615"</f>
        <v>601615</v>
      </c>
      <c r="B3770" t="s">
        <v>4122</v>
      </c>
      <c r="C3770">
        <v>445.06</v>
      </c>
      <c r="D3770">
        <v>913.28</v>
      </c>
      <c r="E3770">
        <v>263.89</v>
      </c>
      <c r="F3770">
        <v>22.61</v>
      </c>
      <c r="G3770">
        <v>22.61</v>
      </c>
      <c r="H3770">
        <v>129323</v>
      </c>
      <c r="I3770">
        <v>1.69</v>
      </c>
      <c r="J3770">
        <v>43.59</v>
      </c>
      <c r="K3770" t="s">
        <v>982</v>
      </c>
    </row>
    <row r="3771" spans="1:11">
      <c r="A3771" t="str">
        <f>"601616"</f>
        <v>601616</v>
      </c>
      <c r="B3771" t="s">
        <v>4123</v>
      </c>
      <c r="C3771">
        <v>35.43</v>
      </c>
      <c r="D3771">
        <v>30.93</v>
      </c>
      <c r="E3771">
        <v>24.34</v>
      </c>
      <c r="F3771">
        <v>8.54</v>
      </c>
      <c r="G3771">
        <v>8.54</v>
      </c>
      <c r="H3771">
        <v>56587</v>
      </c>
      <c r="I3771">
        <v>1.46</v>
      </c>
      <c r="J3771" t="s">
        <v>14</v>
      </c>
      <c r="K3771" t="s">
        <v>943</v>
      </c>
    </row>
    <row r="3772" spans="1:11">
      <c r="A3772" t="str">
        <f>"601618"</f>
        <v>601618</v>
      </c>
      <c r="B3772" t="s">
        <v>4124</v>
      </c>
      <c r="C3772">
        <v>546.29</v>
      </c>
      <c r="D3772">
        <v>8730.08</v>
      </c>
      <c r="E3772">
        <v>1560.13</v>
      </c>
      <c r="F3772">
        <v>207.24</v>
      </c>
      <c r="G3772">
        <v>178.53</v>
      </c>
      <c r="H3772">
        <v>282523</v>
      </c>
      <c r="I3772">
        <v>0.61</v>
      </c>
      <c r="J3772">
        <v>11.98</v>
      </c>
      <c r="K3772" t="s">
        <v>55</v>
      </c>
    </row>
    <row r="3773" spans="1:11">
      <c r="A3773" t="str">
        <f>"601619"</f>
        <v>601619</v>
      </c>
      <c r="B3773" t="s">
        <v>4125</v>
      </c>
      <c r="C3773">
        <v>121.73</v>
      </c>
      <c r="D3773">
        <v>239.15</v>
      </c>
      <c r="E3773">
        <v>80.88</v>
      </c>
      <c r="F3773">
        <v>29.13</v>
      </c>
      <c r="G3773">
        <v>24.35</v>
      </c>
      <c r="H3773">
        <v>97586</v>
      </c>
      <c r="I3773">
        <v>1.81</v>
      </c>
      <c r="J3773">
        <v>18.37</v>
      </c>
      <c r="K3773" t="s">
        <v>111</v>
      </c>
    </row>
    <row r="3774" spans="1:11">
      <c r="A3774" t="str">
        <f>"601628"</f>
        <v>601628</v>
      </c>
      <c r="B3774" t="s">
        <v>4126</v>
      </c>
      <c r="C3774">
        <v>10324.31</v>
      </c>
      <c r="D3774">
        <v>74179.8</v>
      </c>
      <c r="E3774">
        <v>6258.28</v>
      </c>
      <c r="F3774">
        <v>282.65</v>
      </c>
      <c r="G3774">
        <v>208.24</v>
      </c>
      <c r="H3774">
        <v>119680</v>
      </c>
      <c r="I3774">
        <v>2.24</v>
      </c>
      <c r="J3774">
        <v>6.26</v>
      </c>
      <c r="K3774" t="s">
        <v>4080</v>
      </c>
    </row>
    <row r="3775" spans="1:11">
      <c r="A3775" t="str">
        <f>"601633"</f>
        <v>601633</v>
      </c>
      <c r="B3775" t="s">
        <v>4127</v>
      </c>
      <c r="C3775">
        <v>1350.51</v>
      </c>
      <c r="D3775">
        <v>2209.45</v>
      </c>
      <c r="E3775">
        <v>864.26</v>
      </c>
      <c r="F3775">
        <v>85.58</v>
      </c>
      <c r="G3775">
        <v>62.09</v>
      </c>
      <c r="H3775">
        <v>137540</v>
      </c>
      <c r="I3775">
        <v>2.16</v>
      </c>
      <c r="J3775">
        <v>16.17</v>
      </c>
      <c r="K3775" t="s">
        <v>256</v>
      </c>
    </row>
    <row r="3776" spans="1:11">
      <c r="A3776" t="str">
        <f>"601636"</f>
        <v>601636</v>
      </c>
      <c r="B3776" t="s">
        <v>4128</v>
      </c>
      <c r="C3776">
        <v>179.89</v>
      </c>
      <c r="D3776">
        <v>358.74</v>
      </c>
      <c r="E3776">
        <v>138.91</v>
      </c>
      <c r="F3776">
        <v>29.59</v>
      </c>
      <c r="G3776">
        <v>29.59</v>
      </c>
      <c r="H3776">
        <v>101871</v>
      </c>
      <c r="I3776">
        <v>1.2</v>
      </c>
      <c r="J3776">
        <v>14.74</v>
      </c>
      <c r="K3776" t="s">
        <v>30</v>
      </c>
    </row>
    <row r="3777" spans="1:11">
      <c r="A3777" t="str">
        <f>"601658"</f>
        <v>601658</v>
      </c>
      <c r="B3777" t="s">
        <v>4129</v>
      </c>
      <c r="C3777">
        <v>3544.06</v>
      </c>
      <c r="D3777">
        <v>186056.53</v>
      </c>
      <c r="E3777">
        <v>11636.63</v>
      </c>
      <c r="F3777">
        <v>1200.95</v>
      </c>
      <c r="G3777">
        <v>671.22</v>
      </c>
      <c r="H3777">
        <v>142576</v>
      </c>
      <c r="I3777">
        <v>0.63</v>
      </c>
      <c r="J3777">
        <v>6.21</v>
      </c>
      <c r="K3777" t="s">
        <v>4076</v>
      </c>
    </row>
    <row r="3778" spans="1:11">
      <c r="A3778" t="str">
        <f>"601665"</f>
        <v>601665</v>
      </c>
      <c r="B3778" t="s">
        <v>4130</v>
      </c>
      <c r="C3778">
        <v>342.77</v>
      </c>
      <c r="D3778">
        <v>7787.03</v>
      </c>
      <c r="E3778">
        <v>526.1</v>
      </c>
      <c r="F3778">
        <v>61.54</v>
      </c>
      <c r="G3778">
        <v>61.54</v>
      </c>
      <c r="H3778">
        <v>56124</v>
      </c>
      <c r="I3778">
        <v>0.71</v>
      </c>
      <c r="J3778">
        <v>6.49</v>
      </c>
      <c r="K3778" t="s">
        <v>643</v>
      </c>
    </row>
    <row r="3779" spans="1:11">
      <c r="A3779" t="str">
        <f>"601666"</f>
        <v>601666</v>
      </c>
      <c r="B3779" t="s">
        <v>4131</v>
      </c>
      <c r="C3779">
        <v>207.92</v>
      </c>
      <c r="D3779">
        <v>835.14</v>
      </c>
      <c r="E3779">
        <v>271.97</v>
      </c>
      <c r="F3779">
        <v>24.69</v>
      </c>
      <c r="G3779">
        <v>24.69</v>
      </c>
      <c r="H3779">
        <v>87805</v>
      </c>
      <c r="I3779">
        <v>0.91</v>
      </c>
      <c r="J3779">
        <v>55.76</v>
      </c>
      <c r="K3779" t="s">
        <v>567</v>
      </c>
    </row>
    <row r="3780" spans="1:11">
      <c r="A3780" t="str">
        <f>"601668"</f>
        <v>601668</v>
      </c>
      <c r="B3780" t="s">
        <v>4132</v>
      </c>
      <c r="C3780">
        <v>2123.87</v>
      </c>
      <c r="D3780">
        <v>34125.21</v>
      </c>
      <c r="E3780">
        <v>4911.99</v>
      </c>
      <c r="F3780">
        <v>413.2</v>
      </c>
      <c r="G3780">
        <v>413.2</v>
      </c>
      <c r="H3780">
        <v>360268</v>
      </c>
      <c r="I3780">
        <v>0.44</v>
      </c>
      <c r="J3780">
        <v>4.17</v>
      </c>
      <c r="K3780" t="s">
        <v>299</v>
      </c>
    </row>
    <row r="3781" spans="1:11">
      <c r="A3781" t="str">
        <f>"601669"</f>
        <v>601669</v>
      </c>
      <c r="B3781" t="s">
        <v>4133</v>
      </c>
      <c r="C3781">
        <v>709.78</v>
      </c>
      <c r="D3781">
        <v>14042.93</v>
      </c>
      <c r="E3781">
        <v>1710.92</v>
      </c>
      <c r="F3781">
        <v>172.26</v>
      </c>
      <c r="G3781">
        <v>130.72</v>
      </c>
      <c r="H3781">
        <v>537394</v>
      </c>
      <c r="I3781">
        <v>0.65</v>
      </c>
      <c r="J3781">
        <v>9.39</v>
      </c>
      <c r="K3781" t="s">
        <v>100</v>
      </c>
    </row>
    <row r="3782" spans="1:11">
      <c r="A3782" t="str">
        <f>"601677"</f>
        <v>601677</v>
      </c>
      <c r="B3782" t="s">
        <v>4134</v>
      </c>
      <c r="C3782">
        <v>178.32</v>
      </c>
      <c r="D3782">
        <v>272.83</v>
      </c>
      <c r="E3782">
        <v>186.86</v>
      </c>
      <c r="F3782">
        <v>12.44</v>
      </c>
      <c r="G3782">
        <v>12.18</v>
      </c>
      <c r="H3782">
        <v>57158</v>
      </c>
      <c r="I3782">
        <v>0.97</v>
      </c>
      <c r="J3782">
        <v>9.72</v>
      </c>
      <c r="K3782" t="s">
        <v>288</v>
      </c>
    </row>
    <row r="3783" spans="1:11">
      <c r="A3783" t="str">
        <f>"601678"</f>
        <v>601678</v>
      </c>
      <c r="B3783" t="s">
        <v>4135</v>
      </c>
      <c r="C3783">
        <v>95.02</v>
      </c>
      <c r="D3783">
        <v>240.47</v>
      </c>
      <c r="E3783">
        <v>114.29</v>
      </c>
      <c r="F3783">
        <v>20.57</v>
      </c>
      <c r="G3783">
        <v>20.43</v>
      </c>
      <c r="H3783">
        <v>76381</v>
      </c>
      <c r="I3783">
        <v>0.84</v>
      </c>
      <c r="J3783">
        <v>37.3</v>
      </c>
      <c r="K3783" t="s">
        <v>177</v>
      </c>
    </row>
    <row r="3784" spans="1:11">
      <c r="A3784" t="str">
        <f>"601686"</f>
        <v>601686</v>
      </c>
      <c r="B3784" t="s">
        <v>4136</v>
      </c>
      <c r="C3784">
        <v>94.89</v>
      </c>
      <c r="D3784">
        <v>267.43</v>
      </c>
      <c r="E3784">
        <v>69.11</v>
      </c>
      <c r="F3784">
        <v>14.71</v>
      </c>
      <c r="G3784">
        <v>14.71</v>
      </c>
      <c r="H3784">
        <v>33000</v>
      </c>
      <c r="I3784">
        <v>1.39</v>
      </c>
      <c r="J3784">
        <v>14.19</v>
      </c>
      <c r="K3784" t="s">
        <v>426</v>
      </c>
    </row>
    <row r="3785" spans="1:11">
      <c r="A3785" t="str">
        <f>"601688"</f>
        <v>601688</v>
      </c>
      <c r="B3785" t="s">
        <v>4137</v>
      </c>
      <c r="C3785">
        <v>1728.05</v>
      </c>
      <c r="D3785">
        <v>10258.49</v>
      </c>
      <c r="E3785">
        <v>2054.09</v>
      </c>
      <c r="F3785">
        <v>90.27</v>
      </c>
      <c r="G3785">
        <v>73.07</v>
      </c>
      <c r="H3785">
        <v>195494</v>
      </c>
      <c r="I3785">
        <v>1.24</v>
      </c>
      <c r="J3785">
        <v>12.57</v>
      </c>
      <c r="K3785" t="s">
        <v>120</v>
      </c>
    </row>
    <row r="3786" spans="1:11">
      <c r="A3786" t="str">
        <f>"601689"</f>
        <v>601689</v>
      </c>
      <c r="B3786" t="s">
        <v>4138</v>
      </c>
      <c r="C3786">
        <v>1252.98</v>
      </c>
      <c r="D3786">
        <v>416.65</v>
      </c>
      <c r="E3786">
        <v>232.74</v>
      </c>
      <c r="F3786">
        <v>17.38</v>
      </c>
      <c r="G3786">
        <v>17.38</v>
      </c>
      <c r="H3786">
        <v>143714</v>
      </c>
      <c r="I3786">
        <v>5.38</v>
      </c>
      <c r="J3786">
        <v>47.79</v>
      </c>
      <c r="K3786" t="s">
        <v>356</v>
      </c>
    </row>
    <row r="3787" spans="1:11">
      <c r="A3787" t="str">
        <f>"601696"</f>
        <v>601696</v>
      </c>
      <c r="B3787" t="s">
        <v>4139</v>
      </c>
      <c r="C3787">
        <v>411.14</v>
      </c>
      <c r="D3787">
        <v>910.01</v>
      </c>
      <c r="E3787">
        <v>187.04</v>
      </c>
      <c r="F3787">
        <v>27.78</v>
      </c>
      <c r="G3787">
        <v>27.78</v>
      </c>
      <c r="H3787">
        <v>147576</v>
      </c>
      <c r="I3787">
        <v>2.2</v>
      </c>
      <c r="J3787">
        <v>36.1</v>
      </c>
      <c r="K3787" t="s">
        <v>120</v>
      </c>
    </row>
    <row r="3788" spans="1:11">
      <c r="A3788" t="str">
        <f>"601698"</f>
        <v>601698</v>
      </c>
      <c r="B3788" t="s">
        <v>4140</v>
      </c>
      <c r="C3788">
        <v>1843.52</v>
      </c>
      <c r="D3788">
        <v>230.81</v>
      </c>
      <c r="E3788">
        <v>158.69</v>
      </c>
      <c r="F3788">
        <v>42.24</v>
      </c>
      <c r="G3788">
        <v>42.24</v>
      </c>
      <c r="H3788">
        <v>167160</v>
      </c>
      <c r="I3788">
        <v>11.62</v>
      </c>
      <c r="J3788">
        <v>483.88</v>
      </c>
      <c r="K3788" t="s">
        <v>241</v>
      </c>
    </row>
    <row r="3789" spans="1:11">
      <c r="A3789" t="str">
        <f>"601699"</f>
        <v>601699</v>
      </c>
      <c r="B3789" t="s">
        <v>4141</v>
      </c>
      <c r="C3789">
        <v>378.11</v>
      </c>
      <c r="D3789">
        <v>809.32</v>
      </c>
      <c r="E3789">
        <v>467.62</v>
      </c>
      <c r="F3789">
        <v>29.91</v>
      </c>
      <c r="G3789">
        <v>29.91</v>
      </c>
      <c r="H3789">
        <v>79000</v>
      </c>
      <c r="I3789">
        <v>0.81</v>
      </c>
      <c r="J3789">
        <v>18.24</v>
      </c>
      <c r="K3789" t="s">
        <v>567</v>
      </c>
    </row>
    <row r="3790" spans="1:11">
      <c r="A3790" t="str">
        <f>"601700"</f>
        <v>601700</v>
      </c>
      <c r="B3790" t="s">
        <v>4142</v>
      </c>
      <c r="C3790">
        <v>67.51</v>
      </c>
      <c r="D3790">
        <v>75.43</v>
      </c>
      <c r="E3790">
        <v>25.56</v>
      </c>
      <c r="F3790">
        <v>11.42</v>
      </c>
      <c r="G3790">
        <v>11.42</v>
      </c>
      <c r="H3790">
        <v>54955</v>
      </c>
      <c r="I3790">
        <v>2.64</v>
      </c>
      <c r="J3790">
        <v>236.59</v>
      </c>
      <c r="K3790" t="s">
        <v>383</v>
      </c>
    </row>
    <row r="3791" spans="1:11">
      <c r="A3791" t="str">
        <f>"601702"</f>
        <v>601702</v>
      </c>
      <c r="B3791" t="s">
        <v>4143</v>
      </c>
      <c r="C3791">
        <v>196.31</v>
      </c>
      <c r="D3791">
        <v>92.42</v>
      </c>
      <c r="E3791">
        <v>61.31</v>
      </c>
      <c r="F3791">
        <v>9.99</v>
      </c>
      <c r="G3791">
        <v>9.99</v>
      </c>
      <c r="H3791">
        <v>22779</v>
      </c>
      <c r="I3791">
        <v>3.2</v>
      </c>
      <c r="J3791">
        <v>16.44</v>
      </c>
      <c r="K3791" t="s">
        <v>288</v>
      </c>
    </row>
    <row r="3792" spans="1:11">
      <c r="A3792" t="str">
        <f>"601717"</f>
        <v>601717</v>
      </c>
      <c r="B3792" t="s">
        <v>4144</v>
      </c>
      <c r="C3792">
        <v>367.81</v>
      </c>
      <c r="D3792">
        <v>479.64</v>
      </c>
      <c r="E3792">
        <v>231.59</v>
      </c>
      <c r="F3792">
        <v>17.85</v>
      </c>
      <c r="G3792">
        <v>15.42</v>
      </c>
      <c r="H3792">
        <v>64166</v>
      </c>
      <c r="I3792">
        <v>1.84</v>
      </c>
      <c r="J3792">
        <v>8.76</v>
      </c>
      <c r="K3792" t="s">
        <v>491</v>
      </c>
    </row>
    <row r="3793" spans="1:11">
      <c r="A3793" t="str">
        <f>"601718"</f>
        <v>601718</v>
      </c>
      <c r="B3793" t="s">
        <v>4145</v>
      </c>
      <c r="C3793">
        <v>153.51</v>
      </c>
      <c r="D3793">
        <v>201.6</v>
      </c>
      <c r="E3793">
        <v>123.27</v>
      </c>
      <c r="F3793">
        <v>43.61</v>
      </c>
      <c r="G3793">
        <v>43.61</v>
      </c>
      <c r="H3793">
        <v>184236</v>
      </c>
      <c r="I3793">
        <v>1.25</v>
      </c>
      <c r="J3793" t="s">
        <v>14</v>
      </c>
      <c r="K3793" t="s">
        <v>622</v>
      </c>
    </row>
    <row r="3794" spans="1:11">
      <c r="A3794" t="str">
        <f>"601727"</f>
        <v>601727</v>
      </c>
      <c r="B3794" t="s">
        <v>4146</v>
      </c>
      <c r="C3794">
        <v>1169.47</v>
      </c>
      <c r="D3794">
        <v>3185.52</v>
      </c>
      <c r="E3794">
        <v>540</v>
      </c>
      <c r="F3794">
        <v>155.4</v>
      </c>
      <c r="G3794">
        <v>126.16</v>
      </c>
      <c r="H3794">
        <v>727712</v>
      </c>
      <c r="I3794">
        <v>2.67</v>
      </c>
      <c r="J3794">
        <v>101.41</v>
      </c>
      <c r="K3794" t="s">
        <v>1010</v>
      </c>
    </row>
    <row r="3795" spans="1:11">
      <c r="A3795" t="str">
        <f>"601728"</f>
        <v>601728</v>
      </c>
      <c r="B3795" t="s">
        <v>4147</v>
      </c>
      <c r="C3795">
        <v>4859.62</v>
      </c>
      <c r="D3795">
        <v>8760.49</v>
      </c>
      <c r="E3795">
        <v>4581.23</v>
      </c>
      <c r="F3795">
        <v>915.07</v>
      </c>
      <c r="G3795">
        <v>776.3</v>
      </c>
      <c r="H3795">
        <v>273723</v>
      </c>
      <c r="I3795">
        <v>1.25</v>
      </c>
      <c r="J3795">
        <v>13.96</v>
      </c>
      <c r="K3795" t="s">
        <v>3258</v>
      </c>
    </row>
    <row r="3796" spans="1:11">
      <c r="A3796" t="str">
        <f>"601766"</f>
        <v>601766</v>
      </c>
      <c r="B3796" t="s">
        <v>4148</v>
      </c>
      <c r="C3796">
        <v>1681.05</v>
      </c>
      <c r="D3796">
        <v>5698.15</v>
      </c>
      <c r="E3796">
        <v>1697.91</v>
      </c>
      <c r="F3796">
        <v>286.99</v>
      </c>
      <c r="G3796">
        <v>243.28</v>
      </c>
      <c r="H3796">
        <v>498219</v>
      </c>
      <c r="I3796">
        <v>1.17</v>
      </c>
      <c r="J3796">
        <v>14.93</v>
      </c>
      <c r="K3796" t="s">
        <v>22</v>
      </c>
    </row>
    <row r="3797" spans="1:11">
      <c r="A3797" t="str">
        <f>"601777"</f>
        <v>601777</v>
      </c>
      <c r="B3797" t="s">
        <v>4149</v>
      </c>
      <c r="C3797">
        <v>511.34</v>
      </c>
      <c r="D3797">
        <v>242.17</v>
      </c>
      <c r="E3797">
        <v>104.54</v>
      </c>
      <c r="F3797">
        <v>45.21</v>
      </c>
      <c r="G3797">
        <v>45.21</v>
      </c>
      <c r="H3797">
        <v>63080</v>
      </c>
      <c r="I3797">
        <v>4.89</v>
      </c>
      <c r="J3797">
        <v>719.8</v>
      </c>
      <c r="K3797" t="s">
        <v>544</v>
      </c>
    </row>
    <row r="3798" spans="1:11">
      <c r="A3798" t="str">
        <f>"601778"</f>
        <v>601778</v>
      </c>
      <c r="B3798" t="s">
        <v>4150</v>
      </c>
      <c r="C3798">
        <v>147.13</v>
      </c>
      <c r="D3798">
        <v>423.38</v>
      </c>
      <c r="E3798">
        <v>161.07</v>
      </c>
      <c r="F3798">
        <v>35.71</v>
      </c>
      <c r="G3798">
        <v>35.71</v>
      </c>
      <c r="H3798">
        <v>130097</v>
      </c>
      <c r="I3798">
        <v>0.93</v>
      </c>
      <c r="J3798">
        <v>31.02</v>
      </c>
      <c r="K3798" t="s">
        <v>266</v>
      </c>
    </row>
    <row r="3799" spans="1:11">
      <c r="A3799" t="str">
        <f>"601788"</f>
        <v>601788</v>
      </c>
      <c r="B3799" t="s">
        <v>4151</v>
      </c>
      <c r="C3799">
        <v>692.27</v>
      </c>
      <c r="D3799">
        <v>3054.36</v>
      </c>
      <c r="E3799">
        <v>673.04</v>
      </c>
      <c r="F3799">
        <v>46.11</v>
      </c>
      <c r="G3799">
        <v>39.07</v>
      </c>
      <c r="H3799">
        <v>180487</v>
      </c>
      <c r="I3799">
        <v>1.37</v>
      </c>
      <c r="J3799">
        <v>22.88</v>
      </c>
      <c r="K3799" t="s">
        <v>120</v>
      </c>
    </row>
    <row r="3800" spans="1:11">
      <c r="A3800" t="str">
        <f>"601789"</f>
        <v>601789</v>
      </c>
      <c r="B3800" t="s">
        <v>4152</v>
      </c>
      <c r="C3800">
        <v>57.71</v>
      </c>
      <c r="D3800">
        <v>306.51</v>
      </c>
      <c r="E3800">
        <v>45.41</v>
      </c>
      <c r="F3800">
        <v>10.87</v>
      </c>
      <c r="G3800">
        <v>10.87</v>
      </c>
      <c r="H3800">
        <v>75690</v>
      </c>
      <c r="I3800">
        <v>1.27</v>
      </c>
      <c r="J3800">
        <v>23.73</v>
      </c>
      <c r="K3800" t="s">
        <v>299</v>
      </c>
    </row>
    <row r="3801" spans="1:11">
      <c r="A3801" t="str">
        <f>"601798"</f>
        <v>601798</v>
      </c>
      <c r="B3801" t="s">
        <v>4153</v>
      </c>
      <c r="C3801">
        <v>32.94</v>
      </c>
      <c r="D3801">
        <v>24.37</v>
      </c>
      <c r="E3801">
        <v>12.67</v>
      </c>
      <c r="F3801">
        <v>3.55</v>
      </c>
      <c r="G3801">
        <v>3.55</v>
      </c>
      <c r="H3801">
        <v>24736</v>
      </c>
      <c r="I3801">
        <v>2.6</v>
      </c>
      <c r="J3801">
        <v>74.16</v>
      </c>
      <c r="K3801" t="s">
        <v>491</v>
      </c>
    </row>
    <row r="3802" spans="1:11">
      <c r="A3802" t="str">
        <f>"601799"</f>
        <v>601799</v>
      </c>
      <c r="B3802" t="s">
        <v>4154</v>
      </c>
      <c r="C3802">
        <v>360.27</v>
      </c>
      <c r="D3802">
        <v>182.26</v>
      </c>
      <c r="E3802">
        <v>110.7</v>
      </c>
      <c r="F3802">
        <v>2.86</v>
      </c>
      <c r="G3802">
        <v>2.86</v>
      </c>
      <c r="H3802">
        <v>13753</v>
      </c>
      <c r="I3802">
        <v>3.25</v>
      </c>
      <c r="J3802">
        <v>23.68</v>
      </c>
      <c r="K3802" t="s">
        <v>356</v>
      </c>
    </row>
    <row r="3803" spans="1:11">
      <c r="A3803" t="str">
        <f>"601800"</f>
        <v>601800</v>
      </c>
      <c r="B3803" t="s">
        <v>4155</v>
      </c>
      <c r="C3803">
        <v>990.57</v>
      </c>
      <c r="D3803">
        <v>20396.73</v>
      </c>
      <c r="E3803">
        <v>3296.18</v>
      </c>
      <c r="F3803">
        <v>162.75</v>
      </c>
      <c r="G3803">
        <v>117.78</v>
      </c>
      <c r="H3803">
        <v>167178</v>
      </c>
      <c r="I3803">
        <v>0.47</v>
      </c>
      <c r="J3803">
        <v>7.52</v>
      </c>
      <c r="K3803" t="s">
        <v>100</v>
      </c>
    </row>
    <row r="3804" spans="1:11">
      <c r="A3804" t="str">
        <f>"601801"</f>
        <v>601801</v>
      </c>
      <c r="B3804" t="s">
        <v>4156</v>
      </c>
      <c r="C3804">
        <v>139.21</v>
      </c>
      <c r="D3804">
        <v>198.43</v>
      </c>
      <c r="E3804">
        <v>121.7</v>
      </c>
      <c r="F3804">
        <v>19.58</v>
      </c>
      <c r="G3804">
        <v>19.58</v>
      </c>
      <c r="H3804">
        <v>25676</v>
      </c>
      <c r="I3804">
        <v>1.14</v>
      </c>
      <c r="J3804">
        <v>10.92</v>
      </c>
      <c r="K3804" t="s">
        <v>381</v>
      </c>
    </row>
    <row r="3805" spans="1:11">
      <c r="A3805" t="str">
        <f>"601808"</f>
        <v>601808</v>
      </c>
      <c r="B3805" t="s">
        <v>4157</v>
      </c>
      <c r="C3805">
        <v>461.24</v>
      </c>
      <c r="D3805">
        <v>839.02</v>
      </c>
      <c r="E3805">
        <v>459.75</v>
      </c>
      <c r="F3805">
        <v>47.72</v>
      </c>
      <c r="G3805">
        <v>29.6</v>
      </c>
      <c r="H3805">
        <v>64018</v>
      </c>
      <c r="I3805">
        <v>1.62</v>
      </c>
      <c r="J3805">
        <v>17.37</v>
      </c>
      <c r="K3805" t="s">
        <v>988</v>
      </c>
    </row>
    <row r="3806" spans="1:11">
      <c r="A3806" t="str">
        <f>"601811"</f>
        <v>601811</v>
      </c>
      <c r="B3806" t="s">
        <v>4158</v>
      </c>
      <c r="C3806">
        <v>122.27</v>
      </c>
      <c r="D3806">
        <v>249.54</v>
      </c>
      <c r="E3806">
        <v>149.86</v>
      </c>
      <c r="F3806">
        <v>12.34</v>
      </c>
      <c r="G3806">
        <v>7.92</v>
      </c>
      <c r="H3806">
        <v>16794</v>
      </c>
      <c r="I3806">
        <v>1.27</v>
      </c>
      <c r="J3806">
        <v>14.63</v>
      </c>
      <c r="K3806" t="s">
        <v>1948</v>
      </c>
    </row>
    <row r="3807" spans="1:11">
      <c r="A3807" t="str">
        <f>"601816"</f>
        <v>601816</v>
      </c>
      <c r="B3807" t="s">
        <v>4159</v>
      </c>
      <c r="C3807">
        <v>2500.1</v>
      </c>
      <c r="D3807">
        <v>2878.55</v>
      </c>
      <c r="E3807">
        <v>2044.44</v>
      </c>
      <c r="F3807">
        <v>489.26</v>
      </c>
      <c r="G3807">
        <v>489.26</v>
      </c>
      <c r="H3807">
        <v>203921</v>
      </c>
      <c r="I3807">
        <v>1.22</v>
      </c>
      <c r="J3807">
        <v>18.2</v>
      </c>
      <c r="K3807" t="s">
        <v>235</v>
      </c>
    </row>
    <row r="3808" spans="1:11">
      <c r="A3808" t="str">
        <f>"601818"</f>
        <v>601818</v>
      </c>
      <c r="B3808" t="s">
        <v>4160</v>
      </c>
      <c r="C3808">
        <v>1591.75</v>
      </c>
      <c r="D3808">
        <v>72177.17</v>
      </c>
      <c r="E3808">
        <v>6022.73</v>
      </c>
      <c r="F3808">
        <v>590.86</v>
      </c>
      <c r="G3808">
        <v>464.07</v>
      </c>
      <c r="H3808">
        <v>192380</v>
      </c>
      <c r="I3808">
        <v>0.41</v>
      </c>
      <c r="J3808">
        <v>4.11</v>
      </c>
      <c r="K3808" t="s">
        <v>12</v>
      </c>
    </row>
    <row r="3809" spans="1:11">
      <c r="A3809" t="str">
        <f>"601825"</f>
        <v>601825</v>
      </c>
      <c r="B3809" t="s">
        <v>4161</v>
      </c>
      <c r="C3809">
        <v>835.26</v>
      </c>
      <c r="D3809">
        <v>15580.94</v>
      </c>
      <c r="E3809">
        <v>1259.24</v>
      </c>
      <c r="F3809">
        <v>96.44</v>
      </c>
      <c r="G3809">
        <v>93.74</v>
      </c>
      <c r="H3809">
        <v>74002</v>
      </c>
      <c r="I3809">
        <v>0.68</v>
      </c>
      <c r="J3809">
        <v>6.1</v>
      </c>
      <c r="K3809" t="s">
        <v>1581</v>
      </c>
    </row>
    <row r="3810" spans="1:11">
      <c r="A3810" t="str">
        <f>"601827"</f>
        <v>601827</v>
      </c>
      <c r="B3810" t="s">
        <v>4162</v>
      </c>
      <c r="C3810">
        <v>140.94</v>
      </c>
      <c r="D3810">
        <v>261.16</v>
      </c>
      <c r="E3810">
        <v>118.97</v>
      </c>
      <c r="F3810">
        <v>16.72</v>
      </c>
      <c r="G3810">
        <v>16.72</v>
      </c>
      <c r="H3810">
        <v>28666</v>
      </c>
      <c r="I3810">
        <v>1.18</v>
      </c>
      <c r="J3810">
        <v>9.57</v>
      </c>
      <c r="K3810" t="s">
        <v>59</v>
      </c>
    </row>
    <row r="3811" spans="1:11">
      <c r="A3811" t="str">
        <f>"601828"</f>
        <v>601828</v>
      </c>
      <c r="B3811" t="s">
        <v>4163</v>
      </c>
      <c r="C3811">
        <v>104.43</v>
      </c>
      <c r="D3811">
        <v>1133.94</v>
      </c>
      <c r="E3811">
        <v>431.86</v>
      </c>
      <c r="F3811">
        <v>43.55</v>
      </c>
      <c r="G3811">
        <v>36.13</v>
      </c>
      <c r="H3811">
        <v>54071</v>
      </c>
      <c r="I3811">
        <v>0.29</v>
      </c>
      <c r="J3811" t="s">
        <v>14</v>
      </c>
      <c r="K3811" t="s">
        <v>20</v>
      </c>
    </row>
    <row r="3812" spans="1:11">
      <c r="A3812" t="str">
        <f>"601838"</f>
        <v>601838</v>
      </c>
      <c r="B3812" t="s">
        <v>4164</v>
      </c>
      <c r="C3812">
        <v>681.2</v>
      </c>
      <c r="D3812">
        <v>13852.55</v>
      </c>
      <c r="E3812">
        <v>1018.12</v>
      </c>
      <c r="F3812">
        <v>42.38</v>
      </c>
      <c r="G3812">
        <v>42.31</v>
      </c>
      <c r="H3812">
        <v>53380</v>
      </c>
      <c r="I3812">
        <v>0.8</v>
      </c>
      <c r="J3812">
        <v>5.39</v>
      </c>
      <c r="K3812" t="s">
        <v>643</v>
      </c>
    </row>
    <row r="3813" spans="1:11">
      <c r="A3813" t="str">
        <f>"601857"</f>
        <v>601857</v>
      </c>
      <c r="B3813" t="s">
        <v>4165</v>
      </c>
      <c r="C3813">
        <v>15949.33</v>
      </c>
      <c r="D3813">
        <v>28499.64</v>
      </c>
      <c r="E3813">
        <v>15584.77</v>
      </c>
      <c r="F3813">
        <v>1830.21</v>
      </c>
      <c r="G3813">
        <v>1619.22</v>
      </c>
      <c r="H3813">
        <v>503862</v>
      </c>
      <c r="I3813">
        <v>1.16</v>
      </c>
      <c r="J3813">
        <v>10.71</v>
      </c>
      <c r="K3813" t="s">
        <v>588</v>
      </c>
    </row>
    <row r="3814" spans="1:11">
      <c r="A3814" t="str">
        <f>"601858"</f>
        <v>601858</v>
      </c>
      <c r="B3814" t="s">
        <v>4166</v>
      </c>
      <c r="C3814">
        <v>190.43</v>
      </c>
      <c r="D3814">
        <v>72.46</v>
      </c>
      <c r="E3814">
        <v>54.81</v>
      </c>
      <c r="F3814">
        <v>7.91</v>
      </c>
      <c r="G3814">
        <v>7.91</v>
      </c>
      <c r="H3814">
        <v>43821</v>
      </c>
      <c r="I3814">
        <v>3.47</v>
      </c>
      <c r="J3814">
        <v>46.02</v>
      </c>
      <c r="K3814" t="s">
        <v>440</v>
      </c>
    </row>
    <row r="3815" spans="1:11">
      <c r="A3815" t="str">
        <f>"601860"</f>
        <v>601860</v>
      </c>
      <c r="B3815" t="s">
        <v>4167</v>
      </c>
      <c r="C3815">
        <v>99.09</v>
      </c>
      <c r="D3815">
        <v>2860.34</v>
      </c>
      <c r="E3815">
        <v>204.28</v>
      </c>
      <c r="F3815">
        <v>36.61</v>
      </c>
      <c r="G3815">
        <v>35.52</v>
      </c>
      <c r="H3815">
        <v>63025</v>
      </c>
      <c r="I3815">
        <v>0.51</v>
      </c>
      <c r="J3815">
        <v>6.36</v>
      </c>
      <c r="K3815" t="s">
        <v>1581</v>
      </c>
    </row>
    <row r="3816" spans="1:11">
      <c r="A3816" t="str">
        <f>"601865"</f>
        <v>601865</v>
      </c>
      <c r="B3816" t="s">
        <v>4168</v>
      </c>
      <c r="C3816">
        <v>306.07</v>
      </c>
      <c r="D3816">
        <v>419.1</v>
      </c>
      <c r="E3816">
        <v>221.95</v>
      </c>
      <c r="F3816">
        <v>23.43</v>
      </c>
      <c r="G3816">
        <v>19.01</v>
      </c>
      <c r="H3816">
        <v>68339</v>
      </c>
      <c r="I3816">
        <v>1.74</v>
      </c>
      <c r="J3816">
        <v>44.37</v>
      </c>
      <c r="K3816" t="s">
        <v>667</v>
      </c>
    </row>
    <row r="3817" spans="1:11">
      <c r="A3817" t="str">
        <f>"601866"</f>
        <v>601866</v>
      </c>
      <c r="B3817" t="s">
        <v>4169</v>
      </c>
      <c r="C3817">
        <v>249.65</v>
      </c>
      <c r="D3817">
        <v>1317.93</v>
      </c>
      <c r="E3817">
        <v>307.14</v>
      </c>
      <c r="F3817">
        <v>131.98</v>
      </c>
      <c r="G3817">
        <v>97.52</v>
      </c>
      <c r="H3817">
        <v>261428</v>
      </c>
      <c r="I3817">
        <v>1.1</v>
      </c>
      <c r="J3817">
        <v>18.22</v>
      </c>
      <c r="K3817" t="s">
        <v>188</v>
      </c>
    </row>
    <row r="3818" spans="1:11">
      <c r="A3818" t="str">
        <f>"601868"</f>
        <v>601868</v>
      </c>
      <c r="B3818" t="s">
        <v>4170</v>
      </c>
      <c r="C3818">
        <v>778.29</v>
      </c>
      <c r="D3818">
        <v>9456.71</v>
      </c>
      <c r="E3818">
        <v>1187.02</v>
      </c>
      <c r="F3818">
        <v>416.91</v>
      </c>
      <c r="G3818">
        <v>324.29</v>
      </c>
      <c r="H3818">
        <v>473007</v>
      </c>
      <c r="I3818">
        <v>0.91</v>
      </c>
      <c r="J3818">
        <v>23.78</v>
      </c>
      <c r="K3818" t="s">
        <v>100</v>
      </c>
    </row>
    <row r="3819" spans="1:11">
      <c r="A3819" t="str">
        <f>"601869"</f>
        <v>601869</v>
      </c>
      <c r="B3819" t="s">
        <v>4171</v>
      </c>
      <c r="C3819">
        <v>435.59</v>
      </c>
      <c r="D3819">
        <v>348.64</v>
      </c>
      <c r="E3819">
        <v>118.27</v>
      </c>
      <c r="F3819">
        <v>8.28</v>
      </c>
      <c r="G3819">
        <v>4.06</v>
      </c>
      <c r="H3819">
        <v>48153</v>
      </c>
      <c r="I3819">
        <v>6.87</v>
      </c>
      <c r="J3819">
        <v>141.72</v>
      </c>
      <c r="K3819" t="s">
        <v>93</v>
      </c>
    </row>
    <row r="3820" spans="1:11">
      <c r="A3820" t="str">
        <f>"601872"</f>
        <v>601872</v>
      </c>
      <c r="B3820" t="s">
        <v>4172</v>
      </c>
      <c r="C3820">
        <v>908.39</v>
      </c>
      <c r="D3820">
        <v>779.6</v>
      </c>
      <c r="E3820">
        <v>407.76</v>
      </c>
      <c r="F3820">
        <v>80.75</v>
      </c>
      <c r="G3820">
        <v>80.75</v>
      </c>
      <c r="H3820">
        <v>87106</v>
      </c>
      <c r="I3820">
        <v>2.23</v>
      </c>
      <c r="J3820">
        <v>20.65</v>
      </c>
      <c r="K3820" t="s">
        <v>188</v>
      </c>
    </row>
    <row r="3821" spans="1:11">
      <c r="A3821" t="str">
        <f>"601877"</f>
        <v>601877</v>
      </c>
      <c r="B3821" t="s">
        <v>4173</v>
      </c>
      <c r="C3821">
        <v>641.47</v>
      </c>
      <c r="D3821">
        <v>1551.46</v>
      </c>
      <c r="E3821">
        <v>437.09</v>
      </c>
      <c r="F3821">
        <v>21.49</v>
      </c>
      <c r="G3821">
        <v>21.49</v>
      </c>
      <c r="H3821">
        <v>85567</v>
      </c>
      <c r="I3821">
        <v>1.47</v>
      </c>
      <c r="J3821">
        <v>11.51</v>
      </c>
      <c r="K3821" t="s">
        <v>943</v>
      </c>
    </row>
    <row r="3822" spans="1:11">
      <c r="A3822" t="str">
        <f>"601878"</f>
        <v>601878</v>
      </c>
      <c r="B3822" t="s">
        <v>4174</v>
      </c>
      <c r="C3822">
        <v>507.69</v>
      </c>
      <c r="D3822">
        <v>2190.48</v>
      </c>
      <c r="E3822">
        <v>365.52</v>
      </c>
      <c r="F3822">
        <v>45.74</v>
      </c>
      <c r="G3822">
        <v>45.74</v>
      </c>
      <c r="H3822">
        <v>157460</v>
      </c>
      <c r="I3822">
        <v>1.39</v>
      </c>
      <c r="J3822">
        <v>20.13</v>
      </c>
      <c r="K3822" t="s">
        <v>120</v>
      </c>
    </row>
    <row r="3823" spans="1:11">
      <c r="A3823" t="str">
        <f>"601880"</f>
        <v>601880</v>
      </c>
      <c r="B3823" t="s">
        <v>4175</v>
      </c>
      <c r="C3823">
        <v>298.29</v>
      </c>
      <c r="D3823">
        <v>573.36</v>
      </c>
      <c r="E3823">
        <v>403.88</v>
      </c>
      <c r="F3823">
        <v>235.72</v>
      </c>
      <c r="G3823">
        <v>184.13</v>
      </c>
      <c r="H3823">
        <v>211837</v>
      </c>
      <c r="I3823">
        <v>0.95</v>
      </c>
      <c r="J3823">
        <v>22.03</v>
      </c>
      <c r="K3823" t="s">
        <v>96</v>
      </c>
    </row>
    <row r="3824" spans="1:11">
      <c r="A3824" t="str">
        <f>"601881"</f>
        <v>601881</v>
      </c>
      <c r="B3824" t="s">
        <v>4176</v>
      </c>
      <c r="C3824">
        <v>1157.5</v>
      </c>
      <c r="D3824">
        <v>8610.93</v>
      </c>
      <c r="E3824">
        <v>1523.93</v>
      </c>
      <c r="F3824">
        <v>109.34</v>
      </c>
      <c r="G3824">
        <v>72.43</v>
      </c>
      <c r="H3824">
        <v>125066</v>
      </c>
      <c r="I3824">
        <v>1.49</v>
      </c>
      <c r="J3824">
        <v>11.95</v>
      </c>
      <c r="K3824" t="s">
        <v>120</v>
      </c>
    </row>
    <row r="3825" spans="1:11">
      <c r="A3825" t="str">
        <f>"601882"</f>
        <v>601882</v>
      </c>
      <c r="B3825" t="s">
        <v>4177</v>
      </c>
      <c r="C3825">
        <v>106.28</v>
      </c>
      <c r="D3825">
        <v>51.54</v>
      </c>
      <c r="E3825">
        <v>28.56</v>
      </c>
      <c r="F3825">
        <v>5.22</v>
      </c>
      <c r="G3825">
        <v>5.22</v>
      </c>
      <c r="H3825">
        <v>25794</v>
      </c>
      <c r="I3825">
        <v>3.72</v>
      </c>
      <c r="J3825">
        <v>23.61</v>
      </c>
      <c r="K3825" t="s">
        <v>141</v>
      </c>
    </row>
    <row r="3826" spans="1:11">
      <c r="A3826" t="str">
        <f>"601886"</f>
        <v>601886</v>
      </c>
      <c r="B3826" t="s">
        <v>4178</v>
      </c>
      <c r="C3826">
        <v>99.93</v>
      </c>
      <c r="D3826">
        <v>293.54</v>
      </c>
      <c r="E3826">
        <v>71.89</v>
      </c>
      <c r="F3826">
        <v>11.33</v>
      </c>
      <c r="G3826">
        <v>11.33</v>
      </c>
      <c r="H3826">
        <v>17746</v>
      </c>
      <c r="I3826">
        <v>1.39</v>
      </c>
      <c r="J3826">
        <v>16.38</v>
      </c>
      <c r="K3826" t="s">
        <v>804</v>
      </c>
    </row>
    <row r="3827" spans="1:11">
      <c r="A3827" t="str">
        <f>"601888"</f>
        <v>601888</v>
      </c>
      <c r="B3827" t="s">
        <v>4179</v>
      </c>
      <c r="C3827">
        <v>1758.2</v>
      </c>
      <c r="D3827">
        <v>754.96</v>
      </c>
      <c r="E3827">
        <v>556.74</v>
      </c>
      <c r="F3827">
        <v>20.69</v>
      </c>
      <c r="G3827">
        <v>19.52</v>
      </c>
      <c r="H3827">
        <v>309294</v>
      </c>
      <c r="I3827">
        <v>3.35</v>
      </c>
      <c r="J3827">
        <v>45.78</v>
      </c>
      <c r="K3827" t="s">
        <v>194</v>
      </c>
    </row>
    <row r="3828" spans="1:11">
      <c r="A3828" t="str">
        <f>"601890"</f>
        <v>601890</v>
      </c>
      <c r="B3828" t="s">
        <v>4180</v>
      </c>
      <c r="C3828">
        <v>103.42</v>
      </c>
      <c r="D3828">
        <v>55.05</v>
      </c>
      <c r="E3828">
        <v>37.03</v>
      </c>
      <c r="F3828">
        <v>9.59</v>
      </c>
      <c r="G3828">
        <v>9.59</v>
      </c>
      <c r="H3828">
        <v>114284</v>
      </c>
      <c r="I3828">
        <v>2.79</v>
      </c>
      <c r="J3828">
        <v>36.71</v>
      </c>
      <c r="K3828" t="s">
        <v>1816</v>
      </c>
    </row>
    <row r="3829" spans="1:11">
      <c r="A3829" t="str">
        <f>"601898"</f>
        <v>601898</v>
      </c>
      <c r="B3829" t="s">
        <v>4181</v>
      </c>
      <c r="C3829">
        <v>1204.4</v>
      </c>
      <c r="D3829">
        <v>3668.02</v>
      </c>
      <c r="E3829">
        <v>1573.65</v>
      </c>
      <c r="F3829">
        <v>132.59</v>
      </c>
      <c r="G3829">
        <v>91.52</v>
      </c>
      <c r="H3829">
        <v>76362</v>
      </c>
      <c r="I3829">
        <v>1.11</v>
      </c>
      <c r="J3829">
        <v>10.48</v>
      </c>
      <c r="K3829" t="s">
        <v>230</v>
      </c>
    </row>
    <row r="3830" spans="1:11">
      <c r="A3830" t="str">
        <f>"601899"</f>
        <v>601899</v>
      </c>
      <c r="B3830" t="s">
        <v>4182</v>
      </c>
      <c r="C3830">
        <v>7931.34</v>
      </c>
      <c r="D3830">
        <v>4830.08</v>
      </c>
      <c r="E3830">
        <v>1693.12</v>
      </c>
      <c r="F3830">
        <v>265.9</v>
      </c>
      <c r="G3830">
        <v>206.01</v>
      </c>
      <c r="H3830">
        <v>529769</v>
      </c>
      <c r="I3830">
        <v>6.1</v>
      </c>
      <c r="J3830">
        <v>20.28</v>
      </c>
      <c r="K3830" t="s">
        <v>303</v>
      </c>
    </row>
    <row r="3831" spans="1:11">
      <c r="A3831" t="str">
        <f>"601900"</f>
        <v>601900</v>
      </c>
      <c r="B3831" t="s">
        <v>4183</v>
      </c>
      <c r="C3831">
        <v>145.79</v>
      </c>
      <c r="D3831">
        <v>183.52</v>
      </c>
      <c r="E3831">
        <v>86.38</v>
      </c>
      <c r="F3831">
        <v>8.82</v>
      </c>
      <c r="G3831">
        <v>8.82</v>
      </c>
      <c r="H3831">
        <v>36954</v>
      </c>
      <c r="I3831">
        <v>1.69</v>
      </c>
      <c r="J3831">
        <v>12.85</v>
      </c>
      <c r="K3831" t="s">
        <v>1948</v>
      </c>
    </row>
    <row r="3832" spans="1:11">
      <c r="A3832" t="str">
        <f>"601901"</f>
        <v>601901</v>
      </c>
      <c r="B3832" t="s">
        <v>4184</v>
      </c>
      <c r="C3832">
        <v>667.62</v>
      </c>
      <c r="D3832">
        <v>2603.21</v>
      </c>
      <c r="E3832">
        <v>503.96</v>
      </c>
      <c r="F3832">
        <v>82.32</v>
      </c>
      <c r="G3832">
        <v>82.32</v>
      </c>
      <c r="H3832">
        <v>195284</v>
      </c>
      <c r="I3832">
        <v>1.32</v>
      </c>
      <c r="J3832">
        <v>13.18</v>
      </c>
      <c r="K3832" t="s">
        <v>120</v>
      </c>
    </row>
    <row r="3833" spans="1:11">
      <c r="A3833" t="str">
        <f>"601908"</f>
        <v>601908</v>
      </c>
      <c r="B3833" t="s">
        <v>4185</v>
      </c>
      <c r="C3833">
        <v>96.58</v>
      </c>
      <c r="D3833">
        <v>185.46</v>
      </c>
      <c r="E3833">
        <v>88.02</v>
      </c>
      <c r="F3833">
        <v>24.15</v>
      </c>
      <c r="G3833">
        <v>24.15</v>
      </c>
      <c r="H3833">
        <v>144872</v>
      </c>
      <c r="I3833">
        <v>1.1</v>
      </c>
      <c r="J3833" t="s">
        <v>14</v>
      </c>
      <c r="K3833" t="s">
        <v>897</v>
      </c>
    </row>
    <row r="3834" spans="1:11">
      <c r="A3834" t="str">
        <f>"601916"</f>
        <v>601916</v>
      </c>
      <c r="B3834" t="s">
        <v>4186</v>
      </c>
      <c r="C3834">
        <v>650.64</v>
      </c>
      <c r="D3834">
        <v>33890.12</v>
      </c>
      <c r="E3834">
        <v>2024.07</v>
      </c>
      <c r="F3834">
        <v>274.65</v>
      </c>
      <c r="G3834">
        <v>215.44</v>
      </c>
      <c r="H3834">
        <v>212334</v>
      </c>
      <c r="I3834">
        <v>0.47</v>
      </c>
      <c r="J3834">
        <v>5.33</v>
      </c>
      <c r="K3834" t="s">
        <v>12</v>
      </c>
    </row>
    <row r="3835" spans="1:11">
      <c r="A3835" t="str">
        <f>"601918"</f>
        <v>601918</v>
      </c>
      <c r="B3835" t="s">
        <v>4187</v>
      </c>
      <c r="C3835">
        <v>181.34</v>
      </c>
      <c r="D3835">
        <v>497.93</v>
      </c>
      <c r="E3835">
        <v>164.33</v>
      </c>
      <c r="F3835">
        <v>25.91</v>
      </c>
      <c r="G3835">
        <v>25.91</v>
      </c>
      <c r="H3835">
        <v>85000</v>
      </c>
      <c r="I3835">
        <v>1.07</v>
      </c>
      <c r="J3835">
        <v>9.21</v>
      </c>
      <c r="K3835" t="s">
        <v>230</v>
      </c>
    </row>
    <row r="3836" spans="1:11">
      <c r="A3836" t="str">
        <f>"601919"</f>
        <v>601919</v>
      </c>
      <c r="B3836" t="s">
        <v>4188</v>
      </c>
      <c r="C3836">
        <v>1849.9</v>
      </c>
      <c r="D3836">
        <v>5000.33</v>
      </c>
      <c r="E3836">
        <v>2322.4</v>
      </c>
      <c r="F3836">
        <v>154.9</v>
      </c>
      <c r="G3836">
        <v>126.1</v>
      </c>
      <c r="H3836">
        <v>425262</v>
      </c>
      <c r="I3836">
        <v>0.98</v>
      </c>
      <c r="J3836">
        <v>6.3</v>
      </c>
      <c r="K3836" t="s">
        <v>188</v>
      </c>
    </row>
    <row r="3837" spans="1:11">
      <c r="A3837" t="str">
        <f>"601921"</f>
        <v>601921</v>
      </c>
      <c r="B3837" t="s">
        <v>4189</v>
      </c>
      <c r="C3837">
        <v>185.78</v>
      </c>
      <c r="D3837">
        <v>218.19</v>
      </c>
      <c r="E3837">
        <v>136.05</v>
      </c>
      <c r="F3837">
        <v>22.22</v>
      </c>
      <c r="G3837">
        <v>22.22</v>
      </c>
      <c r="H3837">
        <v>48315</v>
      </c>
      <c r="I3837">
        <v>1.37</v>
      </c>
      <c r="J3837">
        <v>22</v>
      </c>
      <c r="K3837" t="s">
        <v>381</v>
      </c>
    </row>
    <row r="3838" spans="1:11">
      <c r="A3838" t="str">
        <f>"601928"</f>
        <v>601928</v>
      </c>
      <c r="B3838" t="s">
        <v>4190</v>
      </c>
      <c r="C3838">
        <v>262.12</v>
      </c>
      <c r="D3838">
        <v>315.75</v>
      </c>
      <c r="E3838">
        <v>200.89</v>
      </c>
      <c r="F3838">
        <v>25.45</v>
      </c>
      <c r="G3838">
        <v>25.45</v>
      </c>
      <c r="H3838">
        <v>42855</v>
      </c>
      <c r="I3838">
        <v>1.3</v>
      </c>
      <c r="J3838">
        <v>11.56</v>
      </c>
      <c r="K3838" t="s">
        <v>1948</v>
      </c>
    </row>
    <row r="3839" spans="1:11">
      <c r="A3839" t="str">
        <f>"601929"</f>
        <v>601929</v>
      </c>
      <c r="B3839" t="s">
        <v>4191</v>
      </c>
      <c r="C3839">
        <v>160.18</v>
      </c>
      <c r="D3839">
        <v>126.54</v>
      </c>
      <c r="E3839">
        <v>50.05</v>
      </c>
      <c r="F3839">
        <v>34.9</v>
      </c>
      <c r="G3839">
        <v>34.9</v>
      </c>
      <c r="H3839">
        <v>315602</v>
      </c>
      <c r="I3839">
        <v>3.2</v>
      </c>
      <c r="J3839" t="s">
        <v>14</v>
      </c>
      <c r="K3839" t="s">
        <v>113</v>
      </c>
    </row>
    <row r="3840" spans="1:11">
      <c r="A3840" t="str">
        <f>"601933"</f>
        <v>601933</v>
      </c>
      <c r="B3840" t="s">
        <v>4192</v>
      </c>
      <c r="C3840">
        <v>456.47</v>
      </c>
      <c r="D3840">
        <v>316.2</v>
      </c>
      <c r="E3840">
        <v>36.91</v>
      </c>
      <c r="F3840">
        <v>90.75</v>
      </c>
      <c r="G3840">
        <v>90.75</v>
      </c>
      <c r="H3840">
        <v>309386</v>
      </c>
      <c r="I3840">
        <v>12.36</v>
      </c>
      <c r="J3840" t="s">
        <v>14</v>
      </c>
      <c r="K3840" t="s">
        <v>415</v>
      </c>
    </row>
    <row r="3841" spans="1:11">
      <c r="A3841" t="str">
        <f>"601939"</f>
        <v>601939</v>
      </c>
      <c r="B3841" t="s">
        <v>4193</v>
      </c>
      <c r="C3841">
        <v>870.14</v>
      </c>
      <c r="D3841">
        <v>453690.94</v>
      </c>
      <c r="E3841">
        <v>36333.87</v>
      </c>
      <c r="F3841">
        <v>2616</v>
      </c>
      <c r="G3841">
        <v>95.94</v>
      </c>
      <c r="H3841">
        <v>313109</v>
      </c>
      <c r="I3841">
        <v>0.69</v>
      </c>
      <c r="J3841">
        <v>6.91</v>
      </c>
      <c r="K3841" t="s">
        <v>4076</v>
      </c>
    </row>
    <row r="3842" spans="1:11">
      <c r="A3842" t="str">
        <f>"601949"</f>
        <v>601949</v>
      </c>
      <c r="B3842" t="s">
        <v>4194</v>
      </c>
      <c r="C3842">
        <v>145.65</v>
      </c>
      <c r="D3842">
        <v>160.26</v>
      </c>
      <c r="E3842">
        <v>96.45</v>
      </c>
      <c r="F3842">
        <v>19.04</v>
      </c>
      <c r="G3842">
        <v>19.04</v>
      </c>
      <c r="H3842">
        <v>51957</v>
      </c>
      <c r="I3842">
        <v>1.51</v>
      </c>
      <c r="J3842">
        <v>45.87</v>
      </c>
      <c r="K3842" t="s">
        <v>381</v>
      </c>
    </row>
    <row r="3843" spans="1:11">
      <c r="A3843" t="str">
        <f>"601952"</f>
        <v>601952</v>
      </c>
      <c r="B3843" t="s">
        <v>4195</v>
      </c>
      <c r="C3843">
        <v>127.33</v>
      </c>
      <c r="D3843">
        <v>145.07</v>
      </c>
      <c r="E3843">
        <v>67.93</v>
      </c>
      <c r="F3843">
        <v>13.78</v>
      </c>
      <c r="G3843">
        <v>13.78</v>
      </c>
      <c r="H3843">
        <v>43866</v>
      </c>
      <c r="I3843">
        <v>1.87</v>
      </c>
      <c r="J3843">
        <v>31.41</v>
      </c>
      <c r="K3843" t="s">
        <v>3679</v>
      </c>
    </row>
    <row r="3844" spans="1:11">
      <c r="A3844" t="str">
        <f>"601956"</f>
        <v>601956</v>
      </c>
      <c r="B3844" t="s">
        <v>4196</v>
      </c>
      <c r="C3844">
        <v>44.94</v>
      </c>
      <c r="D3844">
        <v>68</v>
      </c>
      <c r="E3844">
        <v>25.46</v>
      </c>
      <c r="F3844">
        <v>6.22</v>
      </c>
      <c r="G3844">
        <v>6.22</v>
      </c>
      <c r="H3844">
        <v>35904</v>
      </c>
      <c r="I3844">
        <v>1.77</v>
      </c>
      <c r="J3844">
        <v>32.3</v>
      </c>
      <c r="K3844" t="s">
        <v>134</v>
      </c>
    </row>
    <row r="3845" spans="1:11">
      <c r="A3845" t="str">
        <f>"601958"</f>
        <v>601958</v>
      </c>
      <c r="B3845" t="s">
        <v>4197</v>
      </c>
      <c r="C3845">
        <v>585.31</v>
      </c>
      <c r="D3845">
        <v>226.38</v>
      </c>
      <c r="E3845">
        <v>180.78</v>
      </c>
      <c r="F3845">
        <v>32.27</v>
      </c>
      <c r="G3845">
        <v>32.27</v>
      </c>
      <c r="H3845">
        <v>82449</v>
      </c>
      <c r="I3845">
        <v>3.24</v>
      </c>
      <c r="J3845">
        <v>19.2</v>
      </c>
      <c r="K3845" t="s">
        <v>322</v>
      </c>
    </row>
    <row r="3846" spans="1:11">
      <c r="A3846" t="str">
        <f>"601963"</f>
        <v>601963</v>
      </c>
      <c r="B3846" t="s">
        <v>4198</v>
      </c>
      <c r="C3846">
        <v>193.58</v>
      </c>
      <c r="D3846">
        <v>10227.5</v>
      </c>
      <c r="E3846">
        <v>631.14</v>
      </c>
      <c r="F3846">
        <v>34.75</v>
      </c>
      <c r="G3846">
        <v>18.79</v>
      </c>
      <c r="H3846">
        <v>36303</v>
      </c>
      <c r="I3846">
        <v>0.64</v>
      </c>
      <c r="J3846">
        <v>5.5</v>
      </c>
      <c r="K3846" t="s">
        <v>643</v>
      </c>
    </row>
    <row r="3847" spans="1:11">
      <c r="A3847" t="str">
        <f>"601965"</f>
        <v>601965</v>
      </c>
      <c r="B3847" t="s">
        <v>4199</v>
      </c>
      <c r="C3847">
        <v>169.99</v>
      </c>
      <c r="D3847">
        <v>128.67</v>
      </c>
      <c r="E3847">
        <v>74.95</v>
      </c>
      <c r="F3847">
        <v>10.03</v>
      </c>
      <c r="G3847">
        <v>9.98</v>
      </c>
      <c r="H3847">
        <v>21586</v>
      </c>
      <c r="I3847">
        <v>2.28</v>
      </c>
      <c r="J3847">
        <v>19.23</v>
      </c>
      <c r="K3847" t="s">
        <v>412</v>
      </c>
    </row>
    <row r="3848" spans="1:11">
      <c r="A3848" t="str">
        <f>"601966"</f>
        <v>601966</v>
      </c>
      <c r="B3848" t="s">
        <v>4200</v>
      </c>
      <c r="C3848">
        <v>216.16</v>
      </c>
      <c r="D3848">
        <v>476.72</v>
      </c>
      <c r="E3848">
        <v>232.67</v>
      </c>
      <c r="F3848">
        <v>14.64</v>
      </c>
      <c r="G3848">
        <v>14.64</v>
      </c>
      <c r="H3848">
        <v>87546</v>
      </c>
      <c r="I3848">
        <v>0.93</v>
      </c>
      <c r="J3848">
        <v>13.89</v>
      </c>
      <c r="K3848" t="s">
        <v>263</v>
      </c>
    </row>
    <row r="3849" spans="1:11">
      <c r="A3849" t="str">
        <f>"601968"</f>
        <v>601968</v>
      </c>
      <c r="B3849" t="s">
        <v>4201</v>
      </c>
      <c r="C3849">
        <v>70.42</v>
      </c>
      <c r="D3849">
        <v>96.54</v>
      </c>
      <c r="E3849">
        <v>45.66</v>
      </c>
      <c r="F3849">
        <v>12.76</v>
      </c>
      <c r="G3849">
        <v>12.76</v>
      </c>
      <c r="H3849">
        <v>32935</v>
      </c>
      <c r="I3849">
        <v>1.54</v>
      </c>
      <c r="J3849">
        <v>30.06</v>
      </c>
      <c r="K3849" t="s">
        <v>1164</v>
      </c>
    </row>
    <row r="3850" spans="1:11">
      <c r="A3850" t="str">
        <f>"601969"</f>
        <v>601969</v>
      </c>
      <c r="B3850" t="s">
        <v>4202</v>
      </c>
      <c r="C3850">
        <v>224.8</v>
      </c>
      <c r="D3850">
        <v>143.16</v>
      </c>
      <c r="E3850">
        <v>70.42</v>
      </c>
      <c r="F3850">
        <v>19.98</v>
      </c>
      <c r="G3850">
        <v>19.82</v>
      </c>
      <c r="H3850">
        <v>50626</v>
      </c>
      <c r="I3850">
        <v>3.22</v>
      </c>
      <c r="J3850">
        <v>54.41</v>
      </c>
      <c r="K3850" t="s">
        <v>319</v>
      </c>
    </row>
    <row r="3851" spans="1:11">
      <c r="A3851" t="str">
        <f>"601975"</f>
        <v>601975</v>
      </c>
      <c r="B3851" t="s">
        <v>4203</v>
      </c>
      <c r="C3851">
        <v>155.86</v>
      </c>
      <c r="D3851">
        <v>131.89</v>
      </c>
      <c r="E3851">
        <v>114.78</v>
      </c>
      <c r="F3851">
        <v>46.8</v>
      </c>
      <c r="G3851">
        <v>46.8</v>
      </c>
      <c r="H3851">
        <v>119595</v>
      </c>
      <c r="I3851">
        <v>1.39</v>
      </c>
      <c r="J3851">
        <v>12.34</v>
      </c>
      <c r="K3851" t="s">
        <v>188</v>
      </c>
    </row>
    <row r="3852" spans="1:11">
      <c r="A3852" t="str">
        <f>"601985"</f>
        <v>601985</v>
      </c>
      <c r="B3852" t="s">
        <v>4204</v>
      </c>
      <c r="C3852">
        <v>1690.05</v>
      </c>
      <c r="D3852">
        <v>7207.17</v>
      </c>
      <c r="E3852">
        <v>1165.75</v>
      </c>
      <c r="F3852">
        <v>205.68</v>
      </c>
      <c r="G3852">
        <v>188.83</v>
      </c>
      <c r="H3852">
        <v>451100</v>
      </c>
      <c r="I3852">
        <v>1.59</v>
      </c>
      <c r="J3852">
        <v>17.25</v>
      </c>
      <c r="K3852" t="s">
        <v>1807</v>
      </c>
    </row>
    <row r="3853" spans="1:11">
      <c r="A3853" t="str">
        <f>"601988"</f>
        <v>601988</v>
      </c>
      <c r="B3853" t="s">
        <v>4205</v>
      </c>
      <c r="C3853">
        <v>11528.87</v>
      </c>
      <c r="D3853">
        <v>375501.63</v>
      </c>
      <c r="E3853">
        <v>30936.82</v>
      </c>
      <c r="F3853">
        <v>3222.12</v>
      </c>
      <c r="G3853">
        <v>2107.66</v>
      </c>
      <c r="H3853">
        <v>678883</v>
      </c>
      <c r="I3853">
        <v>0.66</v>
      </c>
      <c r="J3853">
        <v>7.44</v>
      </c>
      <c r="K3853" t="s">
        <v>4076</v>
      </c>
    </row>
    <row r="3854" spans="1:11">
      <c r="A3854" t="str">
        <f>"601990"</f>
        <v>601990</v>
      </c>
      <c r="B3854" t="s">
        <v>4206</v>
      </c>
      <c r="C3854">
        <v>299.33</v>
      </c>
      <c r="D3854">
        <v>835.42</v>
      </c>
      <c r="E3854">
        <v>179.21</v>
      </c>
      <c r="F3854">
        <v>44</v>
      </c>
      <c r="G3854">
        <v>36.86</v>
      </c>
      <c r="H3854">
        <v>108068</v>
      </c>
      <c r="I3854">
        <v>1.67</v>
      </c>
      <c r="J3854">
        <v>29.34</v>
      </c>
      <c r="K3854" t="s">
        <v>120</v>
      </c>
    </row>
    <row r="3855" spans="1:11">
      <c r="A3855" t="str">
        <f>"601991"</f>
        <v>601991</v>
      </c>
      <c r="B3855" t="s">
        <v>4207</v>
      </c>
      <c r="C3855">
        <v>454.94</v>
      </c>
      <c r="D3855">
        <v>3239.99</v>
      </c>
      <c r="E3855">
        <v>908.9</v>
      </c>
      <c r="F3855">
        <v>185.07</v>
      </c>
      <c r="G3855">
        <v>123.96</v>
      </c>
      <c r="H3855">
        <v>196377</v>
      </c>
      <c r="I3855">
        <v>1.93</v>
      </c>
      <c r="J3855">
        <v>7.59</v>
      </c>
      <c r="K3855" t="s">
        <v>46</v>
      </c>
    </row>
    <row r="3856" spans="1:11">
      <c r="A3856" t="str">
        <f>"601992"</f>
        <v>601992</v>
      </c>
      <c r="B3856" t="s">
        <v>4208</v>
      </c>
      <c r="C3856">
        <v>195.02</v>
      </c>
      <c r="D3856">
        <v>2670.67</v>
      </c>
      <c r="E3856">
        <v>718.4</v>
      </c>
      <c r="F3856">
        <v>106.78</v>
      </c>
      <c r="G3856">
        <v>83.34</v>
      </c>
      <c r="H3856">
        <v>112912</v>
      </c>
      <c r="I3856">
        <v>0.62</v>
      </c>
      <c r="J3856" t="s">
        <v>14</v>
      </c>
      <c r="K3856" t="s">
        <v>129</v>
      </c>
    </row>
    <row r="3857" spans="1:11">
      <c r="A3857" t="str">
        <f>"601995"</f>
        <v>601995</v>
      </c>
      <c r="B3857" t="s">
        <v>4209</v>
      </c>
      <c r="C3857">
        <v>1040.78</v>
      </c>
      <c r="D3857">
        <v>7649.41</v>
      </c>
      <c r="E3857">
        <v>1155.01</v>
      </c>
      <c r="F3857">
        <v>48.27</v>
      </c>
      <c r="G3857">
        <v>29.24</v>
      </c>
      <c r="H3857">
        <v>118897</v>
      </c>
      <c r="I3857">
        <v>1.76</v>
      </c>
      <c r="J3857">
        <v>19.63</v>
      </c>
      <c r="K3857" t="s">
        <v>120</v>
      </c>
    </row>
    <row r="3858" spans="1:11">
      <c r="A3858" t="str">
        <f>"601996"</f>
        <v>601996</v>
      </c>
      <c r="B3858" t="s">
        <v>4210</v>
      </c>
      <c r="C3858">
        <v>25.67</v>
      </c>
      <c r="D3858">
        <v>35.44</v>
      </c>
      <c r="E3858">
        <v>25.5</v>
      </c>
      <c r="F3858">
        <v>11.21</v>
      </c>
      <c r="G3858">
        <v>11.21</v>
      </c>
      <c r="H3858">
        <v>26068</v>
      </c>
      <c r="I3858">
        <v>1.01</v>
      </c>
      <c r="J3858" t="s">
        <v>14</v>
      </c>
      <c r="K3858" t="s">
        <v>625</v>
      </c>
    </row>
    <row r="3859" spans="1:11">
      <c r="A3859" t="str">
        <f>"601997"</f>
        <v>601997</v>
      </c>
      <c r="B3859" t="s">
        <v>4211</v>
      </c>
      <c r="C3859">
        <v>213.52</v>
      </c>
      <c r="D3859">
        <v>7465.89</v>
      </c>
      <c r="E3859">
        <v>681.68</v>
      </c>
      <c r="F3859">
        <v>36.56</v>
      </c>
      <c r="G3859">
        <v>36.56</v>
      </c>
      <c r="H3859">
        <v>68067</v>
      </c>
      <c r="I3859">
        <v>0.34</v>
      </c>
      <c r="J3859">
        <v>4.09</v>
      </c>
      <c r="K3859" t="s">
        <v>643</v>
      </c>
    </row>
    <row r="3860" spans="1:11">
      <c r="A3860" t="str">
        <f>"601998"</f>
        <v>601998</v>
      </c>
      <c r="B3860" t="s">
        <v>4212</v>
      </c>
      <c r="C3860">
        <v>3097.99</v>
      </c>
      <c r="D3860">
        <v>98981.29</v>
      </c>
      <c r="E3860">
        <v>8233.15</v>
      </c>
      <c r="F3860">
        <v>556.45</v>
      </c>
      <c r="G3860">
        <v>407.63</v>
      </c>
      <c r="H3860">
        <v>125823</v>
      </c>
      <c r="I3860">
        <v>0.59</v>
      </c>
      <c r="J3860">
        <v>5.94</v>
      </c>
      <c r="K3860" t="s">
        <v>12</v>
      </c>
    </row>
    <row r="3861" spans="1:11">
      <c r="A3861" t="str">
        <f>"601999"</f>
        <v>601999</v>
      </c>
      <c r="B3861" t="s">
        <v>4213</v>
      </c>
      <c r="C3861">
        <v>41.81</v>
      </c>
      <c r="D3861">
        <v>42.77</v>
      </c>
      <c r="E3861">
        <v>26.49</v>
      </c>
      <c r="F3861">
        <v>5.51</v>
      </c>
      <c r="G3861">
        <v>5.51</v>
      </c>
      <c r="H3861">
        <v>21029</v>
      </c>
      <c r="I3861">
        <v>1.58</v>
      </c>
      <c r="J3861">
        <v>40.83</v>
      </c>
      <c r="K3861" t="s">
        <v>381</v>
      </c>
    </row>
    <row r="3862" spans="1:11">
      <c r="A3862" t="str">
        <f>"603000"</f>
        <v>603000</v>
      </c>
      <c r="B3862" t="s">
        <v>4214</v>
      </c>
      <c r="C3862">
        <v>309.93</v>
      </c>
      <c r="D3862">
        <v>50.83</v>
      </c>
      <c r="E3862">
        <v>36.72</v>
      </c>
      <c r="F3862">
        <v>11.06</v>
      </c>
      <c r="G3862">
        <v>11.06</v>
      </c>
      <c r="H3862">
        <v>114197</v>
      </c>
      <c r="I3862">
        <v>8.44</v>
      </c>
      <c r="J3862">
        <v>690.93</v>
      </c>
      <c r="K3862" t="s">
        <v>339</v>
      </c>
    </row>
    <row r="3863" spans="1:11">
      <c r="A3863" t="str">
        <f>"603001"</f>
        <v>603001</v>
      </c>
      <c r="B3863" t="s">
        <v>4215</v>
      </c>
      <c r="C3863">
        <v>34.32</v>
      </c>
      <c r="D3863">
        <v>31.25</v>
      </c>
      <c r="E3863">
        <v>23.78</v>
      </c>
      <c r="F3863">
        <v>4.01</v>
      </c>
      <c r="G3863">
        <v>4.01</v>
      </c>
      <c r="H3863">
        <v>11241</v>
      </c>
      <c r="I3863">
        <v>1.44</v>
      </c>
      <c r="J3863" t="s">
        <v>14</v>
      </c>
      <c r="K3863" t="s">
        <v>1418</v>
      </c>
    </row>
    <row r="3864" spans="1:11">
      <c r="A3864" t="str">
        <f>"603002"</f>
        <v>603002</v>
      </c>
      <c r="B3864" t="s">
        <v>4216</v>
      </c>
      <c r="C3864">
        <v>85.96</v>
      </c>
      <c r="D3864">
        <v>51.89</v>
      </c>
      <c r="E3864">
        <v>34.45</v>
      </c>
      <c r="F3864">
        <v>11.34</v>
      </c>
      <c r="G3864">
        <v>11.34</v>
      </c>
      <c r="H3864">
        <v>53599</v>
      </c>
      <c r="I3864">
        <v>2.5</v>
      </c>
      <c r="J3864">
        <v>262.99</v>
      </c>
      <c r="K3864" t="s">
        <v>601</v>
      </c>
    </row>
    <row r="3865" spans="1:11">
      <c r="A3865" t="str">
        <f>"603004"</f>
        <v>603004</v>
      </c>
      <c r="B3865" t="s">
        <v>4217</v>
      </c>
      <c r="C3865">
        <v>14.18</v>
      </c>
      <c r="D3865">
        <v>22.4</v>
      </c>
      <c r="E3865">
        <v>20.71</v>
      </c>
      <c r="F3865">
        <v>2.36</v>
      </c>
      <c r="G3865">
        <v>0.59</v>
      </c>
      <c r="H3865">
        <v>18209</v>
      </c>
      <c r="I3865">
        <v>2.74</v>
      </c>
      <c r="J3865">
        <v>34.72</v>
      </c>
      <c r="K3865" t="s">
        <v>511</v>
      </c>
    </row>
    <row r="3866" spans="1:11">
      <c r="A3866" t="str">
        <f>"603005"</f>
        <v>603005</v>
      </c>
      <c r="B3866" t="s">
        <v>4218</v>
      </c>
      <c r="C3866">
        <v>187.89</v>
      </c>
      <c r="D3866">
        <v>52.39</v>
      </c>
      <c r="E3866">
        <v>45.35</v>
      </c>
      <c r="F3866">
        <v>6.52</v>
      </c>
      <c r="G3866">
        <v>6.52</v>
      </c>
      <c r="H3866">
        <v>147658</v>
      </c>
      <c r="I3866">
        <v>4.14</v>
      </c>
      <c r="J3866">
        <v>51.48</v>
      </c>
      <c r="K3866" t="s">
        <v>838</v>
      </c>
    </row>
    <row r="3867" spans="1:11">
      <c r="A3867" t="str">
        <f>"603006"</f>
        <v>603006</v>
      </c>
      <c r="B3867" t="s">
        <v>4219</v>
      </c>
      <c r="C3867">
        <v>33.71</v>
      </c>
      <c r="D3867">
        <v>20.45</v>
      </c>
      <c r="E3867">
        <v>13.04</v>
      </c>
      <c r="F3867">
        <v>2.54</v>
      </c>
      <c r="G3867">
        <v>2.54</v>
      </c>
      <c r="H3867">
        <v>16308</v>
      </c>
      <c r="I3867">
        <v>2.59</v>
      </c>
      <c r="J3867">
        <v>43.29</v>
      </c>
      <c r="K3867" t="s">
        <v>356</v>
      </c>
    </row>
    <row r="3868" spans="1:11">
      <c r="A3868" t="str">
        <f>"603007"</f>
        <v>603007</v>
      </c>
      <c r="B3868" t="s">
        <v>4220</v>
      </c>
      <c r="C3868">
        <v>41.18</v>
      </c>
      <c r="D3868">
        <v>19.11</v>
      </c>
      <c r="E3868">
        <v>4.76</v>
      </c>
      <c r="F3868">
        <v>8.77</v>
      </c>
      <c r="G3868">
        <v>6.86</v>
      </c>
      <c r="H3868">
        <v>18346</v>
      </c>
      <c r="I3868">
        <v>11.05</v>
      </c>
      <c r="J3868" t="s">
        <v>14</v>
      </c>
      <c r="K3868" t="s">
        <v>26</v>
      </c>
    </row>
    <row r="3869" spans="1:11">
      <c r="A3869" t="str">
        <f>"603008"</f>
        <v>603008</v>
      </c>
      <c r="B3869" t="s">
        <v>4221</v>
      </c>
      <c r="C3869">
        <v>79.92</v>
      </c>
      <c r="D3869">
        <v>87.38</v>
      </c>
      <c r="E3869">
        <v>39.1</v>
      </c>
      <c r="F3869">
        <v>3.68</v>
      </c>
      <c r="G3869">
        <v>3.68</v>
      </c>
      <c r="H3869">
        <v>15978</v>
      </c>
      <c r="I3869">
        <v>2.06</v>
      </c>
      <c r="J3869">
        <v>15.01</v>
      </c>
      <c r="K3869" t="s">
        <v>540</v>
      </c>
    </row>
    <row r="3870" spans="1:11">
      <c r="A3870" t="str">
        <f>"603009"</f>
        <v>603009</v>
      </c>
      <c r="B3870" t="s">
        <v>4222</v>
      </c>
      <c r="C3870">
        <v>161.59</v>
      </c>
      <c r="D3870">
        <v>37.19</v>
      </c>
      <c r="E3870">
        <v>17.16</v>
      </c>
      <c r="F3870">
        <v>3.39</v>
      </c>
      <c r="G3870">
        <v>3.38</v>
      </c>
      <c r="H3870">
        <v>35682</v>
      </c>
      <c r="I3870">
        <v>9.41</v>
      </c>
      <c r="J3870">
        <v>130.82</v>
      </c>
      <c r="K3870" t="s">
        <v>51</v>
      </c>
    </row>
    <row r="3871" spans="1:11">
      <c r="A3871" t="str">
        <f>"603010"</f>
        <v>603010</v>
      </c>
      <c r="B3871" t="s">
        <v>4223</v>
      </c>
      <c r="C3871">
        <v>59.96</v>
      </c>
      <c r="D3871">
        <v>72.93</v>
      </c>
      <c r="E3871">
        <v>36.15</v>
      </c>
      <c r="F3871">
        <v>5.9</v>
      </c>
      <c r="G3871">
        <v>5.9</v>
      </c>
      <c r="H3871">
        <v>25611</v>
      </c>
      <c r="I3871">
        <v>1.66</v>
      </c>
      <c r="J3871">
        <v>89.78</v>
      </c>
      <c r="K3871" t="s">
        <v>1529</v>
      </c>
    </row>
    <row r="3872" spans="1:11">
      <c r="A3872" t="str">
        <f>"603011"</f>
        <v>603011</v>
      </c>
      <c r="B3872" t="s">
        <v>4224</v>
      </c>
      <c r="C3872">
        <v>148.37</v>
      </c>
      <c r="D3872">
        <v>45.14</v>
      </c>
      <c r="E3872">
        <v>21</v>
      </c>
      <c r="F3872">
        <v>4.94</v>
      </c>
      <c r="G3872">
        <v>4.94</v>
      </c>
      <c r="H3872">
        <v>77975</v>
      </c>
      <c r="I3872">
        <v>7.07</v>
      </c>
      <c r="J3872" t="s">
        <v>14</v>
      </c>
      <c r="K3872" t="s">
        <v>493</v>
      </c>
    </row>
    <row r="3873" spans="1:11">
      <c r="A3873" t="str">
        <f>"603012"</f>
        <v>603012</v>
      </c>
      <c r="B3873" t="s">
        <v>4225</v>
      </c>
      <c r="C3873">
        <v>46.16</v>
      </c>
      <c r="D3873">
        <v>80.73</v>
      </c>
      <c r="E3873">
        <v>38.02</v>
      </c>
      <c r="F3873">
        <v>6.46</v>
      </c>
      <c r="G3873">
        <v>6.46</v>
      </c>
      <c r="H3873">
        <v>31210</v>
      </c>
      <c r="I3873">
        <v>1.21</v>
      </c>
      <c r="J3873">
        <v>39.33</v>
      </c>
      <c r="K3873" t="s">
        <v>491</v>
      </c>
    </row>
    <row r="3874" spans="1:11">
      <c r="A3874" t="str">
        <f>"603013"</f>
        <v>603013</v>
      </c>
      <c r="B3874" t="s">
        <v>4226</v>
      </c>
      <c r="C3874">
        <v>125.18</v>
      </c>
      <c r="D3874">
        <v>76.19</v>
      </c>
      <c r="E3874">
        <v>45</v>
      </c>
      <c r="F3874">
        <v>5.13</v>
      </c>
      <c r="G3874">
        <v>5.13</v>
      </c>
      <c r="H3874">
        <v>17063</v>
      </c>
      <c r="I3874">
        <v>2.78</v>
      </c>
      <c r="J3874">
        <v>22.51</v>
      </c>
      <c r="K3874" t="s">
        <v>51</v>
      </c>
    </row>
    <row r="3875" spans="1:11">
      <c r="A3875" t="str">
        <f>"603014"</f>
        <v>603014</v>
      </c>
      <c r="B3875" t="s">
        <v>4227</v>
      </c>
      <c r="C3875">
        <v>16.31</v>
      </c>
      <c r="D3875">
        <v>84.68</v>
      </c>
      <c r="E3875">
        <v>69.82</v>
      </c>
      <c r="F3875">
        <v>4.18</v>
      </c>
      <c r="G3875">
        <v>0.39</v>
      </c>
      <c r="H3875">
        <v>24821</v>
      </c>
      <c r="I3875">
        <v>2.48</v>
      </c>
      <c r="J3875">
        <v>38.1</v>
      </c>
      <c r="K3875" t="s">
        <v>1836</v>
      </c>
    </row>
    <row r="3876" spans="1:11">
      <c r="A3876" t="str">
        <f>"603015"</f>
        <v>603015</v>
      </c>
      <c r="B3876" t="s">
        <v>4228</v>
      </c>
      <c r="C3876">
        <v>63.83</v>
      </c>
      <c r="D3876">
        <v>21.1</v>
      </c>
      <c r="E3876">
        <v>13.95</v>
      </c>
      <c r="F3876">
        <v>4.04</v>
      </c>
      <c r="G3876">
        <v>4.04</v>
      </c>
      <c r="H3876">
        <v>34318</v>
      </c>
      <c r="I3876">
        <v>4.58</v>
      </c>
      <c r="J3876">
        <v>149.36</v>
      </c>
      <c r="K3876" t="s">
        <v>663</v>
      </c>
    </row>
    <row r="3877" spans="1:11">
      <c r="A3877" t="str">
        <f>"603016"</f>
        <v>603016</v>
      </c>
      <c r="B3877" t="s">
        <v>4229</v>
      </c>
      <c r="C3877">
        <v>45.9</v>
      </c>
      <c r="D3877">
        <v>10.53</v>
      </c>
      <c r="E3877">
        <v>8.25</v>
      </c>
      <c r="F3877">
        <v>1.48</v>
      </c>
      <c r="G3877">
        <v>1.48</v>
      </c>
      <c r="H3877">
        <v>13215</v>
      </c>
      <c r="I3877">
        <v>5.57</v>
      </c>
      <c r="J3877">
        <v>72</v>
      </c>
      <c r="K3877" t="s">
        <v>943</v>
      </c>
    </row>
    <row r="3878" spans="1:11">
      <c r="A3878" t="str">
        <f>"603017"</f>
        <v>603017</v>
      </c>
      <c r="B3878" t="s">
        <v>4230</v>
      </c>
      <c r="C3878">
        <v>34.28</v>
      </c>
      <c r="D3878">
        <v>33.9</v>
      </c>
      <c r="E3878">
        <v>14.8</v>
      </c>
      <c r="F3878">
        <v>2.76</v>
      </c>
      <c r="G3878">
        <v>2.76</v>
      </c>
      <c r="H3878">
        <v>21518</v>
      </c>
      <c r="I3878">
        <v>2.32</v>
      </c>
      <c r="J3878">
        <v>45.69</v>
      </c>
      <c r="K3878" t="s">
        <v>428</v>
      </c>
    </row>
    <row r="3879" spans="1:11">
      <c r="A3879" t="str">
        <f>"603018"</f>
        <v>603018</v>
      </c>
      <c r="B3879" t="s">
        <v>4231</v>
      </c>
      <c r="C3879">
        <v>52.31</v>
      </c>
      <c r="D3879">
        <v>124.19</v>
      </c>
      <c r="E3879">
        <v>52.92</v>
      </c>
      <c r="F3879">
        <v>6.84</v>
      </c>
      <c r="G3879">
        <v>6.84</v>
      </c>
      <c r="H3879">
        <v>30067</v>
      </c>
      <c r="I3879">
        <v>0.99</v>
      </c>
      <c r="J3879">
        <v>21.13</v>
      </c>
      <c r="K3879" t="s">
        <v>428</v>
      </c>
    </row>
    <row r="3880" spans="1:11">
      <c r="A3880" t="str">
        <f>"603019"</f>
        <v>603019</v>
      </c>
      <c r="B3880" t="s">
        <v>4232</v>
      </c>
      <c r="C3880">
        <v>1366.61</v>
      </c>
      <c r="D3880">
        <v>369.9</v>
      </c>
      <c r="E3880">
        <v>210.64</v>
      </c>
      <c r="F3880">
        <v>14.63</v>
      </c>
      <c r="G3880">
        <v>14.63</v>
      </c>
      <c r="H3880">
        <v>355287</v>
      </c>
      <c r="I3880">
        <v>6.49</v>
      </c>
      <c r="J3880">
        <v>106.12</v>
      </c>
      <c r="K3880" t="s">
        <v>88</v>
      </c>
    </row>
    <row r="3881" spans="1:11">
      <c r="A3881" t="str">
        <f>"603020"</f>
        <v>603020</v>
      </c>
      <c r="B3881" t="s">
        <v>4233</v>
      </c>
      <c r="C3881">
        <v>41.24</v>
      </c>
      <c r="D3881">
        <v>37.08</v>
      </c>
      <c r="E3881">
        <v>33.07</v>
      </c>
      <c r="F3881">
        <v>3.83</v>
      </c>
      <c r="G3881">
        <v>3.83</v>
      </c>
      <c r="H3881">
        <v>22430</v>
      </c>
      <c r="I3881">
        <v>1.25</v>
      </c>
      <c r="J3881">
        <v>27.58</v>
      </c>
      <c r="K3881" t="s">
        <v>1281</v>
      </c>
    </row>
    <row r="3882" spans="1:11">
      <c r="A3882" t="str">
        <f>"603021"</f>
        <v>603021</v>
      </c>
      <c r="B3882" t="s">
        <v>4234</v>
      </c>
      <c r="C3882">
        <v>15.55</v>
      </c>
      <c r="D3882">
        <v>15.42</v>
      </c>
      <c r="E3882">
        <v>-0.41</v>
      </c>
      <c r="F3882">
        <v>3.2</v>
      </c>
      <c r="G3882">
        <v>3.2</v>
      </c>
      <c r="H3882">
        <v>11085</v>
      </c>
      <c r="I3882">
        <v>-37.97</v>
      </c>
      <c r="J3882" t="s">
        <v>14</v>
      </c>
      <c r="K3882" t="s">
        <v>625</v>
      </c>
    </row>
    <row r="3883" spans="1:11">
      <c r="A3883" t="str">
        <f>"603022"</f>
        <v>603022</v>
      </c>
      <c r="B3883" t="s">
        <v>4235</v>
      </c>
      <c r="C3883">
        <v>21.88</v>
      </c>
      <c r="D3883">
        <v>11.64</v>
      </c>
      <c r="E3883">
        <v>8.2</v>
      </c>
      <c r="F3883">
        <v>2</v>
      </c>
      <c r="G3883">
        <v>2</v>
      </c>
      <c r="H3883">
        <v>19980</v>
      </c>
      <c r="I3883">
        <v>2.67</v>
      </c>
      <c r="J3883">
        <v>44.85</v>
      </c>
      <c r="K3883" t="s">
        <v>1030</v>
      </c>
    </row>
    <row r="3884" spans="1:11">
      <c r="A3884" t="str">
        <f>"603023"</f>
        <v>603023</v>
      </c>
      <c r="B3884" t="s">
        <v>4236</v>
      </c>
      <c r="C3884">
        <v>30.14</v>
      </c>
      <c r="D3884">
        <v>9.18</v>
      </c>
      <c r="E3884">
        <v>7.7</v>
      </c>
      <c r="F3884">
        <v>5.58</v>
      </c>
      <c r="G3884">
        <v>5.58</v>
      </c>
      <c r="H3884">
        <v>20307</v>
      </c>
      <c r="I3884">
        <v>3.92</v>
      </c>
      <c r="J3884">
        <v>3202.57</v>
      </c>
      <c r="K3884" t="s">
        <v>530</v>
      </c>
    </row>
    <row r="3885" spans="1:11">
      <c r="A3885" t="str">
        <f>"603025"</f>
        <v>603025</v>
      </c>
      <c r="B3885" t="s">
        <v>4237</v>
      </c>
      <c r="C3885">
        <v>208.41</v>
      </c>
      <c r="D3885">
        <v>49.16</v>
      </c>
      <c r="E3885">
        <v>26.07</v>
      </c>
      <c r="F3885">
        <v>11.17</v>
      </c>
      <c r="G3885">
        <v>11.09</v>
      </c>
      <c r="H3885">
        <v>39436</v>
      </c>
      <c r="I3885">
        <v>8.05</v>
      </c>
      <c r="J3885">
        <v>26.19</v>
      </c>
      <c r="K3885" t="s">
        <v>663</v>
      </c>
    </row>
    <row r="3886" spans="1:11">
      <c r="A3886" t="str">
        <f>"603026"</f>
        <v>603026</v>
      </c>
      <c r="B3886" t="s">
        <v>4238</v>
      </c>
      <c r="C3886">
        <v>142.71</v>
      </c>
      <c r="D3886">
        <v>105.14</v>
      </c>
      <c r="E3886">
        <v>48.34</v>
      </c>
      <c r="F3886">
        <v>2.33</v>
      </c>
      <c r="G3886">
        <v>2.03</v>
      </c>
      <c r="H3886">
        <v>41998</v>
      </c>
      <c r="I3886">
        <v>3.39</v>
      </c>
      <c r="J3886" t="s">
        <v>14</v>
      </c>
      <c r="K3886" t="s">
        <v>24</v>
      </c>
    </row>
    <row r="3887" spans="1:11">
      <c r="A3887" t="str">
        <f>"603027"</f>
        <v>603027</v>
      </c>
      <c r="B3887" t="s">
        <v>4239</v>
      </c>
      <c r="C3887">
        <v>125.84</v>
      </c>
      <c r="D3887">
        <v>44.64</v>
      </c>
      <c r="E3887">
        <v>34.02</v>
      </c>
      <c r="F3887">
        <v>13.33</v>
      </c>
      <c r="G3887">
        <v>12.5</v>
      </c>
      <c r="H3887">
        <v>73656</v>
      </c>
      <c r="I3887">
        <v>3.95</v>
      </c>
      <c r="J3887">
        <v>38.77</v>
      </c>
      <c r="K3887" t="s">
        <v>1281</v>
      </c>
    </row>
    <row r="3888" spans="1:11">
      <c r="A3888" t="str">
        <f>"603028"</f>
        <v>603028</v>
      </c>
      <c r="B3888" t="s">
        <v>4240</v>
      </c>
      <c r="C3888">
        <v>28.48</v>
      </c>
      <c r="D3888">
        <v>27.78</v>
      </c>
      <c r="E3888">
        <v>5.12</v>
      </c>
      <c r="F3888">
        <v>2.87</v>
      </c>
      <c r="G3888">
        <v>2.84</v>
      </c>
      <c r="H3888">
        <v>18805</v>
      </c>
      <c r="I3888">
        <v>5.62</v>
      </c>
      <c r="J3888">
        <v>1518.02</v>
      </c>
      <c r="K3888" t="s">
        <v>63</v>
      </c>
    </row>
    <row r="3889" spans="1:11">
      <c r="A3889" t="str">
        <f>"603029"</f>
        <v>603029</v>
      </c>
      <c r="B3889" t="s">
        <v>4241</v>
      </c>
      <c r="C3889">
        <v>22.74</v>
      </c>
      <c r="D3889">
        <v>23.34</v>
      </c>
      <c r="E3889">
        <v>9.29</v>
      </c>
      <c r="F3889">
        <v>1.21</v>
      </c>
      <c r="G3889">
        <v>1.21</v>
      </c>
      <c r="H3889">
        <v>15920</v>
      </c>
      <c r="I3889">
        <v>2.45</v>
      </c>
      <c r="J3889">
        <v>32.55</v>
      </c>
      <c r="K3889" t="s">
        <v>1556</v>
      </c>
    </row>
    <row r="3890" spans="1:11">
      <c r="A3890" t="str">
        <f>"603030"</f>
        <v>603030</v>
      </c>
      <c r="B3890" t="s">
        <v>4242</v>
      </c>
      <c r="C3890">
        <v>39.24</v>
      </c>
      <c r="D3890">
        <v>21.04</v>
      </c>
      <c r="E3890">
        <v>8.86</v>
      </c>
      <c r="F3890">
        <v>13.17</v>
      </c>
      <c r="G3890">
        <v>13.17</v>
      </c>
      <c r="H3890">
        <v>48370</v>
      </c>
      <c r="I3890">
        <v>4.43</v>
      </c>
      <c r="J3890" t="s">
        <v>14</v>
      </c>
      <c r="K3890" t="s">
        <v>804</v>
      </c>
    </row>
    <row r="3891" spans="1:11">
      <c r="A3891" t="str">
        <f>"603031"</f>
        <v>603031</v>
      </c>
      <c r="B3891" t="s">
        <v>4243</v>
      </c>
      <c r="C3891">
        <v>104.21</v>
      </c>
      <c r="D3891">
        <v>69.01</v>
      </c>
      <c r="E3891">
        <v>30.45</v>
      </c>
      <c r="F3891">
        <v>2.58</v>
      </c>
      <c r="G3891">
        <v>2.11</v>
      </c>
      <c r="H3891">
        <v>15261</v>
      </c>
      <c r="I3891">
        <v>4.18</v>
      </c>
      <c r="J3891">
        <v>54.72</v>
      </c>
      <c r="K3891" t="s">
        <v>1365</v>
      </c>
    </row>
    <row r="3892" spans="1:11">
      <c r="A3892" t="str">
        <f>"603032"</f>
        <v>603032</v>
      </c>
      <c r="B3892" t="s">
        <v>4244</v>
      </c>
      <c r="C3892">
        <v>45.15</v>
      </c>
      <c r="D3892">
        <v>15.73</v>
      </c>
      <c r="E3892">
        <v>11.37</v>
      </c>
      <c r="F3892">
        <v>2.34</v>
      </c>
      <c r="G3892">
        <v>2.32</v>
      </c>
      <c r="H3892">
        <v>35530</v>
      </c>
      <c r="I3892">
        <v>4</v>
      </c>
      <c r="J3892">
        <v>91.95</v>
      </c>
      <c r="K3892" t="s">
        <v>493</v>
      </c>
    </row>
    <row r="3893" spans="1:11">
      <c r="A3893" t="str">
        <f>"603033"</f>
        <v>603033</v>
      </c>
      <c r="B3893" t="s">
        <v>4245</v>
      </c>
      <c r="C3893">
        <v>109.96</v>
      </c>
      <c r="D3893">
        <v>106.32</v>
      </c>
      <c r="E3893">
        <v>29.1</v>
      </c>
      <c r="F3893">
        <v>10.31</v>
      </c>
      <c r="G3893">
        <v>10.13</v>
      </c>
      <c r="H3893">
        <v>13405</v>
      </c>
      <c r="I3893">
        <v>3.85</v>
      </c>
      <c r="J3893" t="s">
        <v>14</v>
      </c>
      <c r="K3893" t="s">
        <v>705</v>
      </c>
    </row>
    <row r="3894" spans="1:11">
      <c r="A3894" t="str">
        <f>"603035"</f>
        <v>603035</v>
      </c>
      <c r="B3894" t="s">
        <v>4246</v>
      </c>
      <c r="C3894">
        <v>59.27</v>
      </c>
      <c r="D3894">
        <v>117.79</v>
      </c>
      <c r="E3894">
        <v>53.11</v>
      </c>
      <c r="F3894">
        <v>3.66</v>
      </c>
      <c r="G3894">
        <v>3.66</v>
      </c>
      <c r="H3894">
        <v>24971</v>
      </c>
      <c r="I3894">
        <v>1.12</v>
      </c>
      <c r="J3894">
        <v>12.77</v>
      </c>
      <c r="K3894" t="s">
        <v>356</v>
      </c>
    </row>
    <row r="3895" spans="1:11">
      <c r="A3895" t="str">
        <f>"603036"</f>
        <v>603036</v>
      </c>
      <c r="B3895" t="s">
        <v>4247</v>
      </c>
      <c r="C3895">
        <v>45.75</v>
      </c>
      <c r="D3895">
        <v>15.46</v>
      </c>
      <c r="E3895">
        <v>13.72</v>
      </c>
      <c r="F3895">
        <v>2.06</v>
      </c>
      <c r="G3895">
        <v>2.06</v>
      </c>
      <c r="H3895">
        <v>13209</v>
      </c>
      <c r="I3895">
        <v>3.33</v>
      </c>
      <c r="J3895">
        <v>37.97</v>
      </c>
      <c r="K3895" t="s">
        <v>491</v>
      </c>
    </row>
    <row r="3896" spans="1:11">
      <c r="A3896" t="str">
        <f>"603037"</f>
        <v>603037</v>
      </c>
      <c r="B3896" t="s">
        <v>4248</v>
      </c>
      <c r="C3896">
        <v>42.34</v>
      </c>
      <c r="D3896">
        <v>16.95</v>
      </c>
      <c r="E3896">
        <v>10.03</v>
      </c>
      <c r="F3896">
        <v>2.67</v>
      </c>
      <c r="G3896">
        <v>2.66</v>
      </c>
      <c r="H3896">
        <v>20649</v>
      </c>
      <c r="I3896">
        <v>4.4</v>
      </c>
      <c r="J3896">
        <v>54.64</v>
      </c>
      <c r="K3896" t="s">
        <v>51</v>
      </c>
    </row>
    <row r="3897" spans="1:11">
      <c r="A3897" t="str">
        <f>"603038"</f>
        <v>603038</v>
      </c>
      <c r="B3897" t="s">
        <v>4249</v>
      </c>
      <c r="C3897">
        <v>46.96</v>
      </c>
      <c r="D3897">
        <v>28.63</v>
      </c>
      <c r="E3897">
        <v>13.93</v>
      </c>
      <c r="F3897">
        <v>2.69</v>
      </c>
      <c r="G3897">
        <v>2.69</v>
      </c>
      <c r="H3897">
        <v>32661</v>
      </c>
      <c r="I3897">
        <v>3.37</v>
      </c>
      <c r="J3897">
        <v>75.24</v>
      </c>
      <c r="K3897" t="s">
        <v>540</v>
      </c>
    </row>
    <row r="3898" spans="1:11">
      <c r="A3898" t="str">
        <f>"603039"</f>
        <v>603039</v>
      </c>
      <c r="B3898" t="s">
        <v>4250</v>
      </c>
      <c r="C3898">
        <v>179.48</v>
      </c>
      <c r="D3898">
        <v>39.5</v>
      </c>
      <c r="E3898">
        <v>22.52</v>
      </c>
      <c r="F3898">
        <v>2.61</v>
      </c>
      <c r="G3898">
        <v>2.61</v>
      </c>
      <c r="H3898">
        <v>19994</v>
      </c>
      <c r="I3898">
        <v>7.97</v>
      </c>
      <c r="J3898">
        <v>134.6</v>
      </c>
      <c r="K3898" t="s">
        <v>17</v>
      </c>
    </row>
    <row r="3899" spans="1:11">
      <c r="A3899" t="str">
        <f>"603040"</f>
        <v>603040</v>
      </c>
      <c r="B3899" t="s">
        <v>4251</v>
      </c>
      <c r="C3899">
        <v>114.7</v>
      </c>
      <c r="D3899">
        <v>17.37</v>
      </c>
      <c r="E3899">
        <v>14.55</v>
      </c>
      <c r="F3899">
        <v>1.36</v>
      </c>
      <c r="G3899">
        <v>1.36</v>
      </c>
      <c r="H3899">
        <v>10047</v>
      </c>
      <c r="I3899">
        <v>7.93</v>
      </c>
      <c r="J3899">
        <v>41.32</v>
      </c>
      <c r="K3899" t="s">
        <v>51</v>
      </c>
    </row>
    <row r="3900" spans="1:11">
      <c r="A3900" t="str">
        <f>"603041"</f>
        <v>603041</v>
      </c>
      <c r="B3900" t="s">
        <v>4252</v>
      </c>
      <c r="C3900">
        <v>22.8</v>
      </c>
      <c r="D3900">
        <v>17.72</v>
      </c>
      <c r="E3900">
        <v>15.03</v>
      </c>
      <c r="F3900">
        <v>1.83</v>
      </c>
      <c r="G3900">
        <v>1.83</v>
      </c>
      <c r="H3900">
        <v>11992</v>
      </c>
      <c r="I3900">
        <v>1.52</v>
      </c>
      <c r="J3900">
        <v>37.86</v>
      </c>
      <c r="K3900" t="s">
        <v>939</v>
      </c>
    </row>
    <row r="3901" spans="1:11">
      <c r="A3901" t="str">
        <f>"603042"</f>
        <v>603042</v>
      </c>
      <c r="B3901" t="s">
        <v>4253</v>
      </c>
      <c r="C3901">
        <v>29.37</v>
      </c>
      <c r="D3901">
        <v>15.71</v>
      </c>
      <c r="E3901">
        <v>8.63</v>
      </c>
      <c r="F3901">
        <v>1.61</v>
      </c>
      <c r="G3901">
        <v>1.61</v>
      </c>
      <c r="H3901">
        <v>30888</v>
      </c>
      <c r="I3901">
        <v>3.4</v>
      </c>
      <c r="J3901" t="s">
        <v>14</v>
      </c>
      <c r="K3901" t="s">
        <v>93</v>
      </c>
    </row>
    <row r="3902" spans="1:11">
      <c r="A3902" t="str">
        <f>"603043"</f>
        <v>603043</v>
      </c>
      <c r="B3902" t="s">
        <v>4254</v>
      </c>
      <c r="C3902">
        <v>99.31</v>
      </c>
      <c r="D3902">
        <v>76.6</v>
      </c>
      <c r="E3902">
        <v>39.65</v>
      </c>
      <c r="F3902">
        <v>5.69</v>
      </c>
      <c r="G3902">
        <v>5.69</v>
      </c>
      <c r="H3902">
        <v>23446</v>
      </c>
      <c r="I3902">
        <v>2.5</v>
      </c>
      <c r="J3902">
        <v>16.57</v>
      </c>
      <c r="K3902" t="s">
        <v>634</v>
      </c>
    </row>
    <row r="3903" spans="1:11">
      <c r="A3903" t="str">
        <f>"603045"</f>
        <v>603045</v>
      </c>
      <c r="B3903" t="s">
        <v>4255</v>
      </c>
      <c r="C3903">
        <v>32.66</v>
      </c>
      <c r="D3903">
        <v>29.05</v>
      </c>
      <c r="E3903">
        <v>10.19</v>
      </c>
      <c r="F3903">
        <v>1.35</v>
      </c>
      <c r="G3903">
        <v>1.35</v>
      </c>
      <c r="H3903">
        <v>13845</v>
      </c>
      <c r="I3903">
        <v>3.21</v>
      </c>
      <c r="J3903">
        <v>44.13</v>
      </c>
      <c r="K3903" t="s">
        <v>307</v>
      </c>
    </row>
    <row r="3904" spans="1:11">
      <c r="A3904" t="str">
        <f>"603048"</f>
        <v>603048</v>
      </c>
      <c r="B3904" t="s">
        <v>4256</v>
      </c>
      <c r="C3904">
        <v>31.31</v>
      </c>
      <c r="D3904">
        <v>15.87</v>
      </c>
      <c r="E3904">
        <v>12.76</v>
      </c>
      <c r="F3904">
        <v>1.47</v>
      </c>
      <c r="G3904">
        <v>1.47</v>
      </c>
      <c r="H3904">
        <v>13356</v>
      </c>
      <c r="I3904">
        <v>2.45</v>
      </c>
      <c r="J3904">
        <v>52.54</v>
      </c>
      <c r="K3904" t="s">
        <v>51</v>
      </c>
    </row>
    <row r="3905" spans="1:11">
      <c r="A3905" t="str">
        <f>"603049"</f>
        <v>603049</v>
      </c>
      <c r="B3905" t="s">
        <v>4257</v>
      </c>
      <c r="C3905">
        <v>46.99</v>
      </c>
      <c r="D3905">
        <v>510.81</v>
      </c>
      <c r="E3905">
        <v>241.43</v>
      </c>
      <c r="F3905">
        <v>8.74</v>
      </c>
      <c r="G3905">
        <v>0.87</v>
      </c>
      <c r="H3905">
        <v>38257</v>
      </c>
      <c r="I3905">
        <v>1.95</v>
      </c>
      <c r="J3905">
        <v>10.03</v>
      </c>
      <c r="K3905" t="s">
        <v>263</v>
      </c>
    </row>
    <row r="3906" spans="1:11">
      <c r="A3906" t="str">
        <f>"603050"</f>
        <v>603050</v>
      </c>
      <c r="B3906" t="s">
        <v>4258</v>
      </c>
      <c r="C3906">
        <v>73.16</v>
      </c>
      <c r="D3906">
        <v>49.62</v>
      </c>
      <c r="E3906">
        <v>18.3</v>
      </c>
      <c r="F3906">
        <v>4.03</v>
      </c>
      <c r="G3906">
        <v>4.03</v>
      </c>
      <c r="H3906">
        <v>15687</v>
      </c>
      <c r="I3906">
        <v>4</v>
      </c>
      <c r="J3906">
        <v>25.25</v>
      </c>
      <c r="K3906" t="s">
        <v>127</v>
      </c>
    </row>
    <row r="3907" spans="1:11">
      <c r="A3907" t="str">
        <f>"603051"</f>
        <v>603051</v>
      </c>
      <c r="B3907" t="s">
        <v>4259</v>
      </c>
      <c r="C3907">
        <v>36.19</v>
      </c>
      <c r="D3907">
        <v>25.64</v>
      </c>
      <c r="E3907">
        <v>16.29</v>
      </c>
      <c r="F3907">
        <v>1.62</v>
      </c>
      <c r="G3907">
        <v>1.62</v>
      </c>
      <c r="H3907">
        <v>27852</v>
      </c>
      <c r="I3907">
        <v>2.12</v>
      </c>
      <c r="J3907">
        <v>232.31</v>
      </c>
      <c r="K3907" t="s">
        <v>1454</v>
      </c>
    </row>
    <row r="3908" spans="1:11">
      <c r="A3908" t="str">
        <f>"603052"</f>
        <v>603052</v>
      </c>
      <c r="B3908" t="s">
        <v>4260</v>
      </c>
      <c r="C3908">
        <v>84.08</v>
      </c>
      <c r="D3908">
        <v>16.84</v>
      </c>
      <c r="E3908">
        <v>10.88</v>
      </c>
      <c r="F3908">
        <v>1.88</v>
      </c>
      <c r="G3908">
        <v>1.88</v>
      </c>
      <c r="H3908">
        <v>15066</v>
      </c>
      <c r="I3908">
        <v>7.73</v>
      </c>
      <c r="J3908">
        <v>253.21</v>
      </c>
      <c r="K3908" t="s">
        <v>41</v>
      </c>
    </row>
    <row r="3909" spans="1:11">
      <c r="A3909" t="str">
        <f>"603053"</f>
        <v>603053</v>
      </c>
      <c r="B3909" t="s">
        <v>4261</v>
      </c>
      <c r="C3909">
        <v>87.82</v>
      </c>
      <c r="D3909">
        <v>83.95</v>
      </c>
      <c r="E3909">
        <v>48.24</v>
      </c>
      <c r="F3909">
        <v>8.89</v>
      </c>
      <c r="G3909">
        <v>8.89</v>
      </c>
      <c r="H3909">
        <v>21240</v>
      </c>
      <c r="I3909">
        <v>1.82</v>
      </c>
      <c r="J3909">
        <v>15.82</v>
      </c>
      <c r="K3909" t="s">
        <v>136</v>
      </c>
    </row>
    <row r="3910" spans="1:11">
      <c r="A3910" t="str">
        <f>"603055"</f>
        <v>603055</v>
      </c>
      <c r="B3910" t="s">
        <v>4262</v>
      </c>
      <c r="C3910">
        <v>82.41</v>
      </c>
      <c r="D3910">
        <v>116.42</v>
      </c>
      <c r="E3910">
        <v>52.09</v>
      </c>
      <c r="F3910">
        <v>8.9</v>
      </c>
      <c r="G3910">
        <v>8.87</v>
      </c>
      <c r="H3910">
        <v>17354</v>
      </c>
      <c r="I3910">
        <v>1.61</v>
      </c>
      <c r="J3910">
        <v>14.81</v>
      </c>
      <c r="K3910" t="s">
        <v>577</v>
      </c>
    </row>
    <row r="3911" spans="1:11">
      <c r="A3911" t="str">
        <f>"603056"</f>
        <v>603056</v>
      </c>
      <c r="B3911" t="s">
        <v>4263</v>
      </c>
      <c r="C3911">
        <v>157.46</v>
      </c>
      <c r="D3911">
        <v>161.41</v>
      </c>
      <c r="E3911">
        <v>80.32</v>
      </c>
      <c r="F3911">
        <v>10.2</v>
      </c>
      <c r="G3911">
        <v>10.2</v>
      </c>
      <c r="H3911">
        <v>36919</v>
      </c>
      <c r="I3911">
        <v>1.96</v>
      </c>
      <c r="J3911" t="s">
        <v>14</v>
      </c>
      <c r="K3911" t="s">
        <v>886</v>
      </c>
    </row>
    <row r="3912" spans="1:11">
      <c r="A3912" t="str">
        <f>"603057"</f>
        <v>603057</v>
      </c>
      <c r="B3912" t="s">
        <v>4264</v>
      </c>
      <c r="C3912">
        <v>121.95</v>
      </c>
      <c r="D3912">
        <v>39.17</v>
      </c>
      <c r="E3912">
        <v>20.05</v>
      </c>
      <c r="F3912">
        <v>4.14</v>
      </c>
      <c r="G3912">
        <v>4.12</v>
      </c>
      <c r="H3912">
        <v>11169</v>
      </c>
      <c r="I3912">
        <v>6.11</v>
      </c>
      <c r="J3912">
        <v>47.29</v>
      </c>
      <c r="K3912" t="s">
        <v>1479</v>
      </c>
    </row>
    <row r="3913" spans="1:11">
      <c r="A3913" t="str">
        <f>"603058"</f>
        <v>603058</v>
      </c>
      <c r="B3913" t="s">
        <v>4265</v>
      </c>
      <c r="C3913">
        <v>39.58</v>
      </c>
      <c r="D3913">
        <v>20.34</v>
      </c>
      <c r="E3913">
        <v>12.64</v>
      </c>
      <c r="F3913">
        <v>4.15</v>
      </c>
      <c r="G3913">
        <v>4.14</v>
      </c>
      <c r="H3913">
        <v>17426</v>
      </c>
      <c r="I3913">
        <v>3.22</v>
      </c>
      <c r="J3913">
        <v>30.13</v>
      </c>
      <c r="K3913" t="s">
        <v>460</v>
      </c>
    </row>
    <row r="3914" spans="1:11">
      <c r="A3914" t="str">
        <f>"603059"</f>
        <v>603059</v>
      </c>
      <c r="B3914" t="s">
        <v>4266</v>
      </c>
      <c r="C3914">
        <v>36.31</v>
      </c>
      <c r="D3914">
        <v>22.42</v>
      </c>
      <c r="E3914">
        <v>10.52</v>
      </c>
      <c r="F3914">
        <v>1</v>
      </c>
      <c r="G3914">
        <v>1</v>
      </c>
      <c r="H3914">
        <v>9788</v>
      </c>
      <c r="I3914">
        <v>3.45</v>
      </c>
      <c r="J3914">
        <v>35.34</v>
      </c>
      <c r="K3914" t="s">
        <v>708</v>
      </c>
    </row>
    <row r="3915" spans="1:11">
      <c r="A3915" t="str">
        <f>"603060"</f>
        <v>603060</v>
      </c>
      <c r="B3915" t="s">
        <v>4267</v>
      </c>
      <c r="C3915">
        <v>50.65</v>
      </c>
      <c r="D3915">
        <v>57.88</v>
      </c>
      <c r="E3915">
        <v>20.41</v>
      </c>
      <c r="F3915">
        <v>8.04</v>
      </c>
      <c r="G3915">
        <v>8.04</v>
      </c>
      <c r="H3915">
        <v>20491</v>
      </c>
      <c r="I3915">
        <v>2.57</v>
      </c>
      <c r="J3915">
        <v>92.16</v>
      </c>
      <c r="K3915" t="s">
        <v>1733</v>
      </c>
    </row>
    <row r="3916" spans="1:11">
      <c r="A3916" t="str">
        <f>"603061"</f>
        <v>603061</v>
      </c>
      <c r="B3916" t="s">
        <v>4268</v>
      </c>
      <c r="C3916">
        <v>83.65</v>
      </c>
      <c r="D3916">
        <v>19.56</v>
      </c>
      <c r="E3916">
        <v>15.39</v>
      </c>
      <c r="F3916">
        <v>0.6</v>
      </c>
      <c r="G3916">
        <v>0.42</v>
      </c>
      <c r="H3916">
        <v>10650</v>
      </c>
      <c r="I3916">
        <v>7.8</v>
      </c>
      <c r="J3916">
        <v>72.01</v>
      </c>
      <c r="K3916" t="s">
        <v>1160</v>
      </c>
    </row>
    <row r="3917" spans="1:11">
      <c r="A3917" t="str">
        <f>"603062"</f>
        <v>603062</v>
      </c>
      <c r="B3917" t="s">
        <v>4269</v>
      </c>
      <c r="C3917">
        <v>17.74</v>
      </c>
      <c r="D3917">
        <v>29.62</v>
      </c>
      <c r="E3917">
        <v>20.42</v>
      </c>
      <c r="F3917">
        <v>1.08</v>
      </c>
      <c r="G3917">
        <v>0.37</v>
      </c>
      <c r="H3917">
        <v>9500</v>
      </c>
      <c r="I3917">
        <v>2.53</v>
      </c>
      <c r="J3917">
        <v>23.44</v>
      </c>
      <c r="K3917" t="s">
        <v>246</v>
      </c>
    </row>
    <row r="3918" spans="1:11">
      <c r="A3918" t="str">
        <f>"603063"</f>
        <v>603063</v>
      </c>
      <c r="B3918" t="s">
        <v>4270</v>
      </c>
      <c r="C3918">
        <v>148.54</v>
      </c>
      <c r="D3918">
        <v>90.88</v>
      </c>
      <c r="E3918">
        <v>49.49</v>
      </c>
      <c r="F3918">
        <v>4.58</v>
      </c>
      <c r="G3918">
        <v>4.58</v>
      </c>
      <c r="H3918">
        <v>56000</v>
      </c>
      <c r="I3918">
        <v>3</v>
      </c>
      <c r="J3918">
        <v>33.32</v>
      </c>
      <c r="K3918" t="s">
        <v>456</v>
      </c>
    </row>
    <row r="3919" spans="1:11">
      <c r="A3919" t="str">
        <f>"603065"</f>
        <v>603065</v>
      </c>
      <c r="B3919" t="s">
        <v>4271</v>
      </c>
      <c r="C3919">
        <v>16.66</v>
      </c>
      <c r="D3919">
        <v>34.61</v>
      </c>
      <c r="E3919">
        <v>20.22</v>
      </c>
      <c r="F3919">
        <v>4.19</v>
      </c>
      <c r="G3919">
        <v>1.97</v>
      </c>
      <c r="H3919">
        <v>17932</v>
      </c>
      <c r="I3919">
        <v>1.76</v>
      </c>
      <c r="J3919">
        <v>298.95</v>
      </c>
      <c r="K3919" t="s">
        <v>1529</v>
      </c>
    </row>
    <row r="3920" spans="1:11">
      <c r="A3920" t="str">
        <f>"603066"</f>
        <v>603066</v>
      </c>
      <c r="B3920" t="s">
        <v>4272</v>
      </c>
      <c r="C3920">
        <v>32.45</v>
      </c>
      <c r="D3920">
        <v>30.23</v>
      </c>
      <c r="E3920">
        <v>14.35</v>
      </c>
      <c r="F3920">
        <v>2.94</v>
      </c>
      <c r="G3920">
        <v>2.94</v>
      </c>
      <c r="H3920">
        <v>19638</v>
      </c>
      <c r="I3920">
        <v>2.26</v>
      </c>
      <c r="J3920">
        <v>39</v>
      </c>
      <c r="K3920" t="s">
        <v>1277</v>
      </c>
    </row>
    <row r="3921" spans="1:11">
      <c r="A3921" t="str">
        <f>"603067"</f>
        <v>603067</v>
      </c>
      <c r="B3921" t="s">
        <v>4273</v>
      </c>
      <c r="C3921">
        <v>270.09</v>
      </c>
      <c r="D3921">
        <v>54.34</v>
      </c>
      <c r="E3921">
        <v>34.77</v>
      </c>
      <c r="F3921">
        <v>7.11</v>
      </c>
      <c r="G3921">
        <v>7.11</v>
      </c>
      <c r="H3921">
        <v>22890</v>
      </c>
      <c r="I3921">
        <v>7.78</v>
      </c>
      <c r="J3921">
        <v>49.46</v>
      </c>
      <c r="K3921" t="s">
        <v>1781</v>
      </c>
    </row>
    <row r="3922" spans="1:11">
      <c r="A3922" t="str">
        <f>"603068"</f>
        <v>603068</v>
      </c>
      <c r="B3922" t="s">
        <v>4274</v>
      </c>
      <c r="C3922">
        <v>60.59</v>
      </c>
      <c r="D3922">
        <v>19.98</v>
      </c>
      <c r="E3922">
        <v>16.84</v>
      </c>
      <c r="F3922">
        <v>1.5</v>
      </c>
      <c r="G3922">
        <v>1.5</v>
      </c>
      <c r="H3922">
        <v>38865</v>
      </c>
      <c r="I3922">
        <v>3.6</v>
      </c>
      <c r="J3922">
        <v>487.71</v>
      </c>
      <c r="K3922" t="s">
        <v>691</v>
      </c>
    </row>
    <row r="3923" spans="1:11">
      <c r="A3923" t="str">
        <f>"603069"</f>
        <v>603069</v>
      </c>
      <c r="B3923" t="s">
        <v>4275</v>
      </c>
      <c r="C3923">
        <v>75.52</v>
      </c>
      <c r="D3923">
        <v>26.34</v>
      </c>
      <c r="E3923">
        <v>8.09</v>
      </c>
      <c r="F3923">
        <v>3.16</v>
      </c>
      <c r="G3923">
        <v>3.16</v>
      </c>
      <c r="H3923">
        <v>30885</v>
      </c>
      <c r="I3923">
        <v>9.33</v>
      </c>
      <c r="J3923" t="s">
        <v>14</v>
      </c>
      <c r="K3923" t="s">
        <v>1145</v>
      </c>
    </row>
    <row r="3924" spans="1:11">
      <c r="A3924" t="str">
        <f>"603070"</f>
        <v>603070</v>
      </c>
      <c r="B3924" t="s">
        <v>4276</v>
      </c>
      <c r="C3924">
        <v>54.88</v>
      </c>
      <c r="D3924">
        <v>31.74</v>
      </c>
      <c r="E3924">
        <v>21.54</v>
      </c>
      <c r="F3924">
        <v>4.01</v>
      </c>
      <c r="G3924">
        <v>3.95</v>
      </c>
      <c r="H3924">
        <v>16707</v>
      </c>
      <c r="I3924">
        <v>2.58</v>
      </c>
      <c r="J3924">
        <v>69.41</v>
      </c>
      <c r="K3924" t="s">
        <v>943</v>
      </c>
    </row>
    <row r="3925" spans="1:11">
      <c r="A3925" t="str">
        <f>"603071"</f>
        <v>603071</v>
      </c>
      <c r="B3925" t="s">
        <v>4277</v>
      </c>
      <c r="C3925">
        <v>76.1</v>
      </c>
      <c r="D3925">
        <v>116.18</v>
      </c>
      <c r="E3925">
        <v>56.4</v>
      </c>
      <c r="F3925">
        <v>5.58</v>
      </c>
      <c r="G3925">
        <v>5.58</v>
      </c>
      <c r="H3925">
        <v>19240</v>
      </c>
      <c r="I3925">
        <v>1.35</v>
      </c>
      <c r="J3925">
        <v>12.61</v>
      </c>
      <c r="K3925" t="s">
        <v>107</v>
      </c>
    </row>
    <row r="3926" spans="1:11">
      <c r="A3926" t="str">
        <f>"603072"</f>
        <v>603072</v>
      </c>
      <c r="B3926" t="s">
        <v>4278</v>
      </c>
      <c r="C3926">
        <v>54.43</v>
      </c>
      <c r="D3926">
        <v>31.56</v>
      </c>
      <c r="E3926">
        <v>21.4</v>
      </c>
      <c r="F3926">
        <v>2.64</v>
      </c>
      <c r="G3926">
        <v>1.26</v>
      </c>
      <c r="H3926">
        <v>39746</v>
      </c>
      <c r="I3926">
        <v>5.32</v>
      </c>
      <c r="J3926">
        <v>71.33</v>
      </c>
      <c r="K3926" t="s">
        <v>442</v>
      </c>
    </row>
    <row r="3927" spans="1:11">
      <c r="A3927" t="str">
        <f>"603073"</f>
        <v>603073</v>
      </c>
      <c r="B3927" t="s">
        <v>4279</v>
      </c>
      <c r="C3927">
        <v>9.82</v>
      </c>
      <c r="D3927">
        <v>17.14</v>
      </c>
      <c r="E3927">
        <v>13.82</v>
      </c>
      <c r="F3927">
        <v>1.16</v>
      </c>
      <c r="G3927">
        <v>0.51</v>
      </c>
      <c r="H3927">
        <v>9678</v>
      </c>
      <c r="I3927">
        <v>1.62</v>
      </c>
      <c r="J3927">
        <v>26.69</v>
      </c>
      <c r="K3927" t="s">
        <v>577</v>
      </c>
    </row>
    <row r="3928" spans="1:11">
      <c r="A3928" t="str">
        <f>"603075"</f>
        <v>603075</v>
      </c>
      <c r="B3928" t="s">
        <v>4280</v>
      </c>
      <c r="C3928">
        <v>9.48</v>
      </c>
      <c r="D3928">
        <v>30.22</v>
      </c>
      <c r="E3928">
        <v>20.96</v>
      </c>
      <c r="F3928">
        <v>4.02</v>
      </c>
      <c r="G3928">
        <v>0.41</v>
      </c>
      <c r="H3928">
        <v>12997</v>
      </c>
      <c r="I3928">
        <v>4.42</v>
      </c>
      <c r="J3928">
        <v>28.18</v>
      </c>
      <c r="K3928" t="s">
        <v>134</v>
      </c>
    </row>
    <row r="3929" spans="1:11">
      <c r="A3929" t="str">
        <f>"603076"</f>
        <v>603076</v>
      </c>
      <c r="B3929" t="s">
        <v>4281</v>
      </c>
      <c r="C3929">
        <v>29.69</v>
      </c>
      <c r="D3929">
        <v>35.73</v>
      </c>
      <c r="E3929">
        <v>12.97</v>
      </c>
      <c r="F3929">
        <v>1.21</v>
      </c>
      <c r="G3929">
        <v>1.21</v>
      </c>
      <c r="H3929">
        <v>13010</v>
      </c>
      <c r="I3929">
        <v>2.29</v>
      </c>
      <c r="J3929">
        <v>66.28</v>
      </c>
      <c r="K3929" t="s">
        <v>493</v>
      </c>
    </row>
    <row r="3930" spans="1:11">
      <c r="A3930" t="str">
        <f>"603077"</f>
        <v>603077</v>
      </c>
      <c r="B3930" t="s">
        <v>4282</v>
      </c>
      <c r="C3930">
        <v>192.53</v>
      </c>
      <c r="D3930">
        <v>292.94</v>
      </c>
      <c r="E3930">
        <v>185.23</v>
      </c>
      <c r="F3930">
        <v>88.32</v>
      </c>
      <c r="G3930">
        <v>88.32</v>
      </c>
      <c r="H3930">
        <v>196516</v>
      </c>
      <c r="I3930">
        <v>1.06</v>
      </c>
      <c r="J3930">
        <v>155.08</v>
      </c>
      <c r="K3930" t="s">
        <v>342</v>
      </c>
    </row>
    <row r="3931" spans="1:11">
      <c r="A3931" t="str">
        <f>"603078"</f>
        <v>603078</v>
      </c>
      <c r="B3931" t="s">
        <v>4283</v>
      </c>
      <c r="C3931">
        <v>82.6</v>
      </c>
      <c r="D3931">
        <v>26.23</v>
      </c>
      <c r="E3931">
        <v>19.38</v>
      </c>
      <c r="F3931">
        <v>3.86</v>
      </c>
      <c r="G3931">
        <v>3.86</v>
      </c>
      <c r="H3931">
        <v>50409</v>
      </c>
      <c r="I3931">
        <v>4.26</v>
      </c>
      <c r="J3931">
        <v>78.64</v>
      </c>
      <c r="K3931" t="s">
        <v>884</v>
      </c>
    </row>
    <row r="3932" spans="1:11">
      <c r="A3932" t="str">
        <f>"603079"</f>
        <v>603079</v>
      </c>
      <c r="B3932" t="s">
        <v>4284</v>
      </c>
      <c r="C3932">
        <v>38.94</v>
      </c>
      <c r="D3932">
        <v>21.46</v>
      </c>
      <c r="E3932">
        <v>15.76</v>
      </c>
      <c r="F3932">
        <v>1.89</v>
      </c>
      <c r="G3932">
        <v>1.89</v>
      </c>
      <c r="H3932">
        <v>13391</v>
      </c>
      <c r="I3932">
        <v>2.47</v>
      </c>
      <c r="J3932">
        <v>54.75</v>
      </c>
      <c r="K3932" t="s">
        <v>752</v>
      </c>
    </row>
    <row r="3933" spans="1:11">
      <c r="A3933" t="str">
        <f>"603080"</f>
        <v>603080</v>
      </c>
      <c r="B3933" t="s">
        <v>4285</v>
      </c>
      <c r="C3933">
        <v>33.93</v>
      </c>
      <c r="D3933">
        <v>23.8</v>
      </c>
      <c r="E3933">
        <v>15.23</v>
      </c>
      <c r="F3933">
        <v>1.42</v>
      </c>
      <c r="G3933">
        <v>1.42</v>
      </c>
      <c r="H3933">
        <v>25137</v>
      </c>
      <c r="I3933">
        <v>2.23</v>
      </c>
      <c r="J3933">
        <v>16.14</v>
      </c>
      <c r="K3933" t="s">
        <v>136</v>
      </c>
    </row>
    <row r="3934" spans="1:11">
      <c r="A3934" t="str">
        <f>"603081"</f>
        <v>603081</v>
      </c>
      <c r="B3934" t="s">
        <v>4286</v>
      </c>
      <c r="C3934">
        <v>58.35</v>
      </c>
      <c r="D3934">
        <v>80.79</v>
      </c>
      <c r="E3934">
        <v>31.97</v>
      </c>
      <c r="F3934">
        <v>4.22</v>
      </c>
      <c r="G3934">
        <v>4.22</v>
      </c>
      <c r="H3934">
        <v>28151</v>
      </c>
      <c r="I3934">
        <v>1.83</v>
      </c>
      <c r="J3934">
        <v>47.52</v>
      </c>
      <c r="K3934" t="s">
        <v>493</v>
      </c>
    </row>
    <row r="3935" spans="1:11">
      <c r="A3935" t="str">
        <f>"603082"</f>
        <v>603082</v>
      </c>
      <c r="B3935" t="s">
        <v>4287</v>
      </c>
      <c r="C3935">
        <v>15.09</v>
      </c>
      <c r="D3935">
        <v>42.88</v>
      </c>
      <c r="E3935">
        <v>15.94</v>
      </c>
      <c r="F3935">
        <v>1.62</v>
      </c>
      <c r="G3935">
        <v>0.41</v>
      </c>
      <c r="H3935">
        <v>13658</v>
      </c>
      <c r="I3935">
        <v>3.79</v>
      </c>
      <c r="J3935">
        <v>38.49</v>
      </c>
      <c r="K3935" t="s">
        <v>3039</v>
      </c>
    </row>
    <row r="3936" spans="1:11">
      <c r="A3936" t="str">
        <f>"603083"</f>
        <v>603083</v>
      </c>
      <c r="B3936" t="s">
        <v>4288</v>
      </c>
      <c r="C3936">
        <v>328.64</v>
      </c>
      <c r="D3936">
        <v>70.74</v>
      </c>
      <c r="E3936">
        <v>25.22</v>
      </c>
      <c r="F3936">
        <v>3.53</v>
      </c>
      <c r="G3936">
        <v>2.76</v>
      </c>
      <c r="H3936">
        <v>67020</v>
      </c>
      <c r="I3936">
        <v>12.67</v>
      </c>
      <c r="J3936">
        <v>121.64</v>
      </c>
      <c r="K3936" t="s">
        <v>770</v>
      </c>
    </row>
    <row r="3937" spans="1:11">
      <c r="A3937" t="str">
        <f>"603085"</f>
        <v>603085</v>
      </c>
      <c r="B3937" t="s">
        <v>4289</v>
      </c>
      <c r="C3937">
        <v>47.49</v>
      </c>
      <c r="D3937">
        <v>35.08</v>
      </c>
      <c r="E3937">
        <v>8.91</v>
      </c>
      <c r="F3937">
        <v>3.97</v>
      </c>
      <c r="G3937">
        <v>3.97</v>
      </c>
      <c r="H3937">
        <v>25359</v>
      </c>
      <c r="I3937">
        <v>5.33</v>
      </c>
      <c r="J3937">
        <v>70.78</v>
      </c>
      <c r="K3937" t="s">
        <v>356</v>
      </c>
    </row>
    <row r="3938" spans="1:11">
      <c r="A3938" t="str">
        <f>"603086"</f>
        <v>603086</v>
      </c>
      <c r="B3938" t="s">
        <v>4290</v>
      </c>
      <c r="C3938">
        <v>37.05</v>
      </c>
      <c r="D3938">
        <v>39.8</v>
      </c>
      <c r="E3938">
        <v>21.61</v>
      </c>
      <c r="F3938">
        <v>4.35</v>
      </c>
      <c r="G3938">
        <v>4.35</v>
      </c>
      <c r="H3938">
        <v>39226</v>
      </c>
      <c r="I3938">
        <v>1.71</v>
      </c>
      <c r="J3938">
        <v>14.18</v>
      </c>
      <c r="K3938" t="s">
        <v>196</v>
      </c>
    </row>
    <row r="3939" spans="1:11">
      <c r="A3939" t="str">
        <f>"603087"</f>
        <v>603087</v>
      </c>
      <c r="B3939" t="s">
        <v>4291</v>
      </c>
      <c r="C3939">
        <v>386.6</v>
      </c>
      <c r="D3939">
        <v>121.43</v>
      </c>
      <c r="E3939">
        <v>112.82</v>
      </c>
      <c r="F3939">
        <v>5.97</v>
      </c>
      <c r="G3939">
        <v>5.58</v>
      </c>
      <c r="H3939">
        <v>94714</v>
      </c>
      <c r="I3939">
        <v>3.67</v>
      </c>
      <c r="J3939">
        <v>37.94</v>
      </c>
      <c r="K3939" t="s">
        <v>184</v>
      </c>
    </row>
    <row r="3940" spans="1:11">
      <c r="A3940" t="str">
        <f>"603088"</f>
        <v>603088</v>
      </c>
      <c r="B3940" t="s">
        <v>4292</v>
      </c>
      <c r="C3940">
        <v>48.34</v>
      </c>
      <c r="D3940">
        <v>19.41</v>
      </c>
      <c r="E3940">
        <v>10.95</v>
      </c>
      <c r="F3940">
        <v>5.02</v>
      </c>
      <c r="G3940">
        <v>4.38</v>
      </c>
      <c r="H3940">
        <v>27526</v>
      </c>
      <c r="I3940">
        <v>5.07</v>
      </c>
      <c r="J3940">
        <v>54.82</v>
      </c>
      <c r="K3940" t="s">
        <v>141</v>
      </c>
    </row>
    <row r="3941" spans="1:11">
      <c r="A3941" t="str">
        <f>"603089"</f>
        <v>603089</v>
      </c>
      <c r="B3941" t="s">
        <v>4293</v>
      </c>
      <c r="C3941">
        <v>31.08</v>
      </c>
      <c r="D3941">
        <v>37.81</v>
      </c>
      <c r="E3941">
        <v>14.96</v>
      </c>
      <c r="F3941">
        <v>2.4</v>
      </c>
      <c r="G3941">
        <v>2.4</v>
      </c>
      <c r="H3941">
        <v>15858</v>
      </c>
      <c r="I3941">
        <v>2.08</v>
      </c>
      <c r="J3941">
        <v>17.67</v>
      </c>
      <c r="K3941" t="s">
        <v>51</v>
      </c>
    </row>
    <row r="3942" spans="1:11">
      <c r="A3942" t="str">
        <f>"603090"</f>
        <v>603090</v>
      </c>
      <c r="B3942" t="s">
        <v>4294</v>
      </c>
      <c r="C3942">
        <v>73.04</v>
      </c>
      <c r="D3942">
        <v>9.11</v>
      </c>
      <c r="E3942">
        <v>6.13</v>
      </c>
      <c r="F3942">
        <v>1</v>
      </c>
      <c r="G3942">
        <v>1</v>
      </c>
      <c r="H3942">
        <v>11503</v>
      </c>
      <c r="I3942">
        <v>11.91</v>
      </c>
      <c r="J3942">
        <v>85.09</v>
      </c>
      <c r="K3942" t="s">
        <v>744</v>
      </c>
    </row>
    <row r="3943" spans="1:11">
      <c r="A3943" t="str">
        <f>"603091"</f>
        <v>603091</v>
      </c>
      <c r="B3943" t="s">
        <v>4295</v>
      </c>
      <c r="C3943">
        <v>23.2</v>
      </c>
      <c r="D3943">
        <v>28.01</v>
      </c>
      <c r="E3943">
        <v>21.17</v>
      </c>
      <c r="F3943">
        <v>1.02</v>
      </c>
      <c r="G3943">
        <v>0.31</v>
      </c>
      <c r="H3943">
        <v>4406</v>
      </c>
      <c r="I3943">
        <v>3.64</v>
      </c>
      <c r="J3943">
        <v>29.19</v>
      </c>
      <c r="K3943" t="s">
        <v>625</v>
      </c>
    </row>
    <row r="3944" spans="1:11">
      <c r="A3944" t="str">
        <f>"603092"</f>
        <v>603092</v>
      </c>
      <c r="B3944" t="s">
        <v>4296</v>
      </c>
      <c r="C3944">
        <v>21.89</v>
      </c>
      <c r="D3944">
        <v>85.51</v>
      </c>
      <c r="E3944">
        <v>35.26</v>
      </c>
      <c r="F3944">
        <v>4</v>
      </c>
      <c r="G3944">
        <v>0.33</v>
      </c>
      <c r="H3944">
        <v>54263</v>
      </c>
      <c r="I3944">
        <v>4.94</v>
      </c>
      <c r="J3944">
        <v>31.16</v>
      </c>
      <c r="K3944" t="s">
        <v>744</v>
      </c>
    </row>
    <row r="3945" spans="1:11">
      <c r="A3945" t="str">
        <f>"603093"</f>
        <v>603093</v>
      </c>
      <c r="B3945" t="s">
        <v>4297</v>
      </c>
      <c r="C3945">
        <v>120.61</v>
      </c>
      <c r="D3945">
        <v>640.79</v>
      </c>
      <c r="E3945">
        <v>43.95</v>
      </c>
      <c r="F3945">
        <v>7.18</v>
      </c>
      <c r="G3945">
        <v>6.1</v>
      </c>
      <c r="H3945">
        <v>37585</v>
      </c>
      <c r="I3945">
        <v>2.74</v>
      </c>
      <c r="J3945">
        <v>30.28</v>
      </c>
      <c r="K3945" t="s">
        <v>652</v>
      </c>
    </row>
    <row r="3946" spans="1:11">
      <c r="A3946" t="str">
        <f>"603095"</f>
        <v>603095</v>
      </c>
      <c r="B3946" t="s">
        <v>4298</v>
      </c>
      <c r="C3946">
        <v>44.94</v>
      </c>
      <c r="D3946">
        <v>29.81</v>
      </c>
      <c r="E3946">
        <v>23.19</v>
      </c>
      <c r="F3946">
        <v>2.58</v>
      </c>
      <c r="G3946">
        <v>2.58</v>
      </c>
      <c r="H3946">
        <v>12668</v>
      </c>
      <c r="I3946">
        <v>1.94</v>
      </c>
      <c r="J3946">
        <v>41.73</v>
      </c>
      <c r="K3946" t="s">
        <v>758</v>
      </c>
    </row>
    <row r="3947" spans="1:11">
      <c r="A3947" t="str">
        <f>"603096"</f>
        <v>603096</v>
      </c>
      <c r="B3947" t="s">
        <v>4299</v>
      </c>
      <c r="C3947">
        <v>29.12</v>
      </c>
      <c r="D3947">
        <v>19.7</v>
      </c>
      <c r="E3947">
        <v>18.6</v>
      </c>
      <c r="F3947">
        <v>1.54</v>
      </c>
      <c r="G3947">
        <v>1.54</v>
      </c>
      <c r="H3947">
        <v>12926</v>
      </c>
      <c r="I3947">
        <v>1.57</v>
      </c>
      <c r="J3947">
        <v>32.21</v>
      </c>
      <c r="K3947" t="s">
        <v>381</v>
      </c>
    </row>
    <row r="3948" spans="1:11">
      <c r="A3948" t="str">
        <f>"603097"</f>
        <v>603097</v>
      </c>
      <c r="B3948" t="s">
        <v>4300</v>
      </c>
      <c r="C3948">
        <v>48.13</v>
      </c>
      <c r="D3948">
        <v>31.1</v>
      </c>
      <c r="E3948">
        <v>11.36</v>
      </c>
      <c r="F3948">
        <v>1.65</v>
      </c>
      <c r="G3948">
        <v>1.6</v>
      </c>
      <c r="H3948">
        <v>14566</v>
      </c>
      <c r="I3948">
        <v>4.59</v>
      </c>
      <c r="J3948">
        <v>51.6</v>
      </c>
      <c r="K3948" t="s">
        <v>208</v>
      </c>
    </row>
    <row r="3949" spans="1:11">
      <c r="A3949" t="str">
        <f>"603098"</f>
        <v>603098</v>
      </c>
      <c r="B3949" t="s">
        <v>4301</v>
      </c>
      <c r="C3949">
        <v>78.4</v>
      </c>
      <c r="D3949">
        <v>54.85</v>
      </c>
      <c r="E3949">
        <v>28.26</v>
      </c>
      <c r="F3949">
        <v>5.4</v>
      </c>
      <c r="G3949">
        <v>5.39</v>
      </c>
      <c r="H3949">
        <v>25684</v>
      </c>
      <c r="I3949">
        <v>2.78</v>
      </c>
      <c r="J3949">
        <v>61.17</v>
      </c>
      <c r="K3949" t="s">
        <v>904</v>
      </c>
    </row>
    <row r="3950" spans="1:11">
      <c r="A3950" t="str">
        <f>"603099"</f>
        <v>603099</v>
      </c>
      <c r="B3950" t="s">
        <v>4302</v>
      </c>
      <c r="C3950">
        <v>126.93</v>
      </c>
      <c r="D3950">
        <v>16.86</v>
      </c>
      <c r="E3950">
        <v>12.91</v>
      </c>
      <c r="F3950">
        <v>2.72</v>
      </c>
      <c r="G3950">
        <v>2.67</v>
      </c>
      <c r="H3950">
        <v>45859</v>
      </c>
      <c r="I3950">
        <v>9.84</v>
      </c>
      <c r="J3950">
        <v>65.09</v>
      </c>
      <c r="K3950" t="s">
        <v>163</v>
      </c>
    </row>
    <row r="3951" spans="1:11">
      <c r="A3951" t="str">
        <f>"603100"</f>
        <v>603100</v>
      </c>
      <c r="B3951" t="s">
        <v>4303</v>
      </c>
      <c r="C3951">
        <v>128.4</v>
      </c>
      <c r="D3951">
        <v>87.81</v>
      </c>
      <c r="E3951">
        <v>46.56</v>
      </c>
      <c r="F3951">
        <v>5.13</v>
      </c>
      <c r="G3951">
        <v>5.12</v>
      </c>
      <c r="H3951">
        <v>19189</v>
      </c>
      <c r="I3951">
        <v>2.77</v>
      </c>
      <c r="J3951">
        <v>20.93</v>
      </c>
      <c r="K3951" t="s">
        <v>952</v>
      </c>
    </row>
    <row r="3952" spans="1:11">
      <c r="A3952" t="str">
        <f>"603101"</f>
        <v>603101</v>
      </c>
      <c r="B3952" t="s">
        <v>4304</v>
      </c>
      <c r="C3952">
        <v>47.89</v>
      </c>
      <c r="D3952">
        <v>49.48</v>
      </c>
      <c r="E3952">
        <v>14.19</v>
      </c>
      <c r="F3952">
        <v>4.7</v>
      </c>
      <c r="G3952">
        <v>4.7</v>
      </c>
      <c r="H3952">
        <v>37475</v>
      </c>
      <c r="I3952">
        <v>3.38</v>
      </c>
      <c r="J3952">
        <v>44.66</v>
      </c>
      <c r="K3952" t="s">
        <v>146</v>
      </c>
    </row>
    <row r="3953" spans="1:11">
      <c r="A3953" t="str">
        <f>"603102"</f>
        <v>603102</v>
      </c>
      <c r="B3953" t="s">
        <v>4305</v>
      </c>
      <c r="C3953">
        <v>28.93</v>
      </c>
      <c r="D3953">
        <v>19.18</v>
      </c>
      <c r="E3953">
        <v>16.28</v>
      </c>
      <c r="F3953">
        <v>0.64</v>
      </c>
      <c r="G3953">
        <v>0.64</v>
      </c>
      <c r="H3953">
        <v>6798</v>
      </c>
      <c r="I3953">
        <v>1.78</v>
      </c>
      <c r="J3953">
        <v>21.92</v>
      </c>
      <c r="K3953" t="s">
        <v>1409</v>
      </c>
    </row>
    <row r="3954" spans="1:11">
      <c r="A3954" t="str">
        <f>"603103"</f>
        <v>603103</v>
      </c>
      <c r="B3954" t="s">
        <v>4306</v>
      </c>
      <c r="C3954">
        <v>119.42</v>
      </c>
      <c r="D3954">
        <v>39.41</v>
      </c>
      <c r="E3954">
        <v>13.74</v>
      </c>
      <c r="F3954">
        <v>6.34</v>
      </c>
      <c r="G3954">
        <v>6.34</v>
      </c>
      <c r="H3954">
        <v>19825</v>
      </c>
      <c r="I3954">
        <v>8.69</v>
      </c>
      <c r="J3954">
        <v>43.48</v>
      </c>
      <c r="K3954" t="s">
        <v>710</v>
      </c>
    </row>
    <row r="3955" spans="1:11">
      <c r="A3955" t="str">
        <f>"603105"</f>
        <v>603105</v>
      </c>
      <c r="B3955" t="s">
        <v>4307</v>
      </c>
      <c r="C3955">
        <v>49.25</v>
      </c>
      <c r="D3955">
        <v>46.43</v>
      </c>
      <c r="E3955">
        <v>22.76</v>
      </c>
      <c r="F3955">
        <v>5</v>
      </c>
      <c r="G3955">
        <v>5</v>
      </c>
      <c r="H3955">
        <v>41549</v>
      </c>
      <c r="I3955">
        <v>2.31</v>
      </c>
      <c r="J3955">
        <v>19.84</v>
      </c>
      <c r="K3955" t="s">
        <v>266</v>
      </c>
    </row>
    <row r="3956" spans="1:11">
      <c r="A3956" t="str">
        <f>"603106"</f>
        <v>603106</v>
      </c>
      <c r="B3956" t="s">
        <v>4308</v>
      </c>
      <c r="C3956">
        <v>61.58</v>
      </c>
      <c r="D3956">
        <v>16.61</v>
      </c>
      <c r="E3956">
        <v>13.08</v>
      </c>
      <c r="F3956">
        <v>5.21</v>
      </c>
      <c r="G3956">
        <v>5.21</v>
      </c>
      <c r="H3956">
        <v>55712</v>
      </c>
      <c r="I3956">
        <v>4.71</v>
      </c>
      <c r="J3956">
        <v>259.45</v>
      </c>
      <c r="K3956" t="s">
        <v>88</v>
      </c>
    </row>
    <row r="3957" spans="1:11">
      <c r="A3957" t="str">
        <f>"603107"</f>
        <v>603107</v>
      </c>
      <c r="B3957" t="s">
        <v>4309</v>
      </c>
      <c r="C3957">
        <v>33.21</v>
      </c>
      <c r="D3957">
        <v>27.03</v>
      </c>
      <c r="E3957">
        <v>21.17</v>
      </c>
      <c r="F3957">
        <v>3.37</v>
      </c>
      <c r="G3957">
        <v>2.18</v>
      </c>
      <c r="H3957">
        <v>29359</v>
      </c>
      <c r="I3957">
        <v>2.43</v>
      </c>
      <c r="J3957">
        <v>28.51</v>
      </c>
      <c r="K3957" t="s">
        <v>51</v>
      </c>
    </row>
    <row r="3958" spans="1:11">
      <c r="A3958" t="str">
        <f>"603108"</f>
        <v>603108</v>
      </c>
      <c r="B3958" t="s">
        <v>4310</v>
      </c>
      <c r="C3958">
        <v>118.8</v>
      </c>
      <c r="D3958">
        <v>139.16</v>
      </c>
      <c r="E3958">
        <v>41.75</v>
      </c>
      <c r="F3958">
        <v>6.04</v>
      </c>
      <c r="G3958">
        <v>6.04</v>
      </c>
      <c r="H3958">
        <v>64792</v>
      </c>
      <c r="I3958">
        <v>2.88</v>
      </c>
      <c r="J3958" t="s">
        <v>14</v>
      </c>
      <c r="K3958" t="s">
        <v>48</v>
      </c>
    </row>
    <row r="3959" spans="1:11">
      <c r="A3959" t="str">
        <f>"603109"</f>
        <v>603109</v>
      </c>
      <c r="B3959" t="s">
        <v>4311</v>
      </c>
      <c r="C3959">
        <v>56.56</v>
      </c>
      <c r="D3959">
        <v>36.52</v>
      </c>
      <c r="E3959">
        <v>19.89</v>
      </c>
      <c r="F3959">
        <v>2.09</v>
      </c>
      <c r="G3959">
        <v>2.09</v>
      </c>
      <c r="H3959">
        <v>21790</v>
      </c>
      <c r="I3959">
        <v>2.84</v>
      </c>
      <c r="J3959">
        <v>25.16</v>
      </c>
      <c r="K3959" t="s">
        <v>552</v>
      </c>
    </row>
    <row r="3960" spans="1:11">
      <c r="A3960" t="str">
        <f>"603110"</f>
        <v>603110</v>
      </c>
      <c r="B3960" t="s">
        <v>4312</v>
      </c>
      <c r="C3960">
        <v>34.29</v>
      </c>
      <c r="D3960">
        <v>7.98</v>
      </c>
      <c r="E3960">
        <v>6.96</v>
      </c>
      <c r="F3960">
        <v>2.01</v>
      </c>
      <c r="G3960">
        <v>2.01</v>
      </c>
      <c r="H3960">
        <v>28565</v>
      </c>
      <c r="I3960">
        <v>4.93</v>
      </c>
      <c r="J3960">
        <v>805.54</v>
      </c>
      <c r="K3960" t="s">
        <v>246</v>
      </c>
    </row>
    <row r="3961" spans="1:11">
      <c r="A3961" t="str">
        <f>"603111"</f>
        <v>603111</v>
      </c>
      <c r="B3961" t="s">
        <v>4313</v>
      </c>
      <c r="C3961">
        <v>59.17</v>
      </c>
      <c r="D3961">
        <v>73.44</v>
      </c>
      <c r="E3961">
        <v>39.66</v>
      </c>
      <c r="F3961">
        <v>8.62</v>
      </c>
      <c r="G3961">
        <v>8.47</v>
      </c>
      <c r="H3961">
        <v>26654</v>
      </c>
      <c r="I3961">
        <v>1.52</v>
      </c>
      <c r="J3961">
        <v>17.34</v>
      </c>
      <c r="K3961" t="s">
        <v>22</v>
      </c>
    </row>
    <row r="3962" spans="1:11">
      <c r="A3962" t="str">
        <f>"603112"</f>
        <v>603112</v>
      </c>
      <c r="B3962" t="s">
        <v>4314</v>
      </c>
      <c r="C3962">
        <v>98.01</v>
      </c>
      <c r="D3962">
        <v>65.06</v>
      </c>
      <c r="E3962">
        <v>43.2</v>
      </c>
      <c r="F3962">
        <v>5.4</v>
      </c>
      <c r="G3962">
        <v>5.05</v>
      </c>
      <c r="H3962">
        <v>17474</v>
      </c>
      <c r="I3962">
        <v>2.42</v>
      </c>
      <c r="J3962">
        <v>19.37</v>
      </c>
      <c r="K3962" t="s">
        <v>63</v>
      </c>
    </row>
    <row r="3963" spans="1:11">
      <c r="A3963" t="str">
        <f>"603113"</f>
        <v>603113</v>
      </c>
      <c r="B3963" t="s">
        <v>4315</v>
      </c>
      <c r="C3963">
        <v>54.39</v>
      </c>
      <c r="D3963">
        <v>194.49</v>
      </c>
      <c r="E3963">
        <v>82.83</v>
      </c>
      <c r="F3963">
        <v>8.48</v>
      </c>
      <c r="G3963">
        <v>8.48</v>
      </c>
      <c r="H3963">
        <v>35118</v>
      </c>
      <c r="I3963">
        <v>0.68</v>
      </c>
      <c r="J3963" t="s">
        <v>14</v>
      </c>
      <c r="K3963" t="s">
        <v>348</v>
      </c>
    </row>
    <row r="3964" spans="1:11">
      <c r="A3964" t="str">
        <f>"603115"</f>
        <v>603115</v>
      </c>
      <c r="B3964" t="s">
        <v>4316</v>
      </c>
      <c r="C3964">
        <v>49.35</v>
      </c>
      <c r="D3964">
        <v>30.15</v>
      </c>
      <c r="E3964">
        <v>20.65</v>
      </c>
      <c r="F3964">
        <v>2.42</v>
      </c>
      <c r="G3964">
        <v>2.42</v>
      </c>
      <c r="H3964">
        <v>14896</v>
      </c>
      <c r="I3964">
        <v>2.39</v>
      </c>
      <c r="J3964">
        <v>25.15</v>
      </c>
      <c r="K3964" t="s">
        <v>288</v>
      </c>
    </row>
    <row r="3965" spans="1:11">
      <c r="A3965" t="str">
        <f>"603116"</f>
        <v>603116</v>
      </c>
      <c r="B3965" t="s">
        <v>4317</v>
      </c>
      <c r="C3965">
        <v>37.8</v>
      </c>
      <c r="D3965">
        <v>36.72</v>
      </c>
      <c r="E3965">
        <v>26.11</v>
      </c>
      <c r="F3965">
        <v>5.76</v>
      </c>
      <c r="G3965">
        <v>5.76</v>
      </c>
      <c r="H3965">
        <v>18277</v>
      </c>
      <c r="I3965">
        <v>1.45</v>
      </c>
      <c r="J3965" t="s">
        <v>14</v>
      </c>
      <c r="K3965" t="s">
        <v>1418</v>
      </c>
    </row>
    <row r="3966" spans="1:11">
      <c r="A3966" t="str">
        <f>"603117"</f>
        <v>603117</v>
      </c>
      <c r="B3966" t="s">
        <v>4318</v>
      </c>
      <c r="C3966">
        <v>28.88</v>
      </c>
      <c r="D3966">
        <v>13.47</v>
      </c>
      <c r="E3966">
        <v>10.3</v>
      </c>
      <c r="F3966">
        <v>5.99</v>
      </c>
      <c r="G3966">
        <v>5.99</v>
      </c>
      <c r="H3966">
        <v>27096</v>
      </c>
      <c r="I3966">
        <v>2.8</v>
      </c>
      <c r="J3966">
        <v>153.79</v>
      </c>
      <c r="K3966" t="s">
        <v>740</v>
      </c>
    </row>
    <row r="3967" spans="1:11">
      <c r="A3967" t="str">
        <f>"603118"</f>
        <v>603118</v>
      </c>
      <c r="B3967" t="s">
        <v>4319</v>
      </c>
      <c r="C3967">
        <v>94.63</v>
      </c>
      <c r="D3967">
        <v>122.09</v>
      </c>
      <c r="E3967">
        <v>50.37</v>
      </c>
      <c r="F3967">
        <v>7.87</v>
      </c>
      <c r="G3967">
        <v>7.87</v>
      </c>
      <c r="H3967">
        <v>67263</v>
      </c>
      <c r="I3967">
        <v>1.88</v>
      </c>
      <c r="J3967">
        <v>82.25</v>
      </c>
      <c r="K3967" t="s">
        <v>770</v>
      </c>
    </row>
    <row r="3968" spans="1:11">
      <c r="A3968" t="str">
        <f>"603119"</f>
        <v>603119</v>
      </c>
      <c r="B3968" t="s">
        <v>4320</v>
      </c>
      <c r="C3968">
        <v>233.38</v>
      </c>
      <c r="D3968">
        <v>31.45</v>
      </c>
      <c r="E3968">
        <v>19.59</v>
      </c>
      <c r="F3968">
        <v>3.64</v>
      </c>
      <c r="G3968">
        <v>2.04</v>
      </c>
      <c r="H3968">
        <v>43539</v>
      </c>
      <c r="I3968">
        <v>21.26</v>
      </c>
      <c r="J3968">
        <v>153.64</v>
      </c>
      <c r="K3968" t="s">
        <v>517</v>
      </c>
    </row>
    <row r="3969" spans="1:11">
      <c r="A3969" t="str">
        <f>"603120"</f>
        <v>603120</v>
      </c>
      <c r="B3969" t="s">
        <v>4321</v>
      </c>
      <c r="C3969">
        <v>8.98</v>
      </c>
      <c r="D3969">
        <v>13.53</v>
      </c>
      <c r="E3969">
        <v>11.76</v>
      </c>
      <c r="F3969">
        <v>0.9</v>
      </c>
      <c r="G3969">
        <v>0.23</v>
      </c>
      <c r="H3969">
        <v>15784</v>
      </c>
      <c r="I3969">
        <v>3.05</v>
      </c>
      <c r="J3969">
        <v>53.52</v>
      </c>
      <c r="K3969" t="s">
        <v>511</v>
      </c>
    </row>
    <row r="3970" spans="1:11">
      <c r="A3970" t="str">
        <f>"603121"</f>
        <v>603121</v>
      </c>
      <c r="B3970" t="s">
        <v>4322</v>
      </c>
      <c r="C3970">
        <v>71.94</v>
      </c>
      <c r="D3970">
        <v>21.56</v>
      </c>
      <c r="E3970">
        <v>11.91</v>
      </c>
      <c r="F3970">
        <v>3.39</v>
      </c>
      <c r="G3970">
        <v>3.39</v>
      </c>
      <c r="H3970">
        <v>27116</v>
      </c>
      <c r="I3970">
        <v>6.04</v>
      </c>
      <c r="J3970">
        <v>196.08</v>
      </c>
      <c r="K3970" t="s">
        <v>51</v>
      </c>
    </row>
    <row r="3971" spans="1:11">
      <c r="A3971" t="str">
        <f>"603122"</f>
        <v>603122</v>
      </c>
      <c r="B3971" t="s">
        <v>4323</v>
      </c>
      <c r="C3971">
        <v>81.6</v>
      </c>
      <c r="D3971">
        <v>15.21</v>
      </c>
      <c r="E3971">
        <v>11.06</v>
      </c>
      <c r="F3971">
        <v>3.98</v>
      </c>
      <c r="G3971">
        <v>3.98</v>
      </c>
      <c r="H3971">
        <v>29033</v>
      </c>
      <c r="I3971">
        <v>7.38</v>
      </c>
      <c r="J3971" t="s">
        <v>14</v>
      </c>
      <c r="K3971" t="s">
        <v>48</v>
      </c>
    </row>
    <row r="3972" spans="1:11">
      <c r="A3972" t="str">
        <f>"603123"</f>
        <v>603123</v>
      </c>
      <c r="B3972" t="s">
        <v>4324</v>
      </c>
      <c r="C3972">
        <v>97.19</v>
      </c>
      <c r="D3972">
        <v>64.79</v>
      </c>
      <c r="E3972">
        <v>18.28</v>
      </c>
      <c r="F3972">
        <v>7.99</v>
      </c>
      <c r="G3972">
        <v>6.52</v>
      </c>
      <c r="H3972">
        <v>88865</v>
      </c>
      <c r="I3972">
        <v>6.51</v>
      </c>
      <c r="J3972" t="s">
        <v>14</v>
      </c>
      <c r="K3972" t="s">
        <v>249</v>
      </c>
    </row>
    <row r="3973" spans="1:11">
      <c r="A3973" t="str">
        <f>"603124"</f>
        <v>603124</v>
      </c>
      <c r="B3973" t="s">
        <v>4325</v>
      </c>
      <c r="C3973">
        <v>25.75</v>
      </c>
      <c r="D3973">
        <v>45.26</v>
      </c>
      <c r="E3973">
        <v>17.97</v>
      </c>
      <c r="F3973">
        <v>1.46</v>
      </c>
      <c r="G3973">
        <v>0.29</v>
      </c>
      <c r="H3973">
        <v>9904</v>
      </c>
      <c r="I3973">
        <v>7.15</v>
      </c>
      <c r="J3973">
        <v>58.28</v>
      </c>
      <c r="K3973" t="s">
        <v>307</v>
      </c>
    </row>
    <row r="3974" spans="1:11">
      <c r="A3974" t="str">
        <f>"603125"</f>
        <v>603125</v>
      </c>
      <c r="B3974" t="s">
        <v>4326</v>
      </c>
      <c r="C3974">
        <v>18.55</v>
      </c>
      <c r="D3974">
        <v>25.54</v>
      </c>
      <c r="E3974">
        <v>23.91</v>
      </c>
      <c r="F3974">
        <v>4.05</v>
      </c>
      <c r="G3974">
        <v>1.01</v>
      </c>
      <c r="H3974">
        <v>20700</v>
      </c>
      <c r="I3974">
        <v>3.1</v>
      </c>
      <c r="J3974">
        <v>54.27</v>
      </c>
      <c r="K3974" t="s">
        <v>1201</v>
      </c>
    </row>
    <row r="3975" spans="1:11">
      <c r="A3975" t="str">
        <f>"603126"</f>
        <v>603126</v>
      </c>
      <c r="B3975" t="s">
        <v>4327</v>
      </c>
      <c r="C3975">
        <v>42</v>
      </c>
      <c r="D3975">
        <v>55.19</v>
      </c>
      <c r="E3975">
        <v>20.39</v>
      </c>
      <c r="F3975">
        <v>6.11</v>
      </c>
      <c r="G3975">
        <v>6.11</v>
      </c>
      <c r="H3975">
        <v>45463</v>
      </c>
      <c r="I3975">
        <v>2.06</v>
      </c>
      <c r="J3975">
        <v>1992.15</v>
      </c>
      <c r="K3975" t="s">
        <v>59</v>
      </c>
    </row>
    <row r="3976" spans="1:11">
      <c r="A3976" t="str">
        <f>"603127"</f>
        <v>603127</v>
      </c>
      <c r="B3976" t="s">
        <v>4328</v>
      </c>
      <c r="C3976">
        <v>271.11</v>
      </c>
      <c r="D3976">
        <v>95.33</v>
      </c>
      <c r="E3976">
        <v>81.21</v>
      </c>
      <c r="F3976">
        <v>7.49</v>
      </c>
      <c r="G3976">
        <v>6.3</v>
      </c>
      <c r="H3976">
        <v>96458</v>
      </c>
      <c r="I3976">
        <v>3.97</v>
      </c>
      <c r="J3976">
        <v>299.51</v>
      </c>
      <c r="K3976" t="s">
        <v>1595</v>
      </c>
    </row>
    <row r="3977" spans="1:11">
      <c r="A3977" t="str">
        <f>"603128"</f>
        <v>603128</v>
      </c>
      <c r="B3977" t="s">
        <v>4329</v>
      </c>
      <c r="C3977">
        <v>79.72</v>
      </c>
      <c r="D3977">
        <v>114.6</v>
      </c>
      <c r="E3977">
        <v>60.61</v>
      </c>
      <c r="F3977">
        <v>13.09</v>
      </c>
      <c r="G3977">
        <v>13.09</v>
      </c>
      <c r="H3977">
        <v>65002</v>
      </c>
      <c r="I3977">
        <v>1.32</v>
      </c>
      <c r="J3977">
        <v>19.49</v>
      </c>
      <c r="K3977" t="s">
        <v>740</v>
      </c>
    </row>
    <row r="3978" spans="1:11">
      <c r="A3978" t="str">
        <f>"603129"</f>
        <v>603129</v>
      </c>
      <c r="B3978" t="s">
        <v>4330</v>
      </c>
      <c r="C3978">
        <v>396.7</v>
      </c>
      <c r="D3978">
        <v>181.68</v>
      </c>
      <c r="E3978">
        <v>72.03</v>
      </c>
      <c r="F3978">
        <v>1.53</v>
      </c>
      <c r="G3978">
        <v>1.53</v>
      </c>
      <c r="H3978">
        <v>13264</v>
      </c>
      <c r="I3978">
        <v>5.51</v>
      </c>
      <c r="J3978">
        <v>21.02</v>
      </c>
      <c r="K3978" t="s">
        <v>544</v>
      </c>
    </row>
    <row r="3979" spans="1:11">
      <c r="A3979" t="str">
        <f>"603130"</f>
        <v>603130</v>
      </c>
      <c r="B3979" t="s">
        <v>4331</v>
      </c>
      <c r="C3979">
        <v>84.27</v>
      </c>
      <c r="D3979">
        <v>28.36</v>
      </c>
      <c r="E3979">
        <v>13.66</v>
      </c>
      <c r="F3979">
        <v>1.38</v>
      </c>
      <c r="G3979">
        <v>1.38</v>
      </c>
      <c r="H3979">
        <v>11662</v>
      </c>
      <c r="I3979">
        <v>6.17</v>
      </c>
      <c r="J3979">
        <v>125.2</v>
      </c>
      <c r="K3979" t="s">
        <v>577</v>
      </c>
    </row>
    <row r="3980" spans="1:11">
      <c r="A3980" t="str">
        <f>"603131"</f>
        <v>603131</v>
      </c>
      <c r="B3980" t="s">
        <v>4332</v>
      </c>
      <c r="C3980">
        <v>99.8</v>
      </c>
      <c r="D3980">
        <v>20.96</v>
      </c>
      <c r="E3980">
        <v>12.2</v>
      </c>
      <c r="F3980">
        <v>3.28</v>
      </c>
      <c r="G3980">
        <v>3.28</v>
      </c>
      <c r="H3980">
        <v>51128</v>
      </c>
      <c r="I3980">
        <v>8.05</v>
      </c>
      <c r="J3980" t="s">
        <v>14</v>
      </c>
      <c r="K3980" t="s">
        <v>744</v>
      </c>
    </row>
    <row r="3981" spans="1:11">
      <c r="A3981" t="str">
        <f>"603132"</f>
        <v>603132</v>
      </c>
      <c r="B3981" t="s">
        <v>4333</v>
      </c>
      <c r="C3981">
        <v>153.15</v>
      </c>
      <c r="D3981">
        <v>77.28</v>
      </c>
      <c r="E3981">
        <v>31.54</v>
      </c>
      <c r="F3981">
        <v>9.78</v>
      </c>
      <c r="G3981">
        <v>9.78</v>
      </c>
      <c r="H3981">
        <v>16921</v>
      </c>
      <c r="I3981">
        <v>4.86</v>
      </c>
      <c r="J3981">
        <v>33.2</v>
      </c>
      <c r="K3981" t="s">
        <v>79</v>
      </c>
    </row>
    <row r="3982" spans="1:11">
      <c r="A3982" t="str">
        <f>"603135"</f>
        <v>603135</v>
      </c>
      <c r="B3982" t="s">
        <v>4334</v>
      </c>
      <c r="C3982">
        <v>24.23</v>
      </c>
      <c r="D3982">
        <v>37.91</v>
      </c>
      <c r="E3982">
        <v>29.48</v>
      </c>
      <c r="F3982">
        <v>6.3</v>
      </c>
      <c r="G3982">
        <v>2.53</v>
      </c>
      <c r="H3982">
        <v>31128</v>
      </c>
      <c r="I3982">
        <v>2.05</v>
      </c>
      <c r="J3982" t="s">
        <v>14</v>
      </c>
      <c r="K3982" t="s">
        <v>493</v>
      </c>
    </row>
    <row r="3983" spans="1:11">
      <c r="A3983" t="str">
        <f>"603136"</f>
        <v>603136</v>
      </c>
      <c r="B3983" t="s">
        <v>4335</v>
      </c>
      <c r="C3983">
        <v>32.23</v>
      </c>
      <c r="D3983">
        <v>16.92</v>
      </c>
      <c r="E3983">
        <v>13.59</v>
      </c>
      <c r="F3983">
        <v>2.7</v>
      </c>
      <c r="G3983">
        <v>2.7</v>
      </c>
      <c r="H3983">
        <v>23368</v>
      </c>
      <c r="I3983">
        <v>2.37</v>
      </c>
      <c r="J3983">
        <v>29.03</v>
      </c>
      <c r="K3983" t="s">
        <v>163</v>
      </c>
    </row>
    <row r="3984" spans="1:11">
      <c r="A3984" t="str">
        <f>"603137"</f>
        <v>603137</v>
      </c>
      <c r="B3984" t="s">
        <v>4336</v>
      </c>
      <c r="C3984">
        <v>10.48</v>
      </c>
      <c r="D3984">
        <v>31.66</v>
      </c>
      <c r="E3984">
        <v>12.43</v>
      </c>
      <c r="F3984">
        <v>1.83</v>
      </c>
      <c r="G3984">
        <v>0.74</v>
      </c>
      <c r="H3984">
        <v>7142</v>
      </c>
      <c r="I3984">
        <v>2.09</v>
      </c>
      <c r="J3984">
        <v>41.45</v>
      </c>
      <c r="K3984" t="s">
        <v>804</v>
      </c>
    </row>
    <row r="3985" spans="1:11">
      <c r="A3985" t="str">
        <f>"603138"</f>
        <v>603138</v>
      </c>
      <c r="B3985" t="s">
        <v>4337</v>
      </c>
      <c r="C3985">
        <v>49.48</v>
      </c>
      <c r="D3985">
        <v>10.27</v>
      </c>
      <c r="E3985">
        <v>7.67</v>
      </c>
      <c r="F3985">
        <v>2.94</v>
      </c>
      <c r="G3985">
        <v>2.88</v>
      </c>
      <c r="H3985">
        <v>27356</v>
      </c>
      <c r="I3985">
        <v>6.57</v>
      </c>
      <c r="J3985" t="s">
        <v>14</v>
      </c>
      <c r="K3985" t="s">
        <v>17</v>
      </c>
    </row>
    <row r="3986" spans="1:11">
      <c r="A3986" t="str">
        <f>"603139"</f>
        <v>603139</v>
      </c>
      <c r="B3986" t="s">
        <v>4338</v>
      </c>
      <c r="C3986">
        <v>20.92</v>
      </c>
      <c r="D3986">
        <v>18.86</v>
      </c>
      <c r="E3986">
        <v>7.25</v>
      </c>
      <c r="F3986">
        <v>1</v>
      </c>
      <c r="G3986">
        <v>1</v>
      </c>
      <c r="H3986">
        <v>9458</v>
      </c>
      <c r="I3986">
        <v>2.89</v>
      </c>
      <c r="J3986" t="s">
        <v>14</v>
      </c>
      <c r="K3986" t="s">
        <v>155</v>
      </c>
    </row>
    <row r="3987" spans="1:11">
      <c r="A3987" t="str">
        <f>"603150"</f>
        <v>603150</v>
      </c>
      <c r="B3987" t="s">
        <v>4339</v>
      </c>
      <c r="C3987">
        <v>37.65</v>
      </c>
      <c r="D3987">
        <v>52.73</v>
      </c>
      <c r="E3987">
        <v>16.94</v>
      </c>
      <c r="F3987">
        <v>0.85</v>
      </c>
      <c r="G3987">
        <v>0.85</v>
      </c>
      <c r="H3987">
        <v>10122</v>
      </c>
      <c r="I3987">
        <v>2.22</v>
      </c>
      <c r="J3987">
        <v>30.98</v>
      </c>
      <c r="K3987" t="s">
        <v>549</v>
      </c>
    </row>
    <row r="3988" spans="1:11">
      <c r="A3988" t="str">
        <f>"603151"</f>
        <v>603151</v>
      </c>
      <c r="B3988" t="s">
        <v>4340</v>
      </c>
      <c r="C3988">
        <v>32.3</v>
      </c>
      <c r="D3988">
        <v>32.19</v>
      </c>
      <c r="E3988">
        <v>13.62</v>
      </c>
      <c r="F3988">
        <v>1.71</v>
      </c>
      <c r="G3988">
        <v>1.71</v>
      </c>
      <c r="H3988">
        <v>10768</v>
      </c>
      <c r="I3988">
        <v>2.37</v>
      </c>
      <c r="J3988">
        <v>22.82</v>
      </c>
      <c r="K3988" t="s">
        <v>359</v>
      </c>
    </row>
    <row r="3989" spans="1:11">
      <c r="A3989" t="str">
        <f>"603153"</f>
        <v>603153</v>
      </c>
      <c r="B3989" t="s">
        <v>4341</v>
      </c>
      <c r="C3989">
        <v>23.69</v>
      </c>
      <c r="D3989">
        <v>56.36</v>
      </c>
      <c r="E3989">
        <v>36.23</v>
      </c>
      <c r="F3989">
        <v>4.1</v>
      </c>
      <c r="G3989">
        <v>1.35</v>
      </c>
      <c r="H3989">
        <v>16721</v>
      </c>
      <c r="I3989">
        <v>1.99</v>
      </c>
      <c r="J3989">
        <v>51.29</v>
      </c>
      <c r="K3989" t="s">
        <v>428</v>
      </c>
    </row>
    <row r="3990" spans="1:11">
      <c r="A3990" t="str">
        <f>"603155"</f>
        <v>603155</v>
      </c>
      <c r="B3990" t="s">
        <v>4342</v>
      </c>
      <c r="C3990">
        <v>55.58</v>
      </c>
      <c r="D3990">
        <v>23.87</v>
      </c>
      <c r="E3990">
        <v>21.72</v>
      </c>
      <c r="F3990">
        <v>3.16</v>
      </c>
      <c r="G3990">
        <v>3.16</v>
      </c>
      <c r="H3990">
        <v>20046</v>
      </c>
      <c r="I3990">
        <v>2.56</v>
      </c>
      <c r="J3990">
        <v>52.86</v>
      </c>
      <c r="K3990" t="s">
        <v>993</v>
      </c>
    </row>
    <row r="3991" spans="1:11">
      <c r="A3991" t="str">
        <f>"603156"</f>
        <v>603156</v>
      </c>
      <c r="B3991" t="s">
        <v>4343</v>
      </c>
      <c r="C3991">
        <v>417.78</v>
      </c>
      <c r="D3991">
        <v>113.18</v>
      </c>
      <c r="E3991">
        <v>89.89</v>
      </c>
      <c r="F3991">
        <v>12.6</v>
      </c>
      <c r="G3991">
        <v>12.6</v>
      </c>
      <c r="H3991">
        <v>32763</v>
      </c>
      <c r="I3991">
        <v>4.65</v>
      </c>
      <c r="J3991">
        <v>28</v>
      </c>
      <c r="K3991" t="s">
        <v>488</v>
      </c>
    </row>
    <row r="3992" spans="1:11">
      <c r="A3992" t="str">
        <f>"603158"</f>
        <v>603158</v>
      </c>
      <c r="B3992" t="s">
        <v>4344</v>
      </c>
      <c r="C3992">
        <v>53.1</v>
      </c>
      <c r="D3992">
        <v>50.12</v>
      </c>
      <c r="E3992">
        <v>23.23</v>
      </c>
      <c r="F3992">
        <v>4.91</v>
      </c>
      <c r="G3992">
        <v>4.91</v>
      </c>
      <c r="H3992">
        <v>69026</v>
      </c>
      <c r="I3992">
        <v>2.29</v>
      </c>
      <c r="J3992">
        <v>27.89</v>
      </c>
      <c r="K3992" t="s">
        <v>51</v>
      </c>
    </row>
    <row r="3993" spans="1:11">
      <c r="A3993" t="str">
        <f>"603159"</f>
        <v>603159</v>
      </c>
      <c r="B3993" t="s">
        <v>4345</v>
      </c>
      <c r="C3993">
        <v>38.92</v>
      </c>
      <c r="D3993">
        <v>6.04</v>
      </c>
      <c r="E3993">
        <v>5.01</v>
      </c>
      <c r="F3993">
        <v>1.4</v>
      </c>
      <c r="G3993">
        <v>1.4</v>
      </c>
      <c r="H3993">
        <v>8068</v>
      </c>
      <c r="I3993">
        <v>7.76</v>
      </c>
      <c r="J3993" t="s">
        <v>14</v>
      </c>
      <c r="K3993" t="s">
        <v>493</v>
      </c>
    </row>
    <row r="3994" spans="1:11">
      <c r="A3994" t="str">
        <f>"603160"</f>
        <v>603160</v>
      </c>
      <c r="B3994" t="s">
        <v>4346</v>
      </c>
      <c r="C3994">
        <v>377.02</v>
      </c>
      <c r="D3994">
        <v>109.57</v>
      </c>
      <c r="E3994">
        <v>93.29</v>
      </c>
      <c r="F3994">
        <v>4.65</v>
      </c>
      <c r="G3994">
        <v>4.65</v>
      </c>
      <c r="H3994">
        <v>72700</v>
      </c>
      <c r="I3994">
        <v>4.03</v>
      </c>
      <c r="J3994">
        <v>41.79</v>
      </c>
      <c r="K3994" t="s">
        <v>691</v>
      </c>
    </row>
    <row r="3995" spans="1:11">
      <c r="A3995" t="str">
        <f>"603161"</f>
        <v>603161</v>
      </c>
      <c r="B3995" t="s">
        <v>4347</v>
      </c>
      <c r="C3995">
        <v>26.95</v>
      </c>
      <c r="D3995">
        <v>29.38</v>
      </c>
      <c r="E3995">
        <v>14.93</v>
      </c>
      <c r="F3995">
        <v>1.94</v>
      </c>
      <c r="G3995">
        <v>1.91</v>
      </c>
      <c r="H3995">
        <v>17338</v>
      </c>
      <c r="I3995">
        <v>1.84</v>
      </c>
      <c r="J3995">
        <v>25.21</v>
      </c>
      <c r="K3995" t="s">
        <v>51</v>
      </c>
    </row>
    <row r="3996" spans="1:11">
      <c r="A3996" t="str">
        <f>"603162"</f>
        <v>603162</v>
      </c>
      <c r="B3996" t="s">
        <v>4348</v>
      </c>
      <c r="C3996">
        <v>35.21</v>
      </c>
      <c r="D3996">
        <v>67.66</v>
      </c>
      <c r="E3996">
        <v>43.29</v>
      </c>
      <c r="F3996">
        <v>9.28</v>
      </c>
      <c r="G3996">
        <v>2.79</v>
      </c>
      <c r="H3996">
        <v>26373</v>
      </c>
      <c r="I3996">
        <v>2.7</v>
      </c>
      <c r="J3996">
        <v>34.75</v>
      </c>
      <c r="K3996" t="s">
        <v>188</v>
      </c>
    </row>
    <row r="3997" spans="1:11">
      <c r="A3997" t="str">
        <f>"603163"</f>
        <v>603163</v>
      </c>
      <c r="B3997" t="s">
        <v>4349</v>
      </c>
      <c r="C3997">
        <v>79.48</v>
      </c>
      <c r="D3997">
        <v>22.54</v>
      </c>
      <c r="E3997">
        <v>11.13</v>
      </c>
      <c r="F3997">
        <v>1</v>
      </c>
      <c r="G3997">
        <v>1</v>
      </c>
      <c r="H3997">
        <v>12838</v>
      </c>
      <c r="I3997">
        <v>7.14</v>
      </c>
      <c r="J3997">
        <v>62.32</v>
      </c>
      <c r="K3997" t="s">
        <v>55</v>
      </c>
    </row>
    <row r="3998" spans="1:11">
      <c r="A3998" t="str">
        <f>"603165"</f>
        <v>603165</v>
      </c>
      <c r="B3998" t="s">
        <v>4350</v>
      </c>
      <c r="C3998">
        <v>34.94</v>
      </c>
      <c r="D3998">
        <v>49.05</v>
      </c>
      <c r="E3998">
        <v>21.22</v>
      </c>
      <c r="F3998">
        <v>2.64</v>
      </c>
      <c r="G3998">
        <v>2.64</v>
      </c>
      <c r="H3998">
        <v>16641</v>
      </c>
      <c r="I3998">
        <v>1.78</v>
      </c>
      <c r="J3998">
        <v>15.33</v>
      </c>
      <c r="K3998" t="s">
        <v>165</v>
      </c>
    </row>
    <row r="3999" spans="1:11">
      <c r="A3999" t="str">
        <f>"603166"</f>
        <v>603166</v>
      </c>
      <c r="B3999" t="s">
        <v>4351</v>
      </c>
      <c r="C3999">
        <v>103.8</v>
      </c>
      <c r="D3999">
        <v>46.56</v>
      </c>
      <c r="E3999">
        <v>25.57</v>
      </c>
      <c r="F3999">
        <v>6.46</v>
      </c>
      <c r="G3999">
        <v>6.41</v>
      </c>
      <c r="H3999">
        <v>37278</v>
      </c>
      <c r="I3999">
        <v>4.09</v>
      </c>
      <c r="J3999">
        <v>35.42</v>
      </c>
      <c r="K3999" t="s">
        <v>51</v>
      </c>
    </row>
    <row r="4000" spans="1:11">
      <c r="A4000" t="str">
        <f>"603167"</f>
        <v>603167</v>
      </c>
      <c r="B4000" t="s">
        <v>4352</v>
      </c>
      <c r="C4000">
        <v>43.44</v>
      </c>
      <c r="D4000">
        <v>42.62</v>
      </c>
      <c r="E4000">
        <v>35.1</v>
      </c>
      <c r="F4000">
        <v>4.69</v>
      </c>
      <c r="G4000">
        <v>4.69</v>
      </c>
      <c r="H4000">
        <v>26752</v>
      </c>
      <c r="I4000">
        <v>1.24</v>
      </c>
      <c r="J4000">
        <v>11.99</v>
      </c>
      <c r="K4000" t="s">
        <v>188</v>
      </c>
    </row>
    <row r="4001" spans="1:11">
      <c r="A4001" t="str">
        <f>"603168"</f>
        <v>603168</v>
      </c>
      <c r="B4001" t="s">
        <v>4353</v>
      </c>
      <c r="C4001">
        <v>28.2</v>
      </c>
      <c r="D4001">
        <v>21.32</v>
      </c>
      <c r="E4001">
        <v>16.19</v>
      </c>
      <c r="F4001">
        <v>3.74</v>
      </c>
      <c r="G4001">
        <v>3.73</v>
      </c>
      <c r="H4001">
        <v>28285</v>
      </c>
      <c r="I4001">
        <v>1.76</v>
      </c>
      <c r="J4001">
        <v>76.87</v>
      </c>
      <c r="K4001" t="s">
        <v>109</v>
      </c>
    </row>
    <row r="4002" spans="1:11">
      <c r="A4002" t="str">
        <f>"603169"</f>
        <v>603169</v>
      </c>
      <c r="B4002" t="s">
        <v>4354</v>
      </c>
      <c r="C4002">
        <v>158.19</v>
      </c>
      <c r="D4002">
        <v>126.72</v>
      </c>
      <c r="E4002">
        <v>33.1</v>
      </c>
      <c r="F4002">
        <v>13.06</v>
      </c>
      <c r="G4002">
        <v>13.06</v>
      </c>
      <c r="H4002">
        <v>87888</v>
      </c>
      <c r="I4002">
        <v>4.78</v>
      </c>
      <c r="J4002">
        <v>1059.68</v>
      </c>
      <c r="K4002" t="s">
        <v>491</v>
      </c>
    </row>
    <row r="4003" spans="1:11">
      <c r="A4003" t="str">
        <f>"603170"</f>
        <v>603170</v>
      </c>
      <c r="B4003" t="s">
        <v>4355</v>
      </c>
      <c r="C4003">
        <v>61</v>
      </c>
      <c r="D4003">
        <v>22.56</v>
      </c>
      <c r="E4003">
        <v>14.11</v>
      </c>
      <c r="F4003">
        <v>4</v>
      </c>
      <c r="G4003">
        <v>4</v>
      </c>
      <c r="H4003">
        <v>10323</v>
      </c>
      <c r="I4003">
        <v>4.32</v>
      </c>
      <c r="J4003">
        <v>23.85</v>
      </c>
      <c r="K4003" t="s">
        <v>1281</v>
      </c>
    </row>
    <row r="4004" spans="1:11">
      <c r="A4004" t="str">
        <f>"603171"</f>
        <v>603171</v>
      </c>
      <c r="B4004" t="s">
        <v>4356</v>
      </c>
      <c r="C4004">
        <v>359.5</v>
      </c>
      <c r="D4004">
        <v>40.82</v>
      </c>
      <c r="E4004">
        <v>25.24</v>
      </c>
      <c r="F4004">
        <v>4.06</v>
      </c>
      <c r="G4004">
        <v>4.06</v>
      </c>
      <c r="H4004">
        <v>14405</v>
      </c>
      <c r="I4004">
        <v>14.26</v>
      </c>
      <c r="J4004">
        <v>244.42</v>
      </c>
      <c r="K4004" t="s">
        <v>117</v>
      </c>
    </row>
    <row r="4005" spans="1:11">
      <c r="A4005" t="str">
        <f>"603172"</f>
        <v>603172</v>
      </c>
      <c r="B4005" t="s">
        <v>4357</v>
      </c>
      <c r="C4005">
        <v>9.26</v>
      </c>
      <c r="D4005">
        <v>15.14</v>
      </c>
      <c r="E4005">
        <v>10.87</v>
      </c>
      <c r="F4005">
        <v>1.33</v>
      </c>
      <c r="G4005">
        <v>0.5</v>
      </c>
      <c r="H4005">
        <v>7635</v>
      </c>
      <c r="I4005">
        <v>2.27</v>
      </c>
      <c r="J4005">
        <v>49.69</v>
      </c>
      <c r="K4005" t="s">
        <v>812</v>
      </c>
    </row>
    <row r="4006" spans="1:11">
      <c r="A4006" t="str">
        <f>"603173"</f>
        <v>603173</v>
      </c>
      <c r="B4006" t="s">
        <v>4358</v>
      </c>
      <c r="C4006">
        <v>22.08</v>
      </c>
      <c r="D4006">
        <v>58.03</v>
      </c>
      <c r="E4006">
        <v>18.94</v>
      </c>
      <c r="F4006">
        <v>1.6</v>
      </c>
      <c r="G4006">
        <v>0.5</v>
      </c>
      <c r="H4006">
        <v>12832</v>
      </c>
      <c r="I4006">
        <v>3.77</v>
      </c>
      <c r="J4006">
        <v>15.51</v>
      </c>
      <c r="K4006" t="s">
        <v>493</v>
      </c>
    </row>
    <row r="4007" spans="1:11">
      <c r="A4007" t="str">
        <f>"603175"</f>
        <v>603175</v>
      </c>
      <c r="B4007" t="s">
        <v>4359</v>
      </c>
      <c r="C4007">
        <v>31.33</v>
      </c>
      <c r="D4007">
        <v>75.27</v>
      </c>
      <c r="E4007">
        <v>20.76</v>
      </c>
      <c r="F4007">
        <v>4.37</v>
      </c>
      <c r="G4007">
        <v>0.44</v>
      </c>
      <c r="H4007">
        <v>69030</v>
      </c>
      <c r="I4007">
        <v>10.81</v>
      </c>
      <c r="J4007">
        <v>110.28</v>
      </c>
      <c r="K4007" t="s">
        <v>472</v>
      </c>
    </row>
    <row r="4008" spans="1:11">
      <c r="A4008" t="str">
        <f>"603176"</f>
        <v>603176</v>
      </c>
      <c r="B4008" t="s">
        <v>4360</v>
      </c>
      <c r="C4008">
        <v>25.35</v>
      </c>
      <c r="D4008">
        <v>57.44</v>
      </c>
      <c r="E4008">
        <v>11.42</v>
      </c>
      <c r="F4008">
        <v>4.75</v>
      </c>
      <c r="G4008">
        <v>4.62</v>
      </c>
      <c r="H4008">
        <v>26991</v>
      </c>
      <c r="I4008">
        <v>2.41</v>
      </c>
      <c r="J4008" t="s">
        <v>14</v>
      </c>
      <c r="K4008" t="s">
        <v>100</v>
      </c>
    </row>
    <row r="4009" spans="1:11">
      <c r="A4009" t="str">
        <f>"603177"</f>
        <v>603177</v>
      </c>
      <c r="B4009" t="s">
        <v>4361</v>
      </c>
      <c r="C4009">
        <v>23.89</v>
      </c>
      <c r="D4009">
        <v>19.68</v>
      </c>
      <c r="E4009">
        <v>3.8</v>
      </c>
      <c r="F4009">
        <v>2.04</v>
      </c>
      <c r="G4009">
        <v>2.04</v>
      </c>
      <c r="H4009">
        <v>24105</v>
      </c>
      <c r="I4009">
        <v>6.34</v>
      </c>
      <c r="J4009">
        <v>136.69</v>
      </c>
      <c r="K4009" t="s">
        <v>1330</v>
      </c>
    </row>
    <row r="4010" spans="1:11">
      <c r="A4010" t="str">
        <f>"603178"</f>
        <v>603178</v>
      </c>
      <c r="B4010" t="s">
        <v>4362</v>
      </c>
      <c r="C4010">
        <v>44.14</v>
      </c>
      <c r="D4010">
        <v>22.59</v>
      </c>
      <c r="E4010">
        <v>12.15</v>
      </c>
      <c r="F4010">
        <v>2.36</v>
      </c>
      <c r="G4010">
        <v>2.36</v>
      </c>
      <c r="H4010">
        <v>33478</v>
      </c>
      <c r="I4010">
        <v>3.63</v>
      </c>
      <c r="J4010" t="s">
        <v>14</v>
      </c>
      <c r="K4010" t="s">
        <v>51</v>
      </c>
    </row>
    <row r="4011" spans="1:11">
      <c r="A4011" t="str">
        <f>"603179"</f>
        <v>603179</v>
      </c>
      <c r="B4011" t="s">
        <v>4363</v>
      </c>
      <c r="C4011">
        <v>469.13</v>
      </c>
      <c r="D4011">
        <v>174.05</v>
      </c>
      <c r="E4011">
        <v>63.74</v>
      </c>
      <c r="F4011">
        <v>5.1</v>
      </c>
      <c r="G4011">
        <v>5.1</v>
      </c>
      <c r="H4011">
        <v>17965</v>
      </c>
      <c r="I4011">
        <v>7.27</v>
      </c>
      <c r="J4011">
        <v>56.51</v>
      </c>
      <c r="K4011" t="s">
        <v>530</v>
      </c>
    </row>
    <row r="4012" spans="1:11">
      <c r="A4012" t="str">
        <f>"603180"</f>
        <v>603180</v>
      </c>
      <c r="B4012" t="s">
        <v>4364</v>
      </c>
      <c r="C4012">
        <v>31.33</v>
      </c>
      <c r="D4012">
        <v>60.57</v>
      </c>
      <c r="E4012">
        <v>28.17</v>
      </c>
      <c r="F4012">
        <v>1.54</v>
      </c>
      <c r="G4012">
        <v>1.54</v>
      </c>
      <c r="H4012">
        <v>9750</v>
      </c>
      <c r="I4012">
        <v>1.13</v>
      </c>
      <c r="J4012">
        <v>36.31</v>
      </c>
      <c r="K4012" t="s">
        <v>540</v>
      </c>
    </row>
    <row r="4013" spans="1:11">
      <c r="A4013" t="str">
        <f>"603181"</f>
        <v>603181</v>
      </c>
      <c r="B4013" t="s">
        <v>4365</v>
      </c>
      <c r="C4013">
        <v>91.72</v>
      </c>
      <c r="D4013">
        <v>40.93</v>
      </c>
      <c r="E4013">
        <v>33.38</v>
      </c>
      <c r="F4013">
        <v>5.89</v>
      </c>
      <c r="G4013">
        <v>5.89</v>
      </c>
      <c r="H4013">
        <v>29385</v>
      </c>
      <c r="I4013">
        <v>2.75</v>
      </c>
      <c r="J4013">
        <v>20.39</v>
      </c>
      <c r="K4013" t="s">
        <v>511</v>
      </c>
    </row>
    <row r="4014" spans="1:11">
      <c r="A4014" t="str">
        <f>"603182"</f>
        <v>603182</v>
      </c>
      <c r="B4014" t="s">
        <v>4366</v>
      </c>
      <c r="C4014">
        <v>25.92</v>
      </c>
      <c r="D4014">
        <v>13.08</v>
      </c>
      <c r="E4014">
        <v>10.95</v>
      </c>
      <c r="F4014">
        <v>1.65</v>
      </c>
      <c r="G4014">
        <v>1.65</v>
      </c>
      <c r="H4014">
        <v>8539</v>
      </c>
      <c r="I4014">
        <v>2.37</v>
      </c>
      <c r="J4014">
        <v>23.65</v>
      </c>
      <c r="K4014" t="s">
        <v>560</v>
      </c>
    </row>
    <row r="4015" spans="1:11">
      <c r="A4015" t="str">
        <f>"603183"</f>
        <v>603183</v>
      </c>
      <c r="B4015" t="s">
        <v>4367</v>
      </c>
      <c r="C4015">
        <v>21.97</v>
      </c>
      <c r="D4015">
        <v>22.1</v>
      </c>
      <c r="E4015">
        <v>15.9</v>
      </c>
      <c r="F4015">
        <v>4.97</v>
      </c>
      <c r="G4015">
        <v>4.97</v>
      </c>
      <c r="H4015">
        <v>21778</v>
      </c>
      <c r="I4015">
        <v>1.38</v>
      </c>
      <c r="J4015">
        <v>341.95</v>
      </c>
      <c r="K4015" t="s">
        <v>1733</v>
      </c>
    </row>
    <row r="4016" spans="1:11">
      <c r="A4016" t="str">
        <f>"603185"</f>
        <v>603185</v>
      </c>
      <c r="B4016" t="s">
        <v>4368</v>
      </c>
      <c r="C4016">
        <v>184.83</v>
      </c>
      <c r="D4016">
        <v>268.19</v>
      </c>
      <c r="E4016">
        <v>121.03</v>
      </c>
      <c r="F4016">
        <v>6.83</v>
      </c>
      <c r="G4016">
        <v>6.79</v>
      </c>
      <c r="H4016">
        <v>55263</v>
      </c>
      <c r="I4016">
        <v>1.53</v>
      </c>
      <c r="J4016">
        <v>59.26</v>
      </c>
      <c r="K4016" t="s">
        <v>897</v>
      </c>
    </row>
    <row r="4017" spans="1:11">
      <c r="A4017" t="str">
        <f>"603186"</f>
        <v>603186</v>
      </c>
      <c r="B4017" t="s">
        <v>4369</v>
      </c>
      <c r="C4017">
        <v>77.26</v>
      </c>
      <c r="D4017">
        <v>63.81</v>
      </c>
      <c r="E4017">
        <v>15.17</v>
      </c>
      <c r="F4017">
        <v>1.42</v>
      </c>
      <c r="G4017">
        <v>1.42</v>
      </c>
      <c r="H4017">
        <v>20180</v>
      </c>
      <c r="I4017">
        <v>5.27</v>
      </c>
      <c r="J4017">
        <v>92.55</v>
      </c>
      <c r="K4017" t="s">
        <v>472</v>
      </c>
    </row>
    <row r="4018" spans="1:11">
      <c r="A4018" t="str">
        <f>"603187"</f>
        <v>603187</v>
      </c>
      <c r="B4018" t="s">
        <v>4370</v>
      </c>
      <c r="C4018">
        <v>59.69</v>
      </c>
      <c r="D4018">
        <v>57.28</v>
      </c>
      <c r="E4018">
        <v>42.27</v>
      </c>
      <c r="F4018">
        <v>3.86</v>
      </c>
      <c r="G4018">
        <v>3.82</v>
      </c>
      <c r="H4018">
        <v>20218</v>
      </c>
      <c r="I4018">
        <v>1.43</v>
      </c>
      <c r="J4018">
        <v>15.05</v>
      </c>
      <c r="K4018" t="s">
        <v>203</v>
      </c>
    </row>
    <row r="4019" spans="1:11">
      <c r="A4019" t="str">
        <f>"603188"</f>
        <v>603188</v>
      </c>
      <c r="B4019" t="s">
        <v>4371</v>
      </c>
      <c r="C4019">
        <v>26.51</v>
      </c>
      <c r="D4019">
        <v>15.91</v>
      </c>
      <c r="E4019">
        <v>7.67</v>
      </c>
      <c r="F4019">
        <v>5.7</v>
      </c>
      <c r="G4019">
        <v>5.7</v>
      </c>
      <c r="H4019">
        <v>24614</v>
      </c>
      <c r="I4019">
        <v>3.45</v>
      </c>
      <c r="J4019">
        <v>96.37</v>
      </c>
      <c r="K4019" t="s">
        <v>812</v>
      </c>
    </row>
    <row r="4020" spans="1:11">
      <c r="A4020" t="str">
        <f>"603189"</f>
        <v>603189</v>
      </c>
      <c r="B4020" t="s">
        <v>4372</v>
      </c>
      <c r="C4020">
        <v>60.11</v>
      </c>
      <c r="D4020">
        <v>16.05</v>
      </c>
      <c r="E4020">
        <v>15.07</v>
      </c>
      <c r="F4020">
        <v>2.7</v>
      </c>
      <c r="G4020">
        <v>2.7</v>
      </c>
      <c r="H4020">
        <v>31284</v>
      </c>
      <c r="I4020">
        <v>3.99</v>
      </c>
      <c r="J4020">
        <v>751.53</v>
      </c>
      <c r="K4020" t="s">
        <v>117</v>
      </c>
    </row>
    <row r="4021" spans="1:11">
      <c r="A4021" t="str">
        <f>"603190"</f>
        <v>603190</v>
      </c>
      <c r="B4021" t="s">
        <v>4373</v>
      </c>
      <c r="C4021">
        <v>11.42</v>
      </c>
      <c r="D4021">
        <v>38.01</v>
      </c>
      <c r="E4021">
        <v>21.83</v>
      </c>
      <c r="F4021">
        <v>1.25</v>
      </c>
      <c r="G4021">
        <v>0.41</v>
      </c>
      <c r="H4021">
        <v>12899</v>
      </c>
      <c r="I4021">
        <v>1.55</v>
      </c>
      <c r="J4021">
        <v>25.58</v>
      </c>
      <c r="K4021" t="s">
        <v>517</v>
      </c>
    </row>
    <row r="4022" spans="1:11">
      <c r="A4022" t="str">
        <f>"603191"</f>
        <v>603191</v>
      </c>
      <c r="B4022" t="s">
        <v>4374</v>
      </c>
      <c r="C4022">
        <v>57.16</v>
      </c>
      <c r="D4022">
        <v>71.38</v>
      </c>
      <c r="E4022">
        <v>24.99</v>
      </c>
      <c r="F4022">
        <v>3.32</v>
      </c>
      <c r="G4022">
        <v>3.3</v>
      </c>
      <c r="H4022">
        <v>26994</v>
      </c>
      <c r="I4022">
        <v>2.3</v>
      </c>
      <c r="J4022">
        <v>53.34</v>
      </c>
      <c r="K4022" t="s">
        <v>208</v>
      </c>
    </row>
    <row r="4023" spans="1:11">
      <c r="A4023" t="str">
        <f>"603192"</f>
        <v>603192</v>
      </c>
      <c r="B4023" t="s">
        <v>4375</v>
      </c>
      <c r="C4023">
        <v>35.94</v>
      </c>
      <c r="D4023">
        <v>22.76</v>
      </c>
      <c r="E4023">
        <v>15.94</v>
      </c>
      <c r="F4023">
        <v>1.42</v>
      </c>
      <c r="G4023">
        <v>1.39</v>
      </c>
      <c r="H4023">
        <v>11791</v>
      </c>
      <c r="I4023">
        <v>2.29</v>
      </c>
      <c r="J4023">
        <v>36</v>
      </c>
      <c r="K4023" t="s">
        <v>939</v>
      </c>
    </row>
    <row r="4024" spans="1:11">
      <c r="A4024" t="str">
        <f>"603193"</f>
        <v>603193</v>
      </c>
      <c r="B4024" t="s">
        <v>4376</v>
      </c>
      <c r="C4024">
        <v>25.71</v>
      </c>
      <c r="D4024">
        <v>23.07</v>
      </c>
      <c r="E4024">
        <v>21.73</v>
      </c>
      <c r="F4024">
        <v>4.05</v>
      </c>
      <c r="G4024">
        <v>1.03</v>
      </c>
      <c r="H4024">
        <v>26173</v>
      </c>
      <c r="I4024">
        <v>4.63</v>
      </c>
      <c r="J4024">
        <v>28.38</v>
      </c>
      <c r="K4024" t="s">
        <v>708</v>
      </c>
    </row>
    <row r="4025" spans="1:11">
      <c r="A4025" t="str">
        <f>"603194"</f>
        <v>603194</v>
      </c>
      <c r="B4025" t="s">
        <v>4377</v>
      </c>
      <c r="C4025">
        <v>61.71</v>
      </c>
      <c r="D4025">
        <v>85.54</v>
      </c>
      <c r="E4025">
        <v>52.75</v>
      </c>
      <c r="F4025">
        <v>4.01</v>
      </c>
      <c r="G4025">
        <v>1.58</v>
      </c>
      <c r="H4025">
        <v>18151</v>
      </c>
      <c r="I4025">
        <v>2.97</v>
      </c>
      <c r="J4025">
        <v>17.14</v>
      </c>
      <c r="K4025" t="s">
        <v>115</v>
      </c>
    </row>
    <row r="4026" spans="1:11">
      <c r="A4026" t="str">
        <f>"603195"</f>
        <v>603195</v>
      </c>
      <c r="B4026" t="s">
        <v>4378</v>
      </c>
      <c r="C4026">
        <v>751.42</v>
      </c>
      <c r="D4026">
        <v>212.74</v>
      </c>
      <c r="E4026">
        <v>156.61</v>
      </c>
      <c r="F4026">
        <v>18.08</v>
      </c>
      <c r="G4026">
        <v>18.01</v>
      </c>
      <c r="H4026">
        <v>52779</v>
      </c>
      <c r="I4026">
        <v>4.82</v>
      </c>
      <c r="J4026">
        <v>19</v>
      </c>
      <c r="K4026" t="s">
        <v>625</v>
      </c>
    </row>
    <row r="4027" spans="1:11">
      <c r="A4027" t="str">
        <f>"603196"</f>
        <v>603196</v>
      </c>
      <c r="B4027" t="s">
        <v>4379</v>
      </c>
      <c r="C4027">
        <v>61.47</v>
      </c>
      <c r="D4027">
        <v>10.65</v>
      </c>
      <c r="E4027">
        <v>6.8</v>
      </c>
      <c r="F4027">
        <v>2.37</v>
      </c>
      <c r="G4027">
        <v>2.37</v>
      </c>
      <c r="H4027">
        <v>10706</v>
      </c>
      <c r="I4027">
        <v>9.04</v>
      </c>
      <c r="J4027">
        <v>106.34</v>
      </c>
      <c r="K4027" t="s">
        <v>622</v>
      </c>
    </row>
    <row r="4028" spans="1:11">
      <c r="A4028" t="str">
        <f>"603197"</f>
        <v>603197</v>
      </c>
      <c r="B4028" t="s">
        <v>4380</v>
      </c>
      <c r="C4028">
        <v>81.23</v>
      </c>
      <c r="D4028">
        <v>120.95</v>
      </c>
      <c r="E4028">
        <v>32.64</v>
      </c>
      <c r="F4028">
        <v>2.14</v>
      </c>
      <c r="G4028">
        <v>2.14</v>
      </c>
      <c r="H4028">
        <v>22304</v>
      </c>
      <c r="I4028">
        <v>2.53</v>
      </c>
      <c r="J4028">
        <v>30.77</v>
      </c>
      <c r="K4028" t="s">
        <v>530</v>
      </c>
    </row>
    <row r="4029" spans="1:11">
      <c r="A4029" t="str">
        <f>"603198"</f>
        <v>603198</v>
      </c>
      <c r="B4029" t="s">
        <v>4381</v>
      </c>
      <c r="C4029">
        <v>314.72</v>
      </c>
      <c r="D4029">
        <v>130.86</v>
      </c>
      <c r="E4029">
        <v>101.57</v>
      </c>
      <c r="F4029">
        <v>8</v>
      </c>
      <c r="G4029">
        <v>8</v>
      </c>
      <c r="H4029">
        <v>57081</v>
      </c>
      <c r="I4029">
        <v>3.1</v>
      </c>
      <c r="J4029">
        <v>15.62</v>
      </c>
      <c r="K4029" t="s">
        <v>251</v>
      </c>
    </row>
    <row r="4030" spans="1:11">
      <c r="A4030" t="str">
        <f>"603199"</f>
        <v>603199</v>
      </c>
      <c r="B4030" t="s">
        <v>4382</v>
      </c>
      <c r="C4030">
        <v>42.91</v>
      </c>
      <c r="D4030">
        <v>19.17</v>
      </c>
      <c r="E4030">
        <v>16.2</v>
      </c>
      <c r="F4030">
        <v>1.11</v>
      </c>
      <c r="G4030">
        <v>1.11</v>
      </c>
      <c r="H4030">
        <v>14747</v>
      </c>
      <c r="I4030">
        <v>2.65</v>
      </c>
      <c r="J4030">
        <v>17.81</v>
      </c>
      <c r="K4030" t="s">
        <v>163</v>
      </c>
    </row>
    <row r="4031" spans="1:11">
      <c r="A4031" t="str">
        <f>"603200"</f>
        <v>603200</v>
      </c>
      <c r="B4031" t="s">
        <v>4383</v>
      </c>
      <c r="C4031">
        <v>144.63</v>
      </c>
      <c r="D4031">
        <v>18.42</v>
      </c>
      <c r="E4031">
        <v>10.86</v>
      </c>
      <c r="F4031">
        <v>1.75</v>
      </c>
      <c r="G4031">
        <v>1.75</v>
      </c>
      <c r="H4031">
        <v>39092</v>
      </c>
      <c r="I4031">
        <v>13.32</v>
      </c>
      <c r="J4031">
        <v>90.8</v>
      </c>
      <c r="K4031" t="s">
        <v>90</v>
      </c>
    </row>
    <row r="4032" spans="1:11">
      <c r="A4032" t="str">
        <f>"603201"</f>
        <v>603201</v>
      </c>
      <c r="B4032" t="s">
        <v>4384</v>
      </c>
      <c r="C4032">
        <v>32.43</v>
      </c>
      <c r="D4032">
        <v>31.45</v>
      </c>
      <c r="E4032">
        <v>17.4</v>
      </c>
      <c r="F4032">
        <v>1.9</v>
      </c>
      <c r="G4032">
        <v>1.88</v>
      </c>
      <c r="H4032">
        <v>10084</v>
      </c>
      <c r="I4032">
        <v>1.88</v>
      </c>
      <c r="J4032">
        <v>14.95</v>
      </c>
      <c r="K4032" t="s">
        <v>517</v>
      </c>
    </row>
    <row r="4033" spans="1:11">
      <c r="A4033" t="str">
        <f>"603202"</f>
        <v>603202</v>
      </c>
      <c r="B4033" t="s">
        <v>4385</v>
      </c>
      <c r="C4033">
        <v>30.77</v>
      </c>
      <c r="D4033">
        <v>91.5</v>
      </c>
      <c r="E4033">
        <v>66.28</v>
      </c>
      <c r="F4033">
        <v>1.6</v>
      </c>
      <c r="G4033">
        <v>0.33</v>
      </c>
      <c r="H4033">
        <v>20497</v>
      </c>
      <c r="I4033">
        <v>2.23</v>
      </c>
      <c r="J4033">
        <v>14.25</v>
      </c>
      <c r="K4033" t="s">
        <v>530</v>
      </c>
    </row>
    <row r="4034" spans="1:11">
      <c r="A4034" t="str">
        <f>"603203"</f>
        <v>603203</v>
      </c>
      <c r="B4034" t="s">
        <v>4386</v>
      </c>
      <c r="C4034">
        <v>90.24</v>
      </c>
      <c r="D4034">
        <v>21.4</v>
      </c>
      <c r="E4034">
        <v>14.6</v>
      </c>
      <c r="F4034">
        <v>2.54</v>
      </c>
      <c r="G4034">
        <v>2.49</v>
      </c>
      <c r="H4034">
        <v>13983</v>
      </c>
      <c r="I4034">
        <v>6.29</v>
      </c>
      <c r="J4034">
        <v>34.72</v>
      </c>
      <c r="K4034" t="s">
        <v>493</v>
      </c>
    </row>
    <row r="4035" spans="1:11">
      <c r="A4035" t="str">
        <f>"603205"</f>
        <v>603205</v>
      </c>
      <c r="B4035" t="s">
        <v>4387</v>
      </c>
      <c r="C4035">
        <v>11.79</v>
      </c>
      <c r="D4035">
        <v>16.48</v>
      </c>
      <c r="E4035">
        <v>14.58</v>
      </c>
      <c r="F4035">
        <v>1.56</v>
      </c>
      <c r="G4035">
        <v>0.41</v>
      </c>
      <c r="H4035">
        <v>17056</v>
      </c>
      <c r="I4035">
        <v>3.05</v>
      </c>
      <c r="J4035">
        <v>43.67</v>
      </c>
      <c r="K4035" t="s">
        <v>1173</v>
      </c>
    </row>
    <row r="4036" spans="1:11">
      <c r="A4036" t="str">
        <f>"603206"</f>
        <v>603206</v>
      </c>
      <c r="B4036" t="s">
        <v>4388</v>
      </c>
      <c r="C4036">
        <v>57.62</v>
      </c>
      <c r="D4036">
        <v>81.66</v>
      </c>
      <c r="E4036">
        <v>22.69</v>
      </c>
      <c r="F4036">
        <v>3.05</v>
      </c>
      <c r="G4036">
        <v>3.05</v>
      </c>
      <c r="H4036">
        <v>23529</v>
      </c>
      <c r="I4036">
        <v>2.54</v>
      </c>
      <c r="J4036">
        <v>78.08</v>
      </c>
      <c r="K4036" t="s">
        <v>1698</v>
      </c>
    </row>
    <row r="4037" spans="1:11">
      <c r="A4037" t="str">
        <f>"603207"</f>
        <v>603207</v>
      </c>
      <c r="B4037" t="s">
        <v>4389</v>
      </c>
      <c r="C4037">
        <v>16.23</v>
      </c>
      <c r="D4037">
        <v>13.08</v>
      </c>
      <c r="E4037">
        <v>10.54</v>
      </c>
      <c r="F4037">
        <v>1.61</v>
      </c>
      <c r="G4037">
        <v>0.54</v>
      </c>
      <c r="H4037">
        <v>14287</v>
      </c>
      <c r="I4037">
        <v>4.54</v>
      </c>
      <c r="J4037">
        <v>21.14</v>
      </c>
      <c r="K4037" t="s">
        <v>109</v>
      </c>
    </row>
    <row r="4038" spans="1:11">
      <c r="A4038" t="str">
        <f>"603208"</f>
        <v>603208</v>
      </c>
      <c r="B4038" t="s">
        <v>4390</v>
      </c>
      <c r="C4038">
        <v>25.88</v>
      </c>
      <c r="D4038">
        <v>32.63</v>
      </c>
      <c r="E4038">
        <v>12.38</v>
      </c>
      <c r="F4038">
        <v>1.77</v>
      </c>
      <c r="G4038">
        <v>1.77</v>
      </c>
      <c r="H4038">
        <v>12194</v>
      </c>
      <c r="I4038">
        <v>2.15</v>
      </c>
      <c r="J4038" t="s">
        <v>14</v>
      </c>
      <c r="K4038" t="s">
        <v>540</v>
      </c>
    </row>
    <row r="4039" spans="1:11">
      <c r="A4039" t="str">
        <f>"603209"</f>
        <v>603209</v>
      </c>
      <c r="B4039" t="s">
        <v>4391</v>
      </c>
      <c r="C4039">
        <v>49</v>
      </c>
      <c r="D4039">
        <v>56.19</v>
      </c>
      <c r="E4039">
        <v>33.24</v>
      </c>
      <c r="F4039">
        <v>3.25</v>
      </c>
      <c r="G4039">
        <v>3.21</v>
      </c>
      <c r="H4039">
        <v>17229</v>
      </c>
      <c r="I4039">
        <v>1.49</v>
      </c>
      <c r="J4039">
        <v>19.18</v>
      </c>
      <c r="K4039" t="s">
        <v>188</v>
      </c>
    </row>
    <row r="4040" spans="1:11">
      <c r="A4040" t="str">
        <f>"603210"</f>
        <v>603210</v>
      </c>
      <c r="B4040" t="s">
        <v>4392</v>
      </c>
      <c r="C4040">
        <v>15.03</v>
      </c>
      <c r="D4040">
        <v>30.33</v>
      </c>
      <c r="E4040">
        <v>18.27</v>
      </c>
      <c r="F4040">
        <v>3.4</v>
      </c>
      <c r="G4040">
        <v>0.75</v>
      </c>
      <c r="H4040">
        <v>24416</v>
      </c>
      <c r="I4040">
        <v>3.72</v>
      </c>
      <c r="J4040">
        <v>35.03</v>
      </c>
      <c r="K4040" t="s">
        <v>517</v>
      </c>
    </row>
    <row r="4041" spans="1:11">
      <c r="A4041" t="str">
        <f>"603211"</f>
        <v>603211</v>
      </c>
      <c r="B4041" t="s">
        <v>4393</v>
      </c>
      <c r="C4041">
        <v>61.86</v>
      </c>
      <c r="D4041">
        <v>19.14</v>
      </c>
      <c r="E4041">
        <v>12.28</v>
      </c>
      <c r="F4041">
        <v>2.72</v>
      </c>
      <c r="G4041">
        <v>2.72</v>
      </c>
      <c r="H4041">
        <v>22821</v>
      </c>
      <c r="I4041">
        <v>5.04</v>
      </c>
      <c r="J4041">
        <v>83.03</v>
      </c>
      <c r="K4041" t="s">
        <v>517</v>
      </c>
    </row>
    <row r="4042" spans="1:11">
      <c r="A4042" t="str">
        <f>"603212"</f>
        <v>603212</v>
      </c>
      <c r="B4042" t="s">
        <v>4394</v>
      </c>
      <c r="C4042">
        <v>62.6</v>
      </c>
      <c r="D4042">
        <v>41.93</v>
      </c>
      <c r="E4042">
        <v>25.55</v>
      </c>
      <c r="F4042">
        <v>4.37</v>
      </c>
      <c r="G4042">
        <v>4.37</v>
      </c>
      <c r="H4042">
        <v>51615</v>
      </c>
      <c r="I4042">
        <v>2.45</v>
      </c>
      <c r="J4042" t="s">
        <v>14</v>
      </c>
      <c r="K4042" t="s">
        <v>667</v>
      </c>
    </row>
    <row r="4043" spans="1:11">
      <c r="A4043" t="str">
        <f>"603213"</f>
        <v>603213</v>
      </c>
      <c r="B4043" t="s">
        <v>4395</v>
      </c>
      <c r="C4043">
        <v>59.53</v>
      </c>
      <c r="D4043">
        <v>33.07</v>
      </c>
      <c r="E4043">
        <v>19.31</v>
      </c>
      <c r="F4043">
        <v>4.42</v>
      </c>
      <c r="G4043">
        <v>4.42</v>
      </c>
      <c r="H4043">
        <v>18500</v>
      </c>
      <c r="I4043">
        <v>3.2</v>
      </c>
      <c r="J4043">
        <v>88.11</v>
      </c>
      <c r="K4043" t="s">
        <v>177</v>
      </c>
    </row>
    <row r="4044" spans="1:11">
      <c r="A4044" t="str">
        <f>"603214"</f>
        <v>603214</v>
      </c>
      <c r="B4044" t="s">
        <v>4396</v>
      </c>
      <c r="C4044">
        <v>24.62</v>
      </c>
      <c r="D4044">
        <v>26.4</v>
      </c>
      <c r="E4044">
        <v>11.5</v>
      </c>
      <c r="F4044">
        <v>1.39</v>
      </c>
      <c r="G4044">
        <v>1.39</v>
      </c>
      <c r="H4044">
        <v>24569</v>
      </c>
      <c r="I4044">
        <v>2.14</v>
      </c>
      <c r="J4044">
        <v>35.28</v>
      </c>
      <c r="K4044" t="s">
        <v>477</v>
      </c>
    </row>
    <row r="4045" spans="1:11">
      <c r="A4045" t="str">
        <f>"603215"</f>
        <v>603215</v>
      </c>
      <c r="B4045" t="s">
        <v>4397</v>
      </c>
      <c r="C4045">
        <v>42.56</v>
      </c>
      <c r="D4045">
        <v>31.68</v>
      </c>
      <c r="E4045">
        <v>12.15</v>
      </c>
      <c r="F4045">
        <v>1.88</v>
      </c>
      <c r="G4045">
        <v>1.87</v>
      </c>
      <c r="H4045">
        <v>16630</v>
      </c>
      <c r="I4045">
        <v>3.55</v>
      </c>
      <c r="J4045">
        <v>44.37</v>
      </c>
      <c r="K4045" t="s">
        <v>660</v>
      </c>
    </row>
    <row r="4046" spans="1:11">
      <c r="A4046" t="str">
        <f>"603216"</f>
        <v>603216</v>
      </c>
      <c r="B4046" t="s">
        <v>4398</v>
      </c>
      <c r="C4046">
        <v>101.08</v>
      </c>
      <c r="D4046">
        <v>22.81</v>
      </c>
      <c r="E4046">
        <v>17.92</v>
      </c>
      <c r="F4046">
        <v>2.23</v>
      </c>
      <c r="G4046">
        <v>2.23</v>
      </c>
      <c r="H4046">
        <v>11320</v>
      </c>
      <c r="I4046">
        <v>5.64</v>
      </c>
      <c r="J4046">
        <v>134.65</v>
      </c>
      <c r="K4046" t="s">
        <v>540</v>
      </c>
    </row>
    <row r="4047" spans="1:11">
      <c r="A4047" t="str">
        <f>"603217"</f>
        <v>603217</v>
      </c>
      <c r="B4047" t="s">
        <v>4399</v>
      </c>
      <c r="C4047">
        <v>52.71</v>
      </c>
      <c r="D4047">
        <v>50.78</v>
      </c>
      <c r="E4047">
        <v>33.6</v>
      </c>
      <c r="F4047">
        <v>2.08</v>
      </c>
      <c r="G4047">
        <v>2.08</v>
      </c>
      <c r="H4047">
        <v>10689</v>
      </c>
      <c r="I4047">
        <v>1.57</v>
      </c>
      <c r="J4047">
        <v>25.93</v>
      </c>
      <c r="K4047" t="s">
        <v>1201</v>
      </c>
    </row>
    <row r="4048" spans="1:11">
      <c r="A4048" t="str">
        <f>"603218"</f>
        <v>603218</v>
      </c>
      <c r="B4048" t="s">
        <v>4400</v>
      </c>
      <c r="C4048">
        <v>138.27</v>
      </c>
      <c r="D4048">
        <v>142.44</v>
      </c>
      <c r="E4048">
        <v>102.23</v>
      </c>
      <c r="F4048">
        <v>10.3</v>
      </c>
      <c r="G4048">
        <v>10.28</v>
      </c>
      <c r="H4048">
        <v>48390</v>
      </c>
      <c r="I4048">
        <v>1.36</v>
      </c>
      <c r="J4048">
        <v>23.93</v>
      </c>
      <c r="K4048" t="s">
        <v>456</v>
      </c>
    </row>
    <row r="4049" spans="1:11">
      <c r="A4049" t="str">
        <f>"603219"</f>
        <v>603219</v>
      </c>
      <c r="B4049" t="s">
        <v>4401</v>
      </c>
      <c r="C4049">
        <v>97.35</v>
      </c>
      <c r="D4049">
        <v>32.05</v>
      </c>
      <c r="E4049">
        <v>16.1</v>
      </c>
      <c r="F4049">
        <v>5.61</v>
      </c>
      <c r="G4049">
        <v>5.61</v>
      </c>
      <c r="H4049">
        <v>17461</v>
      </c>
      <c r="I4049">
        <v>6.05</v>
      </c>
      <c r="J4049">
        <v>62.34</v>
      </c>
      <c r="K4049" t="s">
        <v>2933</v>
      </c>
    </row>
    <row r="4050" spans="1:11">
      <c r="A4050" t="str">
        <f>"603220"</f>
        <v>603220</v>
      </c>
      <c r="B4050" t="s">
        <v>4402</v>
      </c>
      <c r="C4050">
        <v>107.31</v>
      </c>
      <c r="D4050">
        <v>80.16</v>
      </c>
      <c r="E4050">
        <v>20.77</v>
      </c>
      <c r="F4050">
        <v>4.34</v>
      </c>
      <c r="G4050">
        <v>4.34</v>
      </c>
      <c r="H4050">
        <v>66084</v>
      </c>
      <c r="I4050">
        <v>5.39</v>
      </c>
      <c r="J4050">
        <v>94.64</v>
      </c>
      <c r="K4050" t="s">
        <v>1698</v>
      </c>
    </row>
    <row r="4051" spans="1:11">
      <c r="A4051" t="str">
        <f>"603221"</f>
        <v>603221</v>
      </c>
      <c r="B4051" t="s">
        <v>4403</v>
      </c>
      <c r="C4051">
        <v>32.32</v>
      </c>
      <c r="D4051">
        <v>25.17</v>
      </c>
      <c r="E4051">
        <v>16.07</v>
      </c>
      <c r="F4051">
        <v>2.45</v>
      </c>
      <c r="G4051">
        <v>2.42</v>
      </c>
      <c r="H4051">
        <v>16185</v>
      </c>
      <c r="I4051">
        <v>2.03</v>
      </c>
      <c r="J4051">
        <v>113.42</v>
      </c>
      <c r="K4051" t="s">
        <v>540</v>
      </c>
    </row>
    <row r="4052" spans="1:11">
      <c r="A4052" t="str">
        <f>"603222"</f>
        <v>603222</v>
      </c>
      <c r="B4052" t="s">
        <v>4404</v>
      </c>
      <c r="C4052">
        <v>51.25</v>
      </c>
      <c r="D4052">
        <v>24.96</v>
      </c>
      <c r="E4052">
        <v>13.99</v>
      </c>
      <c r="F4052">
        <v>5.25</v>
      </c>
      <c r="G4052">
        <v>5.25</v>
      </c>
      <c r="H4052">
        <v>58116</v>
      </c>
      <c r="I4052">
        <v>3.66</v>
      </c>
      <c r="J4052" t="s">
        <v>14</v>
      </c>
      <c r="K4052" t="s">
        <v>1173</v>
      </c>
    </row>
    <row r="4053" spans="1:11">
      <c r="A4053" t="str">
        <f>"603223"</f>
        <v>603223</v>
      </c>
      <c r="B4053" t="s">
        <v>4405</v>
      </c>
      <c r="C4053">
        <v>71.28</v>
      </c>
      <c r="D4053">
        <v>53.97</v>
      </c>
      <c r="E4053">
        <v>39.35</v>
      </c>
      <c r="F4053">
        <v>7.14</v>
      </c>
      <c r="G4053">
        <v>7.14</v>
      </c>
      <c r="H4053">
        <v>15308</v>
      </c>
      <c r="I4053">
        <v>1.81</v>
      </c>
      <c r="J4053">
        <v>30.38</v>
      </c>
      <c r="K4053" t="s">
        <v>4406</v>
      </c>
    </row>
    <row r="4054" spans="1:11">
      <c r="A4054" t="str">
        <f>"603225"</f>
        <v>603225</v>
      </c>
      <c r="B4054" t="s">
        <v>4407</v>
      </c>
      <c r="C4054">
        <v>325.86</v>
      </c>
      <c r="D4054">
        <v>599.85</v>
      </c>
      <c r="E4054">
        <v>177.89</v>
      </c>
      <c r="F4054">
        <v>15.25</v>
      </c>
      <c r="G4054">
        <v>15.16</v>
      </c>
      <c r="H4054">
        <v>18168</v>
      </c>
      <c r="I4054">
        <v>1.87</v>
      </c>
      <c r="J4054">
        <v>28.29</v>
      </c>
      <c r="K4054" t="s">
        <v>122</v>
      </c>
    </row>
    <row r="4055" spans="1:11">
      <c r="A4055" t="str">
        <f>"603226"</f>
        <v>603226</v>
      </c>
      <c r="B4055" t="s">
        <v>4408</v>
      </c>
      <c r="C4055">
        <v>111.23</v>
      </c>
      <c r="D4055">
        <v>13.3</v>
      </c>
      <c r="E4055">
        <v>9.08</v>
      </c>
      <c r="F4055">
        <v>3.55</v>
      </c>
      <c r="G4055">
        <v>3.55</v>
      </c>
      <c r="H4055">
        <v>8466</v>
      </c>
      <c r="I4055">
        <v>12.25</v>
      </c>
      <c r="J4055" t="s">
        <v>14</v>
      </c>
      <c r="K4055" t="s">
        <v>540</v>
      </c>
    </row>
    <row r="4056" spans="1:11">
      <c r="A4056" t="str">
        <f>"603227"</f>
        <v>603227</v>
      </c>
      <c r="B4056" t="s">
        <v>4409</v>
      </c>
      <c r="C4056">
        <v>90.24</v>
      </c>
      <c r="D4056">
        <v>83.56</v>
      </c>
      <c r="E4056">
        <v>50.85</v>
      </c>
      <c r="F4056">
        <v>10.72</v>
      </c>
      <c r="G4056">
        <v>10.72</v>
      </c>
      <c r="H4056">
        <v>43638</v>
      </c>
      <c r="I4056">
        <v>1.77</v>
      </c>
      <c r="J4056">
        <v>17.19</v>
      </c>
      <c r="K4056" t="s">
        <v>793</v>
      </c>
    </row>
    <row r="4057" spans="1:11">
      <c r="A4057" t="str">
        <f>"603228"</f>
        <v>603228</v>
      </c>
      <c r="B4057" t="s">
        <v>4410</v>
      </c>
      <c r="C4057">
        <v>699.13</v>
      </c>
      <c r="D4057">
        <v>227.58</v>
      </c>
      <c r="E4057">
        <v>127.64</v>
      </c>
      <c r="F4057">
        <v>9.85</v>
      </c>
      <c r="G4057">
        <v>9.76</v>
      </c>
      <c r="H4057">
        <v>50248</v>
      </c>
      <c r="I4057">
        <v>5.53</v>
      </c>
      <c r="J4057">
        <v>55.82</v>
      </c>
      <c r="K4057" t="s">
        <v>472</v>
      </c>
    </row>
    <row r="4058" spans="1:11">
      <c r="A4058" t="str">
        <f>"603229"</f>
        <v>603229</v>
      </c>
      <c r="B4058" t="s">
        <v>4411</v>
      </c>
      <c r="C4058">
        <v>84.36</v>
      </c>
      <c r="D4058">
        <v>30.6</v>
      </c>
      <c r="E4058">
        <v>23.47</v>
      </c>
      <c r="F4058">
        <v>8.3</v>
      </c>
      <c r="G4058">
        <v>8.3</v>
      </c>
      <c r="H4058">
        <v>31998</v>
      </c>
      <c r="I4058">
        <v>3.59</v>
      </c>
      <c r="J4058">
        <v>30.56</v>
      </c>
      <c r="K4058" t="s">
        <v>404</v>
      </c>
    </row>
    <row r="4059" spans="1:11">
      <c r="A4059" t="str">
        <f>"603230"</f>
        <v>603230</v>
      </c>
      <c r="B4059" t="s">
        <v>4412</v>
      </c>
      <c r="C4059">
        <v>46.17</v>
      </c>
      <c r="D4059">
        <v>47.15</v>
      </c>
      <c r="E4059">
        <v>27.95</v>
      </c>
      <c r="F4059">
        <v>3.54</v>
      </c>
      <c r="G4059">
        <v>3.54</v>
      </c>
      <c r="H4059">
        <v>16463</v>
      </c>
      <c r="I4059">
        <v>1.65</v>
      </c>
      <c r="J4059">
        <v>17.19</v>
      </c>
      <c r="K4059" t="s">
        <v>381</v>
      </c>
    </row>
    <row r="4060" spans="1:11">
      <c r="A4060" t="str">
        <f>"603231"</f>
        <v>603231</v>
      </c>
      <c r="B4060" t="s">
        <v>4413</v>
      </c>
      <c r="C4060">
        <v>20.28</v>
      </c>
      <c r="D4060">
        <v>21.74</v>
      </c>
      <c r="E4060">
        <v>19.64</v>
      </c>
      <c r="F4060">
        <v>1.91</v>
      </c>
      <c r="G4060">
        <v>1.06</v>
      </c>
      <c r="H4060">
        <v>16513</v>
      </c>
      <c r="I4060">
        <v>1.86</v>
      </c>
      <c r="J4060">
        <v>18.68</v>
      </c>
      <c r="K4060" t="s">
        <v>37</v>
      </c>
    </row>
    <row r="4061" spans="1:11">
      <c r="A4061" t="str">
        <f>"603232"</f>
        <v>603232</v>
      </c>
      <c r="B4061" t="s">
        <v>4414</v>
      </c>
      <c r="C4061">
        <v>62.82</v>
      </c>
      <c r="D4061">
        <v>15.78</v>
      </c>
      <c r="E4061">
        <v>13.46</v>
      </c>
      <c r="F4061">
        <v>2.34</v>
      </c>
      <c r="G4061">
        <v>2.31</v>
      </c>
      <c r="H4061">
        <v>30301</v>
      </c>
      <c r="I4061">
        <v>4.73</v>
      </c>
      <c r="J4061" t="s">
        <v>14</v>
      </c>
      <c r="K4061" t="s">
        <v>17</v>
      </c>
    </row>
    <row r="4062" spans="1:11">
      <c r="A4062" t="str">
        <f>"603233"</f>
        <v>603233</v>
      </c>
      <c r="B4062" t="s">
        <v>4415</v>
      </c>
      <c r="C4062">
        <v>213.42</v>
      </c>
      <c r="D4062">
        <v>260.82</v>
      </c>
      <c r="E4062">
        <v>72.3</v>
      </c>
      <c r="F4062">
        <v>11.39</v>
      </c>
      <c r="G4062">
        <v>11.39</v>
      </c>
      <c r="H4062">
        <v>28590</v>
      </c>
      <c r="I4062">
        <v>3.03</v>
      </c>
      <c r="J4062">
        <v>14.81</v>
      </c>
      <c r="K4062" t="s">
        <v>1507</v>
      </c>
    </row>
    <row r="4063" spans="1:11">
      <c r="A4063" t="str">
        <f>"603235"</f>
        <v>603235</v>
      </c>
      <c r="B4063" t="s">
        <v>4416</v>
      </c>
      <c r="C4063">
        <v>118.81</v>
      </c>
      <c r="D4063">
        <v>59.34</v>
      </c>
      <c r="E4063">
        <v>47.85</v>
      </c>
      <c r="F4063">
        <v>4.38</v>
      </c>
      <c r="G4063">
        <v>4.38</v>
      </c>
      <c r="H4063">
        <v>13195</v>
      </c>
      <c r="I4063">
        <v>2.48</v>
      </c>
      <c r="J4063">
        <v>19.36</v>
      </c>
      <c r="K4063" t="s">
        <v>404</v>
      </c>
    </row>
    <row r="4064" spans="1:11">
      <c r="A4064" t="str">
        <f>"603236"</f>
        <v>603236</v>
      </c>
      <c r="B4064" t="s">
        <v>4417</v>
      </c>
      <c r="C4064">
        <v>267.7</v>
      </c>
      <c r="D4064">
        <v>146.5</v>
      </c>
      <c r="E4064">
        <v>45.23</v>
      </c>
      <c r="F4064">
        <v>2.88</v>
      </c>
      <c r="G4064">
        <v>2.62</v>
      </c>
      <c r="H4064">
        <v>42375</v>
      </c>
      <c r="I4064">
        <v>5.92</v>
      </c>
      <c r="J4064">
        <v>30.11</v>
      </c>
      <c r="K4064" t="s">
        <v>770</v>
      </c>
    </row>
    <row r="4065" spans="1:11">
      <c r="A4065" t="str">
        <f>"603237"</f>
        <v>603237</v>
      </c>
      <c r="B4065" t="s">
        <v>4418</v>
      </c>
      <c r="C4065">
        <v>33.15</v>
      </c>
      <c r="D4065">
        <v>24.02</v>
      </c>
      <c r="E4065">
        <v>17.65</v>
      </c>
      <c r="F4065">
        <v>1.97</v>
      </c>
      <c r="G4065">
        <v>1.96</v>
      </c>
      <c r="H4065">
        <v>15521</v>
      </c>
      <c r="I4065">
        <v>1.89</v>
      </c>
      <c r="J4065">
        <v>14.29</v>
      </c>
      <c r="K4065" t="s">
        <v>376</v>
      </c>
    </row>
    <row r="4066" spans="1:11">
      <c r="A4066" t="str">
        <f>"603238"</f>
        <v>603238</v>
      </c>
      <c r="B4066" t="s">
        <v>4419</v>
      </c>
      <c r="C4066">
        <v>32.52</v>
      </c>
      <c r="D4066">
        <v>31.88</v>
      </c>
      <c r="E4066">
        <v>14.43</v>
      </c>
      <c r="F4066">
        <v>1.78</v>
      </c>
      <c r="G4066">
        <v>1.78</v>
      </c>
      <c r="H4066">
        <v>10366</v>
      </c>
      <c r="I4066">
        <v>2.25</v>
      </c>
      <c r="J4066">
        <v>25.42</v>
      </c>
      <c r="K4066" t="s">
        <v>577</v>
      </c>
    </row>
    <row r="4067" spans="1:11">
      <c r="A4067" t="str">
        <f>"603239"</f>
        <v>603239</v>
      </c>
      <c r="B4067" t="s">
        <v>4420</v>
      </c>
      <c r="C4067">
        <v>58.18</v>
      </c>
      <c r="D4067">
        <v>16.55</v>
      </c>
      <c r="E4067">
        <v>12.54</v>
      </c>
      <c r="F4067">
        <v>2.71</v>
      </c>
      <c r="G4067">
        <v>2.71</v>
      </c>
      <c r="H4067">
        <v>22848</v>
      </c>
      <c r="I4067">
        <v>4.64</v>
      </c>
      <c r="J4067">
        <v>28.77</v>
      </c>
      <c r="K4067" t="s">
        <v>356</v>
      </c>
    </row>
    <row r="4068" spans="1:11">
      <c r="A4068" t="str">
        <f>"603248"</f>
        <v>603248</v>
      </c>
      <c r="B4068" t="s">
        <v>4421</v>
      </c>
      <c r="C4068">
        <v>15.73</v>
      </c>
      <c r="D4068">
        <v>21.38</v>
      </c>
      <c r="E4068">
        <v>13.43</v>
      </c>
      <c r="F4068">
        <v>4.6</v>
      </c>
      <c r="G4068">
        <v>0.69</v>
      </c>
      <c r="H4068">
        <v>106245</v>
      </c>
      <c r="I4068">
        <v>4.6</v>
      </c>
      <c r="J4068">
        <v>48.47</v>
      </c>
      <c r="K4068" t="s">
        <v>456</v>
      </c>
    </row>
    <row r="4069" spans="1:11">
      <c r="A4069" t="str">
        <f>"603255"</f>
        <v>603255</v>
      </c>
      <c r="B4069" t="s">
        <v>4422</v>
      </c>
      <c r="C4069">
        <v>18.97</v>
      </c>
      <c r="D4069">
        <v>60.78</v>
      </c>
      <c r="E4069">
        <v>15.88</v>
      </c>
      <c r="F4069">
        <v>1.35</v>
      </c>
      <c r="G4069">
        <v>0.61</v>
      </c>
      <c r="H4069">
        <v>5778</v>
      </c>
      <c r="I4069">
        <v>2.65</v>
      </c>
      <c r="J4069">
        <v>347.1</v>
      </c>
      <c r="K4069" t="s">
        <v>1529</v>
      </c>
    </row>
    <row r="4070" spans="1:11">
      <c r="A4070" t="str">
        <f>"603256"</f>
        <v>603256</v>
      </c>
      <c r="B4070" t="s">
        <v>4423</v>
      </c>
      <c r="C4070">
        <v>317.41</v>
      </c>
      <c r="D4070">
        <v>28.51</v>
      </c>
      <c r="E4070">
        <v>15.87</v>
      </c>
      <c r="F4070">
        <v>8.8</v>
      </c>
      <c r="G4070">
        <v>8.8</v>
      </c>
      <c r="H4070">
        <v>52431</v>
      </c>
      <c r="I4070">
        <v>20</v>
      </c>
      <c r="J4070">
        <v>171.5</v>
      </c>
      <c r="K4070" t="s">
        <v>842</v>
      </c>
    </row>
    <row r="4071" spans="1:11">
      <c r="A4071" t="str">
        <f>"603257"</f>
        <v>603257</v>
      </c>
      <c r="B4071" t="s">
        <v>4424</v>
      </c>
      <c r="C4071">
        <v>14.65</v>
      </c>
      <c r="D4071">
        <v>53.45</v>
      </c>
      <c r="E4071">
        <v>24.44</v>
      </c>
      <c r="F4071">
        <v>1.2</v>
      </c>
      <c r="G4071">
        <v>0.25</v>
      </c>
      <c r="H4071">
        <v>23744</v>
      </c>
      <c r="I4071">
        <v>2.89</v>
      </c>
      <c r="J4071">
        <v>59.94</v>
      </c>
      <c r="K4071" t="s">
        <v>428</v>
      </c>
    </row>
    <row r="4072" spans="1:11">
      <c r="A4072" t="str">
        <f>"603258"</f>
        <v>603258</v>
      </c>
      <c r="B4072" t="s">
        <v>4425</v>
      </c>
      <c r="C4072">
        <v>49.91</v>
      </c>
      <c r="D4072">
        <v>24.83</v>
      </c>
      <c r="E4072">
        <v>21.72</v>
      </c>
      <c r="F4072">
        <v>2.44</v>
      </c>
      <c r="G4072">
        <v>2.41</v>
      </c>
      <c r="H4072">
        <v>26823</v>
      </c>
      <c r="I4072">
        <v>2.32</v>
      </c>
      <c r="J4072" t="s">
        <v>14</v>
      </c>
      <c r="K4072" t="s">
        <v>950</v>
      </c>
    </row>
    <row r="4073" spans="1:11">
      <c r="A4073" t="str">
        <f>"603259"</f>
        <v>603259</v>
      </c>
      <c r="B4073" t="s">
        <v>4426</v>
      </c>
      <c r="C4073">
        <v>2557.37</v>
      </c>
      <c r="D4073">
        <v>946.06</v>
      </c>
      <c r="E4073">
        <v>709.48</v>
      </c>
      <c r="F4073">
        <v>29.84</v>
      </c>
      <c r="G4073">
        <v>24.73</v>
      </c>
      <c r="H4073">
        <v>274117</v>
      </c>
      <c r="I4073">
        <v>4.32</v>
      </c>
      <c r="J4073">
        <v>19.16</v>
      </c>
      <c r="K4073" t="s">
        <v>1595</v>
      </c>
    </row>
    <row r="4074" spans="1:11">
      <c r="A4074" t="str">
        <f>"603260"</f>
        <v>603260</v>
      </c>
      <c r="B4074" t="s">
        <v>4427</v>
      </c>
      <c r="C4074">
        <v>632.95</v>
      </c>
      <c r="D4074">
        <v>861.48</v>
      </c>
      <c r="E4074">
        <v>320.1</v>
      </c>
      <c r="F4074">
        <v>11.82</v>
      </c>
      <c r="G4074">
        <v>11.82</v>
      </c>
      <c r="H4074">
        <v>50880</v>
      </c>
      <c r="I4074">
        <v>1.98</v>
      </c>
      <c r="J4074" t="s">
        <v>14</v>
      </c>
      <c r="K4074" t="s">
        <v>993</v>
      </c>
    </row>
    <row r="4075" spans="1:11">
      <c r="A4075" t="str">
        <f>"603261"</f>
        <v>603261</v>
      </c>
      <c r="B4075" t="s">
        <v>4428</v>
      </c>
      <c r="C4075">
        <v>20.91</v>
      </c>
      <c r="D4075">
        <v>10.69</v>
      </c>
      <c r="E4075">
        <v>6.75</v>
      </c>
      <c r="F4075">
        <v>0.78</v>
      </c>
      <c r="G4075">
        <v>0.78</v>
      </c>
      <c r="H4075">
        <v>7327</v>
      </c>
      <c r="I4075">
        <v>3.11</v>
      </c>
      <c r="J4075" t="s">
        <v>14</v>
      </c>
      <c r="K4075" t="s">
        <v>353</v>
      </c>
    </row>
    <row r="4076" spans="1:11">
      <c r="A4076" t="str">
        <f>"603262"</f>
        <v>603262</v>
      </c>
      <c r="B4076" t="s">
        <v>4429</v>
      </c>
      <c r="C4076">
        <v>11.27</v>
      </c>
      <c r="D4076">
        <v>18.12</v>
      </c>
      <c r="E4076">
        <v>15.34</v>
      </c>
      <c r="F4076">
        <v>4</v>
      </c>
      <c r="G4076">
        <v>0.39</v>
      </c>
      <c r="H4076">
        <v>22826</v>
      </c>
      <c r="I4076">
        <v>7.57</v>
      </c>
      <c r="J4076">
        <v>74.75</v>
      </c>
      <c r="K4076" t="s">
        <v>1409</v>
      </c>
    </row>
    <row r="4077" spans="1:11">
      <c r="A4077" t="str">
        <f>"603266"</f>
        <v>603266</v>
      </c>
      <c r="B4077" t="s">
        <v>4430</v>
      </c>
      <c r="C4077">
        <v>44.99</v>
      </c>
      <c r="D4077">
        <v>21.19</v>
      </c>
      <c r="E4077">
        <v>15.7</v>
      </c>
      <c r="F4077">
        <v>1.99</v>
      </c>
      <c r="G4077">
        <v>1.99</v>
      </c>
      <c r="H4077">
        <v>23613</v>
      </c>
      <c r="I4077">
        <v>2.86</v>
      </c>
      <c r="J4077">
        <v>40.8</v>
      </c>
      <c r="K4077" t="s">
        <v>517</v>
      </c>
    </row>
    <row r="4078" spans="1:11">
      <c r="A4078" t="str">
        <f>"603267"</f>
        <v>603267</v>
      </c>
      <c r="B4078" t="s">
        <v>4431</v>
      </c>
      <c r="C4078">
        <v>128.27</v>
      </c>
      <c r="D4078">
        <v>54.22</v>
      </c>
      <c r="E4078">
        <v>43.94</v>
      </c>
      <c r="F4078">
        <v>2.31</v>
      </c>
      <c r="G4078">
        <v>2.31</v>
      </c>
      <c r="H4078">
        <v>27843</v>
      </c>
      <c r="I4078">
        <v>2.92</v>
      </c>
      <c r="J4078">
        <v>43.26</v>
      </c>
      <c r="K4078" t="s">
        <v>223</v>
      </c>
    </row>
    <row r="4079" spans="1:11">
      <c r="A4079" t="str">
        <f>"603268"</f>
        <v>603268</v>
      </c>
      <c r="B4079" t="s">
        <v>4432</v>
      </c>
      <c r="C4079">
        <v>109.52</v>
      </c>
      <c r="D4079">
        <v>434.19</v>
      </c>
      <c r="E4079">
        <v>80.68</v>
      </c>
      <c r="F4079">
        <v>9.71</v>
      </c>
      <c r="G4079">
        <v>1.24</v>
      </c>
      <c r="H4079">
        <v>6539</v>
      </c>
      <c r="I4079">
        <v>10.61</v>
      </c>
      <c r="J4079">
        <v>50.51</v>
      </c>
      <c r="K4079" t="s">
        <v>1816</v>
      </c>
    </row>
    <row r="4080" spans="1:11">
      <c r="A4080" t="str">
        <f>"603269"</f>
        <v>603269</v>
      </c>
      <c r="B4080" t="s">
        <v>4433</v>
      </c>
      <c r="C4080">
        <v>41.13</v>
      </c>
      <c r="D4080">
        <v>36.52</v>
      </c>
      <c r="E4080">
        <v>9.53</v>
      </c>
      <c r="F4080">
        <v>3.09</v>
      </c>
      <c r="G4080">
        <v>3.09</v>
      </c>
      <c r="H4080">
        <v>25369</v>
      </c>
      <c r="I4080">
        <v>4.32</v>
      </c>
      <c r="J4080">
        <v>60.21</v>
      </c>
      <c r="K4080" t="s">
        <v>744</v>
      </c>
    </row>
    <row r="4081" spans="1:11">
      <c r="A4081" t="str">
        <f>"603270"</f>
        <v>603270</v>
      </c>
      <c r="B4081" t="s">
        <v>4434</v>
      </c>
      <c r="C4081">
        <v>18.66</v>
      </c>
      <c r="D4081">
        <v>42.72</v>
      </c>
      <c r="E4081">
        <v>22.47</v>
      </c>
      <c r="F4081">
        <v>2.19</v>
      </c>
      <c r="G4081">
        <v>0.71</v>
      </c>
      <c r="H4081">
        <v>21014</v>
      </c>
      <c r="I4081">
        <v>2.57</v>
      </c>
      <c r="J4081">
        <v>39.95</v>
      </c>
      <c r="K4081" t="s">
        <v>63</v>
      </c>
    </row>
    <row r="4082" spans="1:11">
      <c r="A4082" t="str">
        <f>"603271"</f>
        <v>603271</v>
      </c>
      <c r="B4082" t="s">
        <v>4435</v>
      </c>
      <c r="C4082">
        <v>15.86</v>
      </c>
      <c r="D4082">
        <v>48.21</v>
      </c>
      <c r="E4082">
        <v>28.17</v>
      </c>
      <c r="F4082">
        <v>1.97</v>
      </c>
      <c r="G4082">
        <v>0.39</v>
      </c>
      <c r="H4082">
        <v>19358</v>
      </c>
      <c r="I4082">
        <v>2.81</v>
      </c>
      <c r="J4082">
        <v>19.27</v>
      </c>
      <c r="K4082" t="s">
        <v>288</v>
      </c>
    </row>
    <row r="4083" spans="1:11">
      <c r="A4083" t="str">
        <f>"603272"</f>
        <v>603272</v>
      </c>
      <c r="B4083" t="s">
        <v>4436</v>
      </c>
      <c r="C4083">
        <v>21.9</v>
      </c>
      <c r="D4083">
        <v>6.51</v>
      </c>
      <c r="E4083">
        <v>5.58</v>
      </c>
      <c r="F4083">
        <v>1.04</v>
      </c>
      <c r="G4083">
        <v>1.04</v>
      </c>
      <c r="H4083">
        <v>5866</v>
      </c>
      <c r="I4083">
        <v>3.92</v>
      </c>
      <c r="J4083">
        <v>748.47</v>
      </c>
      <c r="K4083" t="s">
        <v>625</v>
      </c>
    </row>
    <row r="4084" spans="1:11">
      <c r="A4084" t="str">
        <f>"603273"</f>
        <v>603273</v>
      </c>
      <c r="B4084" t="s">
        <v>4437</v>
      </c>
      <c r="C4084">
        <v>11.51</v>
      </c>
      <c r="D4084">
        <v>12.98</v>
      </c>
      <c r="E4084">
        <v>8.8</v>
      </c>
      <c r="F4084">
        <v>2.14</v>
      </c>
      <c r="G4084">
        <v>0.56</v>
      </c>
      <c r="H4084">
        <v>20596</v>
      </c>
      <c r="I4084">
        <v>5</v>
      </c>
      <c r="J4084">
        <v>169.1</v>
      </c>
      <c r="K4084" t="s">
        <v>493</v>
      </c>
    </row>
    <row r="4085" spans="1:11">
      <c r="A4085" t="str">
        <f>"603275"</f>
        <v>603275</v>
      </c>
      <c r="B4085" t="s">
        <v>4438</v>
      </c>
      <c r="C4085">
        <v>20.42</v>
      </c>
      <c r="D4085">
        <v>33.22</v>
      </c>
      <c r="E4085">
        <v>29.26</v>
      </c>
      <c r="F4085">
        <v>1.49</v>
      </c>
      <c r="G4085">
        <v>0.42</v>
      </c>
      <c r="H4085">
        <v>12071</v>
      </c>
      <c r="I4085">
        <v>2.5</v>
      </c>
      <c r="J4085">
        <v>39.16</v>
      </c>
      <c r="K4085" t="s">
        <v>663</v>
      </c>
    </row>
    <row r="4086" spans="1:11">
      <c r="A4086" t="str">
        <f>"603276"</f>
        <v>603276</v>
      </c>
      <c r="B4086" t="s">
        <v>4439</v>
      </c>
      <c r="C4086">
        <v>13.12</v>
      </c>
      <c r="D4086">
        <v>18.97</v>
      </c>
      <c r="E4086">
        <v>17.43</v>
      </c>
      <c r="F4086">
        <v>2.08</v>
      </c>
      <c r="G4086">
        <v>0.76</v>
      </c>
      <c r="H4086">
        <v>12126</v>
      </c>
      <c r="I4086">
        <v>2.07</v>
      </c>
      <c r="J4086">
        <v>66.71</v>
      </c>
      <c r="K4086" t="s">
        <v>1201</v>
      </c>
    </row>
    <row r="4087" spans="1:11">
      <c r="A4087" t="str">
        <f>"603277"</f>
        <v>603277</v>
      </c>
      <c r="B4087" t="s">
        <v>4440</v>
      </c>
      <c r="C4087">
        <v>100.3</v>
      </c>
      <c r="D4087">
        <v>46.81</v>
      </c>
      <c r="E4087">
        <v>28.46</v>
      </c>
      <c r="F4087">
        <v>6.14</v>
      </c>
      <c r="G4087">
        <v>6.1</v>
      </c>
      <c r="H4087">
        <v>11257</v>
      </c>
      <c r="I4087">
        <v>3.55</v>
      </c>
      <c r="J4087">
        <v>16.21</v>
      </c>
      <c r="K4087" t="s">
        <v>203</v>
      </c>
    </row>
    <row r="4088" spans="1:11">
      <c r="A4088" t="str">
        <f>"603278"</f>
        <v>603278</v>
      </c>
      <c r="B4088" t="s">
        <v>4441</v>
      </c>
      <c r="C4088">
        <v>49.08</v>
      </c>
      <c r="D4088">
        <v>81.09</v>
      </c>
      <c r="E4088">
        <v>20.06</v>
      </c>
      <c r="F4088">
        <v>3.42</v>
      </c>
      <c r="G4088">
        <v>3.42</v>
      </c>
      <c r="H4088">
        <v>68849</v>
      </c>
      <c r="I4088">
        <v>2.45</v>
      </c>
      <c r="J4088">
        <v>157.47</v>
      </c>
      <c r="K4088" t="s">
        <v>63</v>
      </c>
    </row>
    <row r="4089" spans="1:11">
      <c r="A4089" t="str">
        <f>"603279"</f>
        <v>603279</v>
      </c>
      <c r="B4089" t="s">
        <v>4442</v>
      </c>
      <c r="C4089">
        <v>96.25</v>
      </c>
      <c r="D4089">
        <v>92.55</v>
      </c>
      <c r="E4089">
        <v>47.2</v>
      </c>
      <c r="F4089">
        <v>5.76</v>
      </c>
      <c r="G4089">
        <v>5.76</v>
      </c>
      <c r="H4089">
        <v>20385</v>
      </c>
      <c r="I4089">
        <v>2.04</v>
      </c>
      <c r="J4089">
        <v>16.58</v>
      </c>
      <c r="K4089" t="s">
        <v>228</v>
      </c>
    </row>
    <row r="4090" spans="1:11">
      <c r="A4090" t="str">
        <f>"603280"</f>
        <v>603280</v>
      </c>
      <c r="B4090" t="s">
        <v>4443</v>
      </c>
      <c r="C4090">
        <v>11.69</v>
      </c>
      <c r="D4090">
        <v>22.31</v>
      </c>
      <c r="E4090">
        <v>13.58</v>
      </c>
      <c r="F4090">
        <v>1.08</v>
      </c>
      <c r="G4090">
        <v>0.28</v>
      </c>
      <c r="H4090">
        <v>16586</v>
      </c>
      <c r="I4090">
        <v>3.34</v>
      </c>
      <c r="J4090">
        <v>44.17</v>
      </c>
      <c r="K4090" t="s">
        <v>115</v>
      </c>
    </row>
    <row r="4091" spans="1:11">
      <c r="A4091" t="str">
        <f>"603281"</f>
        <v>603281</v>
      </c>
      <c r="B4091" t="s">
        <v>4444</v>
      </c>
      <c r="C4091">
        <v>75.71</v>
      </c>
      <c r="D4091">
        <v>52.39</v>
      </c>
      <c r="E4091">
        <v>46.99</v>
      </c>
      <c r="F4091">
        <v>3.73</v>
      </c>
      <c r="G4091">
        <v>2.52</v>
      </c>
      <c r="H4091">
        <v>19447</v>
      </c>
      <c r="I4091">
        <v>2.39</v>
      </c>
      <c r="J4091">
        <v>26.13</v>
      </c>
      <c r="K4091" t="s">
        <v>993</v>
      </c>
    </row>
    <row r="4092" spans="1:11">
      <c r="A4092" t="str">
        <f>"603282"</f>
        <v>603282</v>
      </c>
      <c r="B4092" t="s">
        <v>4445</v>
      </c>
      <c r="C4092">
        <v>14.07</v>
      </c>
      <c r="D4092">
        <v>24.33</v>
      </c>
      <c r="E4092">
        <v>13.22</v>
      </c>
      <c r="F4092">
        <v>1.34</v>
      </c>
      <c r="G4092">
        <v>0.63</v>
      </c>
      <c r="H4092">
        <v>10572</v>
      </c>
      <c r="I4092">
        <v>2.27</v>
      </c>
      <c r="J4092">
        <v>22.72</v>
      </c>
      <c r="K4092" t="s">
        <v>493</v>
      </c>
    </row>
    <row r="4093" spans="1:11">
      <c r="A4093" t="str">
        <f>"603283"</f>
        <v>603283</v>
      </c>
      <c r="B4093" t="s">
        <v>4446</v>
      </c>
      <c r="C4093">
        <v>118.75</v>
      </c>
      <c r="D4093">
        <v>58.81</v>
      </c>
      <c r="E4093">
        <v>33.01</v>
      </c>
      <c r="F4093">
        <v>2.71</v>
      </c>
      <c r="G4093">
        <v>2.71</v>
      </c>
      <c r="H4093">
        <v>48359</v>
      </c>
      <c r="I4093">
        <v>3.7</v>
      </c>
      <c r="J4093">
        <v>22.21</v>
      </c>
      <c r="K4093" t="s">
        <v>663</v>
      </c>
    </row>
    <row r="4094" spans="1:11">
      <c r="A4094" t="str">
        <f>"603285"</f>
        <v>603285</v>
      </c>
      <c r="B4094" t="s">
        <v>4447</v>
      </c>
      <c r="C4094">
        <v>17.04</v>
      </c>
      <c r="D4094">
        <v>18.19</v>
      </c>
      <c r="E4094">
        <v>16.77</v>
      </c>
      <c r="F4094">
        <v>1.6</v>
      </c>
      <c r="G4094">
        <v>0.62</v>
      </c>
      <c r="H4094">
        <v>15411</v>
      </c>
      <c r="I4094">
        <v>2.61</v>
      </c>
      <c r="J4094">
        <v>30.7</v>
      </c>
      <c r="K4094" t="s">
        <v>511</v>
      </c>
    </row>
    <row r="4095" spans="1:11">
      <c r="A4095" t="str">
        <f>"603286"</f>
        <v>603286</v>
      </c>
      <c r="B4095" t="s">
        <v>4448</v>
      </c>
      <c r="C4095">
        <v>80.36</v>
      </c>
      <c r="D4095">
        <v>18.81</v>
      </c>
      <c r="E4095">
        <v>8.41</v>
      </c>
      <c r="F4095">
        <v>1.17</v>
      </c>
      <c r="G4095">
        <v>1.15</v>
      </c>
      <c r="H4095">
        <v>15851</v>
      </c>
      <c r="I4095">
        <v>9.72</v>
      </c>
      <c r="J4095" t="s">
        <v>14</v>
      </c>
      <c r="K4095" t="s">
        <v>356</v>
      </c>
    </row>
    <row r="4096" spans="1:11">
      <c r="A4096" t="str">
        <f>"603288"</f>
        <v>603288</v>
      </c>
      <c r="B4096" t="s">
        <v>4449</v>
      </c>
      <c r="C4096">
        <v>2101.35</v>
      </c>
      <c r="D4096">
        <v>473.48</v>
      </c>
      <c r="E4096">
        <v>395.53</v>
      </c>
      <c r="F4096">
        <v>58.52</v>
      </c>
      <c r="G4096">
        <v>55.61</v>
      </c>
      <c r="H4096">
        <v>211189</v>
      </c>
      <c r="I4096">
        <v>5.59</v>
      </c>
      <c r="J4096">
        <v>31.16</v>
      </c>
      <c r="K4096" t="s">
        <v>1281</v>
      </c>
    </row>
    <row r="4097" spans="1:11">
      <c r="A4097" t="str">
        <f>"603289"</f>
        <v>603289</v>
      </c>
      <c r="B4097" t="s">
        <v>4450</v>
      </c>
      <c r="C4097">
        <v>30.45</v>
      </c>
      <c r="D4097">
        <v>29.31</v>
      </c>
      <c r="E4097">
        <v>14.67</v>
      </c>
      <c r="F4097">
        <v>2.93</v>
      </c>
      <c r="G4097">
        <v>2.93</v>
      </c>
      <c r="H4097">
        <v>15416</v>
      </c>
      <c r="I4097">
        <v>2.09</v>
      </c>
      <c r="J4097">
        <v>34.46</v>
      </c>
      <c r="K4097" t="s">
        <v>493</v>
      </c>
    </row>
    <row r="4098" spans="1:11">
      <c r="A4098" t="str">
        <f>"603290"</f>
        <v>603290</v>
      </c>
      <c r="B4098" t="s">
        <v>4451</v>
      </c>
      <c r="C4098">
        <v>240.05</v>
      </c>
      <c r="D4098">
        <v>106.06</v>
      </c>
      <c r="E4098">
        <v>69.15</v>
      </c>
      <c r="F4098">
        <v>2.39</v>
      </c>
      <c r="G4098">
        <v>2.39</v>
      </c>
      <c r="H4098">
        <v>65621</v>
      </c>
      <c r="I4098">
        <v>3.47</v>
      </c>
      <c r="J4098">
        <v>47.15</v>
      </c>
      <c r="K4098" t="s">
        <v>1852</v>
      </c>
    </row>
    <row r="4099" spans="1:11">
      <c r="A4099" t="str">
        <f>"603291"</f>
        <v>603291</v>
      </c>
      <c r="B4099" t="s">
        <v>4452</v>
      </c>
      <c r="C4099">
        <v>14.61</v>
      </c>
      <c r="D4099">
        <v>37.79</v>
      </c>
      <c r="E4099">
        <v>17.72</v>
      </c>
      <c r="F4099">
        <v>4.23</v>
      </c>
      <c r="G4099">
        <v>1.3</v>
      </c>
      <c r="H4099">
        <v>13456</v>
      </c>
      <c r="I4099">
        <v>2.68</v>
      </c>
      <c r="J4099">
        <v>58.23</v>
      </c>
      <c r="K4099" t="s">
        <v>274</v>
      </c>
    </row>
    <row r="4100" spans="1:11">
      <c r="A4100" t="str">
        <f>"603296"</f>
        <v>603296</v>
      </c>
      <c r="B4100" t="s">
        <v>4453</v>
      </c>
      <c r="C4100">
        <v>551.19</v>
      </c>
      <c r="D4100">
        <v>1027.59</v>
      </c>
      <c r="E4100">
        <v>248.7</v>
      </c>
      <c r="F4100">
        <v>10.16</v>
      </c>
      <c r="G4100">
        <v>5.71</v>
      </c>
      <c r="H4100">
        <v>46681</v>
      </c>
      <c r="I4100">
        <v>3.94</v>
      </c>
      <c r="J4100">
        <v>23.73</v>
      </c>
      <c r="K4100" t="s">
        <v>41</v>
      </c>
    </row>
    <row r="4101" spans="1:11">
      <c r="A4101" t="str">
        <f>"603297"</f>
        <v>603297</v>
      </c>
      <c r="B4101" t="s">
        <v>4454</v>
      </c>
      <c r="C4101">
        <v>125.56</v>
      </c>
      <c r="D4101">
        <v>24.11</v>
      </c>
      <c r="E4101">
        <v>19.98</v>
      </c>
      <c r="F4101">
        <v>1.11</v>
      </c>
      <c r="G4101">
        <v>1.11</v>
      </c>
      <c r="H4101">
        <v>19766</v>
      </c>
      <c r="I4101">
        <v>6.29</v>
      </c>
      <c r="J4101">
        <v>62.46</v>
      </c>
      <c r="K4101" t="s">
        <v>66</v>
      </c>
    </row>
    <row r="4102" spans="1:11">
      <c r="A4102" t="str">
        <f>"603298"</f>
        <v>603298</v>
      </c>
      <c r="B4102" t="s">
        <v>4455</v>
      </c>
      <c r="C4102">
        <v>357.58</v>
      </c>
      <c r="D4102">
        <v>188.27</v>
      </c>
      <c r="E4102">
        <v>113.88</v>
      </c>
      <c r="F4102">
        <v>13.1</v>
      </c>
      <c r="G4102">
        <v>13.1</v>
      </c>
      <c r="H4102">
        <v>18350</v>
      </c>
      <c r="I4102">
        <v>3.14</v>
      </c>
      <c r="J4102">
        <v>15.3</v>
      </c>
      <c r="K4102" t="s">
        <v>115</v>
      </c>
    </row>
    <row r="4103" spans="1:11">
      <c r="A4103" t="str">
        <f>"603299"</f>
        <v>603299</v>
      </c>
      <c r="B4103" t="s">
        <v>4456</v>
      </c>
      <c r="C4103">
        <v>83.23</v>
      </c>
      <c r="D4103">
        <v>106.71</v>
      </c>
      <c r="E4103">
        <v>61.55</v>
      </c>
      <c r="F4103">
        <v>7.82</v>
      </c>
      <c r="G4103">
        <v>7.78</v>
      </c>
      <c r="H4103">
        <v>26058</v>
      </c>
      <c r="I4103">
        <v>1.36</v>
      </c>
      <c r="J4103">
        <v>15.3</v>
      </c>
      <c r="K4103" t="s">
        <v>1781</v>
      </c>
    </row>
    <row r="4104" spans="1:11">
      <c r="A4104" t="str">
        <f>"603300"</f>
        <v>603300</v>
      </c>
      <c r="B4104" t="s">
        <v>4457</v>
      </c>
      <c r="C4104">
        <v>160.75</v>
      </c>
      <c r="D4104">
        <v>264.2</v>
      </c>
      <c r="E4104">
        <v>65.32</v>
      </c>
      <c r="F4104">
        <v>19.97</v>
      </c>
      <c r="G4104">
        <v>19.97</v>
      </c>
      <c r="H4104">
        <v>214812</v>
      </c>
      <c r="I4104">
        <v>2.46</v>
      </c>
      <c r="J4104">
        <v>22.75</v>
      </c>
      <c r="K4104" t="s">
        <v>144</v>
      </c>
    </row>
    <row r="4105" spans="1:11">
      <c r="A4105" t="str">
        <f>"603301"</f>
        <v>603301</v>
      </c>
      <c r="B4105" t="s">
        <v>4458</v>
      </c>
      <c r="C4105">
        <v>182.23</v>
      </c>
      <c r="D4105">
        <v>84.05</v>
      </c>
      <c r="E4105">
        <v>57.03</v>
      </c>
      <c r="F4105">
        <v>2.66</v>
      </c>
      <c r="G4105">
        <v>2.66</v>
      </c>
      <c r="H4105">
        <v>23562</v>
      </c>
      <c r="I4105">
        <v>3.2</v>
      </c>
      <c r="J4105">
        <v>67.26</v>
      </c>
      <c r="K4105" t="s">
        <v>1173</v>
      </c>
    </row>
    <row r="4106" spans="1:11">
      <c r="A4106" t="str">
        <f>"603303"</f>
        <v>603303</v>
      </c>
      <c r="B4106" t="s">
        <v>4459</v>
      </c>
      <c r="C4106">
        <v>65.53</v>
      </c>
      <c r="D4106">
        <v>65.65</v>
      </c>
      <c r="E4106">
        <v>31.14</v>
      </c>
      <c r="F4106">
        <v>4.77</v>
      </c>
      <c r="G4106">
        <v>4.77</v>
      </c>
      <c r="H4106">
        <v>13054</v>
      </c>
      <c r="I4106">
        <v>2.1</v>
      </c>
      <c r="J4106">
        <v>24.93</v>
      </c>
      <c r="K4106" t="s">
        <v>216</v>
      </c>
    </row>
    <row r="4107" spans="1:11">
      <c r="A4107" t="str">
        <f>"603305"</f>
        <v>603305</v>
      </c>
      <c r="B4107" t="s">
        <v>4460</v>
      </c>
      <c r="C4107">
        <v>234.38</v>
      </c>
      <c r="D4107">
        <v>133.59</v>
      </c>
      <c r="E4107">
        <v>70.35</v>
      </c>
      <c r="F4107">
        <v>11.56</v>
      </c>
      <c r="G4107">
        <v>11.56</v>
      </c>
      <c r="H4107">
        <v>54638</v>
      </c>
      <c r="I4107">
        <v>2.89</v>
      </c>
      <c r="J4107">
        <v>58.62</v>
      </c>
      <c r="K4107" t="s">
        <v>51</v>
      </c>
    </row>
    <row r="4108" spans="1:11">
      <c r="A4108" t="str">
        <f>"603306"</f>
        <v>603306</v>
      </c>
      <c r="B4108" t="s">
        <v>4461</v>
      </c>
      <c r="C4108">
        <v>200.79</v>
      </c>
      <c r="D4108">
        <v>58.65</v>
      </c>
      <c r="E4108">
        <v>33.64</v>
      </c>
      <c r="F4108">
        <v>3.29</v>
      </c>
      <c r="G4108">
        <v>3.29</v>
      </c>
      <c r="H4108">
        <v>28529</v>
      </c>
      <c r="I4108">
        <v>6.47</v>
      </c>
      <c r="J4108">
        <v>87.3</v>
      </c>
      <c r="K4108" t="s">
        <v>356</v>
      </c>
    </row>
    <row r="4109" spans="1:11">
      <c r="A4109" t="str">
        <f>"603307"</f>
        <v>603307</v>
      </c>
      <c r="B4109" t="s">
        <v>4462</v>
      </c>
      <c r="C4109">
        <v>6.93</v>
      </c>
      <c r="D4109">
        <v>17.44</v>
      </c>
      <c r="E4109">
        <v>13.96</v>
      </c>
      <c r="F4109">
        <v>0.68</v>
      </c>
      <c r="G4109">
        <v>0.17</v>
      </c>
      <c r="H4109">
        <v>5478</v>
      </c>
      <c r="I4109">
        <v>1.98</v>
      </c>
      <c r="J4109">
        <v>24.2</v>
      </c>
      <c r="K4109" t="s">
        <v>637</v>
      </c>
    </row>
    <row r="4110" spans="1:11">
      <c r="A4110" t="str">
        <f>"603308"</f>
        <v>603308</v>
      </c>
      <c r="B4110" t="s">
        <v>4463</v>
      </c>
      <c r="C4110">
        <v>310.79</v>
      </c>
      <c r="D4110">
        <v>146.62</v>
      </c>
      <c r="E4110">
        <v>50.81</v>
      </c>
      <c r="F4110">
        <v>6.79</v>
      </c>
      <c r="G4110">
        <v>6.79</v>
      </c>
      <c r="H4110">
        <v>25619</v>
      </c>
      <c r="I4110">
        <v>6.33</v>
      </c>
      <c r="J4110">
        <v>79.31</v>
      </c>
      <c r="K4110" t="s">
        <v>424</v>
      </c>
    </row>
    <row r="4111" spans="1:11">
      <c r="A4111" t="str">
        <f>"603309"</f>
        <v>603309</v>
      </c>
      <c r="B4111" t="s">
        <v>4464</v>
      </c>
      <c r="C4111">
        <v>42.47</v>
      </c>
      <c r="D4111">
        <v>29.08</v>
      </c>
      <c r="E4111">
        <v>19.35</v>
      </c>
      <c r="F4111">
        <v>2.92</v>
      </c>
      <c r="G4111">
        <v>2.92</v>
      </c>
      <c r="H4111">
        <v>18890</v>
      </c>
      <c r="I4111">
        <v>2.2</v>
      </c>
      <c r="J4111">
        <v>16.62</v>
      </c>
      <c r="K4111" t="s">
        <v>1173</v>
      </c>
    </row>
    <row r="4112" spans="1:11">
      <c r="A4112" t="str">
        <f>"603310"</f>
        <v>603310</v>
      </c>
      <c r="B4112" t="s">
        <v>4465</v>
      </c>
      <c r="C4112">
        <v>31.49</v>
      </c>
      <c r="D4112">
        <v>46.59</v>
      </c>
      <c r="E4112">
        <v>39.66</v>
      </c>
      <c r="F4112">
        <v>3.45</v>
      </c>
      <c r="G4112">
        <v>1.85</v>
      </c>
      <c r="H4112">
        <v>19794</v>
      </c>
      <c r="I4112">
        <v>1.49</v>
      </c>
      <c r="J4112">
        <v>40.71</v>
      </c>
      <c r="K4112" t="s">
        <v>1115</v>
      </c>
    </row>
    <row r="4113" spans="1:11">
      <c r="A4113" t="str">
        <f>"603311"</f>
        <v>603311</v>
      </c>
      <c r="B4113" t="s">
        <v>4466</v>
      </c>
      <c r="C4113">
        <v>34.3</v>
      </c>
      <c r="D4113">
        <v>18.02</v>
      </c>
      <c r="E4113">
        <v>13.74</v>
      </c>
      <c r="F4113">
        <v>2.36</v>
      </c>
      <c r="G4113">
        <v>2.36</v>
      </c>
      <c r="H4113">
        <v>14745</v>
      </c>
      <c r="I4113">
        <v>2.5</v>
      </c>
      <c r="J4113">
        <v>33.6</v>
      </c>
      <c r="K4113" t="s">
        <v>134</v>
      </c>
    </row>
    <row r="4114" spans="1:11">
      <c r="A4114" t="str">
        <f>"603312"</f>
        <v>603312</v>
      </c>
      <c r="B4114" t="s">
        <v>4467</v>
      </c>
      <c r="C4114">
        <v>23.96</v>
      </c>
      <c r="D4114">
        <v>29.16</v>
      </c>
      <c r="E4114">
        <v>17.19</v>
      </c>
      <c r="F4114">
        <v>1.6</v>
      </c>
      <c r="G4114">
        <v>0.51</v>
      </c>
      <c r="H4114">
        <v>11727</v>
      </c>
      <c r="I4114">
        <v>4.42</v>
      </c>
      <c r="J4114">
        <v>26.78</v>
      </c>
      <c r="K4114" t="s">
        <v>208</v>
      </c>
    </row>
    <row r="4115" spans="1:11">
      <c r="A4115" t="str">
        <f>"603313"</f>
        <v>603313</v>
      </c>
      <c r="B4115" t="s">
        <v>4468</v>
      </c>
      <c r="C4115">
        <v>52.89</v>
      </c>
      <c r="D4115">
        <v>97.85</v>
      </c>
      <c r="E4115">
        <v>36.87</v>
      </c>
      <c r="F4115">
        <v>5.71</v>
      </c>
      <c r="G4115">
        <v>5.71</v>
      </c>
      <c r="H4115">
        <v>24125</v>
      </c>
      <c r="I4115">
        <v>1.43</v>
      </c>
      <c r="J4115">
        <v>24.65</v>
      </c>
      <c r="K4115" t="s">
        <v>540</v>
      </c>
    </row>
    <row r="4116" spans="1:11">
      <c r="A4116" t="str">
        <f>"603315"</f>
        <v>603315</v>
      </c>
      <c r="B4116" t="s">
        <v>4469</v>
      </c>
      <c r="C4116">
        <v>47.89</v>
      </c>
      <c r="D4116">
        <v>31.85</v>
      </c>
      <c r="E4116">
        <v>16.99</v>
      </c>
      <c r="F4116">
        <v>3.2</v>
      </c>
      <c r="G4116">
        <v>3.2</v>
      </c>
      <c r="H4116">
        <v>19871</v>
      </c>
      <c r="I4116">
        <v>2.82</v>
      </c>
      <c r="J4116">
        <v>83.73</v>
      </c>
      <c r="K4116" t="s">
        <v>1330</v>
      </c>
    </row>
    <row r="4117" spans="1:11">
      <c r="A4117" t="str">
        <f>"603316"</f>
        <v>603316</v>
      </c>
      <c r="B4117" t="s">
        <v>4470</v>
      </c>
      <c r="C4117">
        <v>40.22</v>
      </c>
      <c r="D4117">
        <v>26.27</v>
      </c>
      <c r="E4117">
        <v>6.42</v>
      </c>
      <c r="F4117">
        <v>2.64</v>
      </c>
      <c r="G4117">
        <v>2.64</v>
      </c>
      <c r="H4117">
        <v>27323</v>
      </c>
      <c r="I4117">
        <v>6.27</v>
      </c>
      <c r="J4117" t="s">
        <v>14</v>
      </c>
      <c r="K4117" t="s">
        <v>26</v>
      </c>
    </row>
    <row r="4118" spans="1:11">
      <c r="A4118" t="str">
        <f>"603317"</f>
        <v>603317</v>
      </c>
      <c r="B4118" t="s">
        <v>4471</v>
      </c>
      <c r="C4118">
        <v>135.33</v>
      </c>
      <c r="D4118">
        <v>57.45</v>
      </c>
      <c r="E4118">
        <v>43.9</v>
      </c>
      <c r="F4118">
        <v>10.65</v>
      </c>
      <c r="G4118">
        <v>10.65</v>
      </c>
      <c r="H4118">
        <v>31730</v>
      </c>
      <c r="I4118">
        <v>3.08</v>
      </c>
      <c r="J4118">
        <v>25.88</v>
      </c>
      <c r="K4118" t="s">
        <v>1281</v>
      </c>
    </row>
    <row r="4119" spans="1:11">
      <c r="A4119" t="str">
        <f>"603318"</f>
        <v>603318</v>
      </c>
      <c r="B4119" t="s">
        <v>4472</v>
      </c>
      <c r="C4119">
        <v>31.86</v>
      </c>
      <c r="D4119">
        <v>43.95</v>
      </c>
      <c r="E4119">
        <v>14.2</v>
      </c>
      <c r="F4119">
        <v>4.59</v>
      </c>
      <c r="G4119">
        <v>4.59</v>
      </c>
      <c r="H4119">
        <v>28026</v>
      </c>
      <c r="I4119">
        <v>2.24</v>
      </c>
      <c r="J4119" t="s">
        <v>14</v>
      </c>
      <c r="K4119" t="s">
        <v>136</v>
      </c>
    </row>
    <row r="4120" spans="1:11">
      <c r="A4120" t="str">
        <f>"603319"</f>
        <v>603319</v>
      </c>
      <c r="B4120" t="s">
        <v>4473</v>
      </c>
      <c r="C4120">
        <v>123.48</v>
      </c>
      <c r="D4120">
        <v>40.68</v>
      </c>
      <c r="E4120">
        <v>24.81</v>
      </c>
      <c r="F4120">
        <v>3.39</v>
      </c>
      <c r="G4120">
        <v>3.39</v>
      </c>
      <c r="H4120">
        <v>26479</v>
      </c>
      <c r="I4120">
        <v>4.98</v>
      </c>
      <c r="J4120">
        <v>72.01</v>
      </c>
      <c r="K4120" t="s">
        <v>51</v>
      </c>
    </row>
    <row r="4121" spans="1:11">
      <c r="A4121" t="str">
        <f>"603320"</f>
        <v>603320</v>
      </c>
      <c r="B4121" t="s">
        <v>4474</v>
      </c>
      <c r="C4121">
        <v>28.31</v>
      </c>
      <c r="D4121">
        <v>13.84</v>
      </c>
      <c r="E4121">
        <v>11.65</v>
      </c>
      <c r="F4121">
        <v>1.49</v>
      </c>
      <c r="G4121">
        <v>1.49</v>
      </c>
      <c r="H4121">
        <v>11900</v>
      </c>
      <c r="I4121">
        <v>2.43</v>
      </c>
      <c r="J4121">
        <v>32.66</v>
      </c>
      <c r="K4121" t="s">
        <v>552</v>
      </c>
    </row>
    <row r="4122" spans="1:11">
      <c r="A4122" t="str">
        <f>"603321"</f>
        <v>603321</v>
      </c>
      <c r="B4122" t="s">
        <v>4475</v>
      </c>
      <c r="C4122">
        <v>24.84</v>
      </c>
      <c r="D4122">
        <v>20.97</v>
      </c>
      <c r="E4122">
        <v>14.4</v>
      </c>
      <c r="F4122">
        <v>3.49</v>
      </c>
      <c r="G4122">
        <v>3.03</v>
      </c>
      <c r="H4122">
        <v>14201</v>
      </c>
      <c r="I4122">
        <v>1.99</v>
      </c>
      <c r="J4122">
        <v>76.4</v>
      </c>
      <c r="K4122" t="s">
        <v>1155</v>
      </c>
    </row>
    <row r="4123" spans="1:11">
      <c r="A4123" t="str">
        <f>"603322"</f>
        <v>603322</v>
      </c>
      <c r="B4123" t="s">
        <v>4476</v>
      </c>
      <c r="C4123">
        <v>65.84</v>
      </c>
      <c r="D4123">
        <v>22.3</v>
      </c>
      <c r="E4123">
        <v>2.88</v>
      </c>
      <c r="F4123">
        <v>1.58</v>
      </c>
      <c r="G4123">
        <v>1.58</v>
      </c>
      <c r="H4123">
        <v>38666</v>
      </c>
      <c r="I4123">
        <v>22.86</v>
      </c>
      <c r="J4123">
        <v>82.47</v>
      </c>
      <c r="K4123" t="s">
        <v>520</v>
      </c>
    </row>
    <row r="4124" spans="1:11">
      <c r="A4124" t="str">
        <f>"603323"</f>
        <v>603323</v>
      </c>
      <c r="B4124" t="s">
        <v>4477</v>
      </c>
      <c r="C4124">
        <v>101.33</v>
      </c>
      <c r="D4124">
        <v>2267.49</v>
      </c>
      <c r="E4124">
        <v>186.88</v>
      </c>
      <c r="F4124">
        <v>20.19</v>
      </c>
      <c r="G4124">
        <v>20.19</v>
      </c>
      <c r="H4124">
        <v>31960</v>
      </c>
      <c r="I4124">
        <v>0.54</v>
      </c>
      <c r="J4124">
        <v>4.45</v>
      </c>
      <c r="K4124" t="s">
        <v>1581</v>
      </c>
    </row>
    <row r="4125" spans="1:11">
      <c r="A4125" t="str">
        <f>"603324"</f>
        <v>603324</v>
      </c>
      <c r="B4125" t="s">
        <v>4478</v>
      </c>
      <c r="C4125">
        <v>38.69</v>
      </c>
      <c r="D4125">
        <v>35.57</v>
      </c>
      <c r="E4125">
        <v>16.81</v>
      </c>
      <c r="F4125">
        <v>1.48</v>
      </c>
      <c r="G4125">
        <v>1.48</v>
      </c>
      <c r="H4125">
        <v>15637</v>
      </c>
      <c r="I4125">
        <v>2.3</v>
      </c>
      <c r="J4125">
        <v>94.5</v>
      </c>
      <c r="K4125" t="s">
        <v>228</v>
      </c>
    </row>
    <row r="4126" spans="1:11">
      <c r="A4126" t="str">
        <f>"603325"</f>
        <v>603325</v>
      </c>
      <c r="B4126" t="s">
        <v>4479</v>
      </c>
      <c r="C4126">
        <v>30.34</v>
      </c>
      <c r="D4126">
        <v>56.58</v>
      </c>
      <c r="E4126">
        <v>27</v>
      </c>
      <c r="F4126">
        <v>0.8</v>
      </c>
      <c r="G4126">
        <v>0.34</v>
      </c>
      <c r="H4126">
        <v>10555</v>
      </c>
      <c r="I4126">
        <v>2.63</v>
      </c>
      <c r="J4126">
        <v>16.54</v>
      </c>
      <c r="K4126" t="s">
        <v>491</v>
      </c>
    </row>
    <row r="4127" spans="1:11">
      <c r="A4127" t="str">
        <f>"603326"</f>
        <v>603326</v>
      </c>
      <c r="B4127" t="s">
        <v>4480</v>
      </c>
      <c r="C4127">
        <v>28.69</v>
      </c>
      <c r="D4127">
        <v>20.24</v>
      </c>
      <c r="E4127">
        <v>11.46</v>
      </c>
      <c r="F4127">
        <v>3.19</v>
      </c>
      <c r="G4127">
        <v>3.19</v>
      </c>
      <c r="H4127">
        <v>11879</v>
      </c>
      <c r="I4127">
        <v>2.5</v>
      </c>
      <c r="J4127">
        <v>15.63</v>
      </c>
      <c r="K4127" t="s">
        <v>540</v>
      </c>
    </row>
    <row r="4128" spans="1:11">
      <c r="A4128" t="str">
        <f>"603327"</f>
        <v>603327</v>
      </c>
      <c r="B4128" t="s">
        <v>4481</v>
      </c>
      <c r="C4128">
        <v>113.06</v>
      </c>
      <c r="D4128">
        <v>35.6</v>
      </c>
      <c r="E4128">
        <v>20.32</v>
      </c>
      <c r="F4128">
        <v>10.01</v>
      </c>
      <c r="G4128">
        <v>10.01</v>
      </c>
      <c r="H4128">
        <v>51363</v>
      </c>
      <c r="I4128">
        <v>5.64</v>
      </c>
      <c r="J4128">
        <v>104.01</v>
      </c>
      <c r="K4128" t="s">
        <v>41</v>
      </c>
    </row>
    <row r="4129" spans="1:11">
      <c r="A4129" t="str">
        <f>"603328"</f>
        <v>603328</v>
      </c>
      <c r="B4129" t="s">
        <v>4482</v>
      </c>
      <c r="C4129">
        <v>110.93</v>
      </c>
      <c r="D4129">
        <v>65.41</v>
      </c>
      <c r="E4129">
        <v>42.1</v>
      </c>
      <c r="F4129">
        <v>9.98</v>
      </c>
      <c r="G4129">
        <v>9.98</v>
      </c>
      <c r="H4129">
        <v>47786</v>
      </c>
      <c r="I4129">
        <v>2.63</v>
      </c>
      <c r="J4129">
        <v>22.69</v>
      </c>
      <c r="K4129" t="s">
        <v>472</v>
      </c>
    </row>
    <row r="4130" spans="1:11">
      <c r="A4130" t="str">
        <f>"603329"</f>
        <v>603329</v>
      </c>
      <c r="B4130" t="s">
        <v>4483</v>
      </c>
      <c r="C4130">
        <v>23.09</v>
      </c>
      <c r="D4130">
        <v>30.81</v>
      </c>
      <c r="E4130">
        <v>11.09</v>
      </c>
      <c r="F4130">
        <v>2.5</v>
      </c>
      <c r="G4130">
        <v>2.06</v>
      </c>
      <c r="H4130">
        <v>12797</v>
      </c>
      <c r="I4130">
        <v>2.08</v>
      </c>
      <c r="J4130">
        <v>81.21</v>
      </c>
      <c r="K4130" t="s">
        <v>536</v>
      </c>
    </row>
    <row r="4131" spans="1:11">
      <c r="A4131" t="str">
        <f>"603330"</f>
        <v>603330</v>
      </c>
      <c r="B4131" t="s">
        <v>4484</v>
      </c>
      <c r="C4131">
        <v>30.34</v>
      </c>
      <c r="D4131">
        <v>23</v>
      </c>
      <c r="E4131">
        <v>15.26</v>
      </c>
      <c r="F4131">
        <v>4.33</v>
      </c>
      <c r="G4131">
        <v>4.07</v>
      </c>
      <c r="H4131">
        <v>16571</v>
      </c>
      <c r="I4131">
        <v>2.11</v>
      </c>
      <c r="J4131" t="s">
        <v>14</v>
      </c>
      <c r="K4131" t="s">
        <v>1454</v>
      </c>
    </row>
    <row r="4132" spans="1:11">
      <c r="A4132" t="str">
        <f>"603331"</f>
        <v>603331</v>
      </c>
      <c r="B4132" t="s">
        <v>4485</v>
      </c>
      <c r="C4132">
        <v>27.56</v>
      </c>
      <c r="D4132">
        <v>33.17</v>
      </c>
      <c r="E4132">
        <v>13.27</v>
      </c>
      <c r="F4132">
        <v>2.02</v>
      </c>
      <c r="G4132">
        <v>2.02</v>
      </c>
      <c r="H4132">
        <v>13535</v>
      </c>
      <c r="I4132">
        <v>2.08</v>
      </c>
      <c r="J4132">
        <v>34.59</v>
      </c>
      <c r="K4132" t="s">
        <v>203</v>
      </c>
    </row>
    <row r="4133" spans="1:11">
      <c r="A4133" t="str">
        <f>"603332"</f>
        <v>603332</v>
      </c>
      <c r="B4133" t="s">
        <v>4486</v>
      </c>
      <c r="C4133">
        <v>29.4</v>
      </c>
      <c r="D4133">
        <v>15.03</v>
      </c>
      <c r="E4133">
        <v>12.76</v>
      </c>
      <c r="F4133">
        <v>2.16</v>
      </c>
      <c r="G4133">
        <v>2.16</v>
      </c>
      <c r="H4133">
        <v>26814</v>
      </c>
      <c r="I4133">
        <v>2.3</v>
      </c>
      <c r="J4133">
        <v>40.39</v>
      </c>
      <c r="K4133" t="s">
        <v>122</v>
      </c>
    </row>
    <row r="4134" spans="1:11">
      <c r="A4134" t="str">
        <f>"603333"</f>
        <v>603333</v>
      </c>
      <c r="B4134" t="s">
        <v>4487</v>
      </c>
      <c r="C4134">
        <v>52.52</v>
      </c>
      <c r="D4134">
        <v>28.59</v>
      </c>
      <c r="E4134">
        <v>20.64</v>
      </c>
      <c r="F4134">
        <v>6.22</v>
      </c>
      <c r="G4134">
        <v>6.22</v>
      </c>
      <c r="H4134">
        <v>30042</v>
      </c>
      <c r="I4134">
        <v>2.55</v>
      </c>
      <c r="J4134" t="s">
        <v>14</v>
      </c>
      <c r="K4134" t="s">
        <v>383</v>
      </c>
    </row>
    <row r="4135" spans="1:11">
      <c r="A4135" t="str">
        <f>"603334"</f>
        <v>603334</v>
      </c>
      <c r="B4135" t="s">
        <v>4488</v>
      </c>
      <c r="C4135">
        <v>16.1</v>
      </c>
      <c r="D4135">
        <v>14.36</v>
      </c>
      <c r="E4135">
        <v>8.75</v>
      </c>
      <c r="F4135">
        <v>1.44</v>
      </c>
      <c r="G4135">
        <v>0.31</v>
      </c>
      <c r="H4135">
        <v>27630</v>
      </c>
      <c r="I4135">
        <v>4.46</v>
      </c>
      <c r="J4135">
        <v>47.58</v>
      </c>
      <c r="K4135" t="s">
        <v>511</v>
      </c>
    </row>
    <row r="4136" spans="1:11">
      <c r="A4136" t="str">
        <f>"603335"</f>
        <v>603335</v>
      </c>
      <c r="B4136" t="s">
        <v>4489</v>
      </c>
      <c r="C4136">
        <v>23.55</v>
      </c>
      <c r="D4136">
        <v>12.3</v>
      </c>
      <c r="E4136">
        <v>2.16</v>
      </c>
      <c r="F4136">
        <v>4.28</v>
      </c>
      <c r="G4136">
        <v>4.28</v>
      </c>
      <c r="H4136">
        <v>29333</v>
      </c>
      <c r="I4136">
        <v>10.89</v>
      </c>
      <c r="J4136" t="s">
        <v>14</v>
      </c>
      <c r="K4136" t="s">
        <v>263</v>
      </c>
    </row>
    <row r="4137" spans="1:11">
      <c r="A4137" t="str">
        <f>"603336"</f>
        <v>603336</v>
      </c>
      <c r="B4137" t="s">
        <v>4490</v>
      </c>
      <c r="C4137">
        <v>52.05</v>
      </c>
      <c r="D4137">
        <v>20.96</v>
      </c>
      <c r="E4137">
        <v>14.28</v>
      </c>
      <c r="F4137">
        <v>6.09</v>
      </c>
      <c r="G4137">
        <v>6.09</v>
      </c>
      <c r="H4137">
        <v>25626</v>
      </c>
      <c r="I4137">
        <v>3.64</v>
      </c>
      <c r="J4137">
        <v>362.11</v>
      </c>
      <c r="K4137" t="s">
        <v>592</v>
      </c>
    </row>
    <row r="4138" spans="1:11">
      <c r="A4138" t="str">
        <f>"603337"</f>
        <v>603337</v>
      </c>
      <c r="B4138" t="s">
        <v>4491</v>
      </c>
      <c r="C4138">
        <v>232.88</v>
      </c>
      <c r="D4138">
        <v>79.96</v>
      </c>
      <c r="E4138">
        <v>49.06</v>
      </c>
      <c r="F4138">
        <v>4.76</v>
      </c>
      <c r="G4138">
        <v>4.74</v>
      </c>
      <c r="H4138">
        <v>13477</v>
      </c>
      <c r="I4138">
        <v>4.77</v>
      </c>
      <c r="J4138">
        <v>25.77</v>
      </c>
      <c r="K4138" t="s">
        <v>758</v>
      </c>
    </row>
    <row r="4139" spans="1:11">
      <c r="A4139" t="str">
        <f>"603338"</f>
        <v>603338</v>
      </c>
      <c r="B4139" t="s">
        <v>4492</v>
      </c>
      <c r="C4139">
        <v>285.48</v>
      </c>
      <c r="D4139">
        <v>170.49</v>
      </c>
      <c r="E4139">
        <v>111.14</v>
      </c>
      <c r="F4139">
        <v>5.06</v>
      </c>
      <c r="G4139">
        <v>5.06</v>
      </c>
      <c r="H4139">
        <v>28000</v>
      </c>
      <c r="I4139">
        <v>2.57</v>
      </c>
      <c r="J4139">
        <v>13.43</v>
      </c>
      <c r="K4139" t="s">
        <v>115</v>
      </c>
    </row>
    <row r="4140" spans="1:11">
      <c r="A4140" t="str">
        <f>"603339"</f>
        <v>603339</v>
      </c>
      <c r="B4140" t="s">
        <v>4493</v>
      </c>
      <c r="C4140">
        <v>44.65</v>
      </c>
      <c r="D4140">
        <v>35.36</v>
      </c>
      <c r="E4140">
        <v>26.05</v>
      </c>
      <c r="F4140">
        <v>3.09</v>
      </c>
      <c r="G4140">
        <v>3.09</v>
      </c>
      <c r="H4140">
        <v>29421</v>
      </c>
      <c r="I4140">
        <v>1.71</v>
      </c>
      <c r="J4140">
        <v>32.38</v>
      </c>
      <c r="K4140" t="s">
        <v>203</v>
      </c>
    </row>
    <row r="4141" spans="1:11">
      <c r="A4141" t="str">
        <f>"603341"</f>
        <v>603341</v>
      </c>
      <c r="B4141" t="s">
        <v>4494</v>
      </c>
      <c r="C4141">
        <v>136.59</v>
      </c>
      <c r="D4141">
        <v>273.07</v>
      </c>
      <c r="E4141">
        <v>57.4</v>
      </c>
      <c r="F4141">
        <v>4.7</v>
      </c>
      <c r="G4141">
        <v>2.66</v>
      </c>
      <c r="H4141">
        <v>27032</v>
      </c>
      <c r="I4141">
        <v>4.2</v>
      </c>
      <c r="J4141">
        <v>35.68</v>
      </c>
      <c r="K4141" t="s">
        <v>770</v>
      </c>
    </row>
    <row r="4142" spans="1:11">
      <c r="A4142" t="str">
        <f>"603344"</f>
        <v>603344</v>
      </c>
      <c r="B4142" t="s">
        <v>4495</v>
      </c>
      <c r="C4142">
        <v>18.62</v>
      </c>
      <c r="D4142">
        <v>30.66</v>
      </c>
      <c r="E4142">
        <v>21.01</v>
      </c>
      <c r="F4142">
        <v>1.95</v>
      </c>
      <c r="G4142">
        <v>0.54</v>
      </c>
      <c r="H4142">
        <v>17812</v>
      </c>
      <c r="I4142">
        <v>3.19</v>
      </c>
      <c r="J4142">
        <v>37.58</v>
      </c>
      <c r="K4142" t="s">
        <v>552</v>
      </c>
    </row>
    <row r="4143" spans="1:11">
      <c r="A4143" t="str">
        <f>"603345"</f>
        <v>603345</v>
      </c>
      <c r="B4143" t="s">
        <v>4496</v>
      </c>
      <c r="C4143">
        <v>252.17</v>
      </c>
      <c r="D4143">
        <v>204.08</v>
      </c>
      <c r="E4143">
        <v>151.25</v>
      </c>
      <c r="F4143">
        <v>3.33</v>
      </c>
      <c r="G4143">
        <v>2.93</v>
      </c>
      <c r="H4143">
        <v>63209</v>
      </c>
      <c r="I4143">
        <v>1.89</v>
      </c>
      <c r="J4143">
        <v>22.64</v>
      </c>
      <c r="K4143" t="s">
        <v>629</v>
      </c>
    </row>
    <row r="4144" spans="1:11">
      <c r="A4144" t="str">
        <f>"603348"</f>
        <v>603348</v>
      </c>
      <c r="B4144" t="s">
        <v>4497</v>
      </c>
      <c r="C4144">
        <v>64.88</v>
      </c>
      <c r="D4144">
        <v>90.79</v>
      </c>
      <c r="E4144">
        <v>43.19</v>
      </c>
      <c r="F4144">
        <v>3.14</v>
      </c>
      <c r="G4144">
        <v>3.14</v>
      </c>
      <c r="H4144">
        <v>33699</v>
      </c>
      <c r="I4144">
        <v>1.5</v>
      </c>
      <c r="J4144">
        <v>2064.12</v>
      </c>
      <c r="K4144" t="s">
        <v>517</v>
      </c>
    </row>
    <row r="4145" spans="1:11">
      <c r="A4145" t="str">
        <f>"603350"</f>
        <v>603350</v>
      </c>
      <c r="B4145" t="s">
        <v>4498</v>
      </c>
      <c r="C4145">
        <v>16.9</v>
      </c>
      <c r="D4145">
        <v>24.16</v>
      </c>
      <c r="E4145">
        <v>13.16</v>
      </c>
      <c r="F4145">
        <v>1.16</v>
      </c>
      <c r="G4145">
        <v>0.44</v>
      </c>
      <c r="H4145">
        <v>12944</v>
      </c>
      <c r="I4145">
        <v>3.4</v>
      </c>
      <c r="J4145">
        <v>34.92</v>
      </c>
      <c r="K4145" t="s">
        <v>552</v>
      </c>
    </row>
    <row r="4146" spans="1:11">
      <c r="A4146" t="str">
        <f>"603351"</f>
        <v>603351</v>
      </c>
      <c r="B4146" t="s">
        <v>4499</v>
      </c>
      <c r="C4146">
        <v>36.41</v>
      </c>
      <c r="D4146">
        <v>25.85</v>
      </c>
      <c r="E4146">
        <v>17.59</v>
      </c>
      <c r="F4146">
        <v>1.35</v>
      </c>
      <c r="G4146">
        <v>1.35</v>
      </c>
      <c r="H4146">
        <v>6776</v>
      </c>
      <c r="I4146">
        <v>2.07</v>
      </c>
      <c r="J4146">
        <v>23.94</v>
      </c>
      <c r="K4146" t="s">
        <v>404</v>
      </c>
    </row>
    <row r="4147" spans="1:11">
      <c r="A4147" t="str">
        <f>"603353"</f>
        <v>603353</v>
      </c>
      <c r="B4147" t="s">
        <v>4500</v>
      </c>
      <c r="C4147">
        <v>52.05</v>
      </c>
      <c r="D4147">
        <v>19.52</v>
      </c>
      <c r="E4147">
        <v>16.49</v>
      </c>
      <c r="F4147">
        <v>1.72</v>
      </c>
      <c r="G4147">
        <v>1.7</v>
      </c>
      <c r="H4147">
        <v>11183</v>
      </c>
      <c r="I4147">
        <v>3.18</v>
      </c>
      <c r="J4147">
        <v>180.57</v>
      </c>
      <c r="K4147" t="s">
        <v>102</v>
      </c>
    </row>
    <row r="4148" spans="1:11">
      <c r="A4148" t="str">
        <f>"603355"</f>
        <v>603355</v>
      </c>
      <c r="B4148" t="s">
        <v>4501</v>
      </c>
      <c r="C4148">
        <v>201.09</v>
      </c>
      <c r="D4148">
        <v>152.54</v>
      </c>
      <c r="E4148">
        <v>55.67</v>
      </c>
      <c r="F4148">
        <v>5.73</v>
      </c>
      <c r="G4148">
        <v>5.73</v>
      </c>
      <c r="H4148">
        <v>15620</v>
      </c>
      <c r="I4148">
        <v>3.68</v>
      </c>
      <c r="J4148">
        <v>24.28</v>
      </c>
      <c r="K4148" t="s">
        <v>2933</v>
      </c>
    </row>
    <row r="4149" spans="1:11">
      <c r="A4149" t="str">
        <f>"603356"</f>
        <v>603356</v>
      </c>
      <c r="B4149" t="s">
        <v>4502</v>
      </c>
      <c r="C4149">
        <v>22.4</v>
      </c>
      <c r="D4149">
        <v>13.42</v>
      </c>
      <c r="E4149">
        <v>3.83</v>
      </c>
      <c r="F4149">
        <v>1.33</v>
      </c>
      <c r="G4149">
        <v>1.33</v>
      </c>
      <c r="H4149">
        <v>12051</v>
      </c>
      <c r="I4149">
        <v>5.84</v>
      </c>
      <c r="J4149" t="s">
        <v>14</v>
      </c>
      <c r="K4149" t="s">
        <v>1155</v>
      </c>
    </row>
    <row r="4150" spans="1:11">
      <c r="A4150" t="str">
        <f>"603357"</f>
        <v>603357</v>
      </c>
      <c r="B4150" t="s">
        <v>4503</v>
      </c>
      <c r="C4150">
        <v>45.95</v>
      </c>
      <c r="D4150">
        <v>68.45</v>
      </c>
      <c r="E4150">
        <v>38.44</v>
      </c>
      <c r="F4150">
        <v>5.61</v>
      </c>
      <c r="G4150">
        <v>5.56</v>
      </c>
      <c r="H4150">
        <v>29315</v>
      </c>
      <c r="I4150">
        <v>1.21</v>
      </c>
      <c r="J4150">
        <v>14.38</v>
      </c>
      <c r="K4150" t="s">
        <v>428</v>
      </c>
    </row>
    <row r="4151" spans="1:11">
      <c r="A4151" t="str">
        <f>"603358"</f>
        <v>603358</v>
      </c>
      <c r="B4151" t="s">
        <v>4504</v>
      </c>
      <c r="C4151">
        <v>240.8</v>
      </c>
      <c r="D4151">
        <v>71.72</v>
      </c>
      <c r="E4151">
        <v>38.33</v>
      </c>
      <c r="F4151">
        <v>4.7</v>
      </c>
      <c r="G4151">
        <v>4.49</v>
      </c>
      <c r="H4151">
        <v>8806</v>
      </c>
      <c r="I4151">
        <v>6.57</v>
      </c>
      <c r="J4151">
        <v>48.01</v>
      </c>
      <c r="K4151" t="s">
        <v>356</v>
      </c>
    </row>
    <row r="4152" spans="1:11">
      <c r="A4152" t="str">
        <f>"603359"</f>
        <v>603359</v>
      </c>
      <c r="B4152" t="s">
        <v>4505</v>
      </c>
      <c r="C4152">
        <v>34.88</v>
      </c>
      <c r="D4152">
        <v>65.62</v>
      </c>
      <c r="E4152">
        <v>26.45</v>
      </c>
      <c r="F4152">
        <v>4.46</v>
      </c>
      <c r="G4152">
        <v>4.46</v>
      </c>
      <c r="H4152">
        <v>36155</v>
      </c>
      <c r="I4152">
        <v>1.32</v>
      </c>
      <c r="J4152" t="s">
        <v>14</v>
      </c>
      <c r="K4152" t="s">
        <v>26</v>
      </c>
    </row>
    <row r="4153" spans="1:11">
      <c r="A4153" t="str">
        <f>"603360"</f>
        <v>603360</v>
      </c>
      <c r="B4153" t="s">
        <v>4506</v>
      </c>
      <c r="C4153">
        <v>209.54</v>
      </c>
      <c r="D4153">
        <v>36.56</v>
      </c>
      <c r="E4153">
        <v>15.06</v>
      </c>
      <c r="F4153">
        <v>7.06</v>
      </c>
      <c r="G4153">
        <v>7.06</v>
      </c>
      <c r="H4153">
        <v>23953</v>
      </c>
      <c r="I4153">
        <v>13.91</v>
      </c>
      <c r="J4153">
        <v>125.73</v>
      </c>
      <c r="K4153" t="s">
        <v>196</v>
      </c>
    </row>
    <row r="4154" spans="1:11">
      <c r="A4154" t="str">
        <f>"603363"</f>
        <v>603363</v>
      </c>
      <c r="B4154" t="s">
        <v>4507</v>
      </c>
      <c r="C4154">
        <v>90.18</v>
      </c>
      <c r="D4154">
        <v>91.48</v>
      </c>
      <c r="E4154">
        <v>33.42</v>
      </c>
      <c r="F4154">
        <v>26.03</v>
      </c>
      <c r="G4154">
        <v>20.45</v>
      </c>
      <c r="H4154">
        <v>74878</v>
      </c>
      <c r="I4154">
        <v>3.43</v>
      </c>
      <c r="J4154">
        <v>20.8</v>
      </c>
      <c r="K4154" t="s">
        <v>359</v>
      </c>
    </row>
    <row r="4155" spans="1:11">
      <c r="A4155" t="str">
        <f>"603365"</f>
        <v>603365</v>
      </c>
      <c r="B4155" t="s">
        <v>4508</v>
      </c>
      <c r="C4155">
        <v>53.75</v>
      </c>
      <c r="D4155">
        <v>37.78</v>
      </c>
      <c r="E4155">
        <v>30.06</v>
      </c>
      <c r="F4155">
        <v>2.62</v>
      </c>
      <c r="G4155">
        <v>2.6</v>
      </c>
      <c r="H4155">
        <v>8501</v>
      </c>
      <c r="I4155">
        <v>1.81</v>
      </c>
      <c r="J4155">
        <v>17.54</v>
      </c>
      <c r="K4155" t="s">
        <v>846</v>
      </c>
    </row>
    <row r="4156" spans="1:11">
      <c r="A4156" t="str">
        <f>"603366"</f>
        <v>603366</v>
      </c>
      <c r="B4156" t="s">
        <v>4509</v>
      </c>
      <c r="C4156">
        <v>80.74</v>
      </c>
      <c r="D4156">
        <v>75.08</v>
      </c>
      <c r="E4156">
        <v>41.55</v>
      </c>
      <c r="F4156">
        <v>8.13</v>
      </c>
      <c r="G4156">
        <v>8.13</v>
      </c>
      <c r="H4156">
        <v>85288</v>
      </c>
      <c r="I4156">
        <v>1.94</v>
      </c>
      <c r="J4156">
        <v>165.06</v>
      </c>
      <c r="K4156" t="s">
        <v>4510</v>
      </c>
    </row>
    <row r="4157" spans="1:11">
      <c r="A4157" t="str">
        <f>"603367"</f>
        <v>603367</v>
      </c>
      <c r="B4157" t="s">
        <v>4511</v>
      </c>
      <c r="C4157">
        <v>83.62</v>
      </c>
      <c r="D4157">
        <v>76.21</v>
      </c>
      <c r="E4157">
        <v>61.53</v>
      </c>
      <c r="F4157">
        <v>4.53</v>
      </c>
      <c r="G4157">
        <v>4.53</v>
      </c>
      <c r="H4157">
        <v>30760</v>
      </c>
      <c r="I4157">
        <v>1.36</v>
      </c>
      <c r="J4157">
        <v>16.42</v>
      </c>
      <c r="K4157" t="s">
        <v>109</v>
      </c>
    </row>
    <row r="4158" spans="1:11">
      <c r="A4158" t="str">
        <f>"603368"</f>
        <v>603368</v>
      </c>
      <c r="B4158" t="s">
        <v>4512</v>
      </c>
      <c r="C4158">
        <v>73.36</v>
      </c>
      <c r="D4158">
        <v>211.84</v>
      </c>
      <c r="E4158">
        <v>78.25</v>
      </c>
      <c r="F4158">
        <v>3.97</v>
      </c>
      <c r="G4158">
        <v>3.97</v>
      </c>
      <c r="H4158">
        <v>30433</v>
      </c>
      <c r="I4158">
        <v>0.96</v>
      </c>
      <c r="J4158">
        <v>8.52</v>
      </c>
      <c r="K4158" t="s">
        <v>48</v>
      </c>
    </row>
    <row r="4159" spans="1:11">
      <c r="A4159" t="str">
        <f>"603369"</f>
        <v>603369</v>
      </c>
      <c r="B4159" t="s">
        <v>4513</v>
      </c>
      <c r="C4159">
        <v>441.12</v>
      </c>
      <c r="D4159">
        <v>244.78</v>
      </c>
      <c r="E4159">
        <v>165.08</v>
      </c>
      <c r="F4159">
        <v>12.47</v>
      </c>
      <c r="G4159">
        <v>12.47</v>
      </c>
      <c r="H4159">
        <v>66323</v>
      </c>
      <c r="I4159">
        <v>2.67</v>
      </c>
      <c r="J4159">
        <v>12.98</v>
      </c>
      <c r="K4159" t="s">
        <v>251</v>
      </c>
    </row>
    <row r="4160" spans="1:11">
      <c r="A4160" t="str">
        <f>"603370"</f>
        <v>603370</v>
      </c>
      <c r="B4160" t="s">
        <v>4514</v>
      </c>
      <c r="C4160">
        <v>16.1</v>
      </c>
      <c r="D4160">
        <v>27.45</v>
      </c>
      <c r="E4160">
        <v>19.05</v>
      </c>
      <c r="F4160">
        <v>1.75</v>
      </c>
      <c r="G4160">
        <v>0.34</v>
      </c>
      <c r="H4160">
        <v>33852</v>
      </c>
      <c r="I4160">
        <v>4.31</v>
      </c>
      <c r="J4160">
        <v>45.44</v>
      </c>
      <c r="K4160" t="s">
        <v>552</v>
      </c>
    </row>
    <row r="4161" spans="1:11">
      <c r="A4161" t="str">
        <f>"603373"</f>
        <v>603373</v>
      </c>
      <c r="B4161" t="s">
        <v>4515</v>
      </c>
      <c r="C4161">
        <v>18.26</v>
      </c>
      <c r="D4161">
        <v>36.93</v>
      </c>
      <c r="E4161">
        <v>18.07</v>
      </c>
      <c r="F4161">
        <v>1.08</v>
      </c>
      <c r="G4161">
        <v>0.45</v>
      </c>
      <c r="H4161">
        <v>7616</v>
      </c>
      <c r="I4161">
        <v>2.39</v>
      </c>
      <c r="J4161">
        <v>36.02</v>
      </c>
      <c r="K4161" t="s">
        <v>2514</v>
      </c>
    </row>
    <row r="4162" spans="1:11">
      <c r="A4162" t="str">
        <f>"603375"</f>
        <v>603375</v>
      </c>
      <c r="B4162" t="s">
        <v>4516</v>
      </c>
      <c r="C4162">
        <v>24.42</v>
      </c>
      <c r="D4162">
        <v>17.51</v>
      </c>
      <c r="E4162">
        <v>15.81</v>
      </c>
      <c r="F4162">
        <v>1.01</v>
      </c>
      <c r="G4162">
        <v>0.64</v>
      </c>
      <c r="H4162">
        <v>13927</v>
      </c>
      <c r="I4162">
        <v>2.44</v>
      </c>
      <c r="J4162">
        <v>150.16</v>
      </c>
      <c r="K4162" t="s">
        <v>691</v>
      </c>
    </row>
    <row r="4163" spans="1:11">
      <c r="A4163" t="str">
        <f>"603376"</f>
        <v>603376</v>
      </c>
      <c r="B4163" t="s">
        <v>4517</v>
      </c>
      <c r="C4163">
        <v>11.8</v>
      </c>
      <c r="D4163">
        <v>30.42</v>
      </c>
      <c r="E4163">
        <v>12.6</v>
      </c>
      <c r="F4163">
        <v>4</v>
      </c>
      <c r="G4163">
        <v>0.31</v>
      </c>
      <c r="H4163">
        <v>51693</v>
      </c>
      <c r="I4163">
        <v>9.03</v>
      </c>
      <c r="J4163">
        <v>59.13</v>
      </c>
      <c r="K4163" t="s">
        <v>530</v>
      </c>
    </row>
    <row r="4164" spans="1:11">
      <c r="A4164" t="str">
        <f>"603377"</f>
        <v>603377</v>
      </c>
      <c r="B4164" t="s">
        <v>4518</v>
      </c>
      <c r="C4164">
        <v>28.81</v>
      </c>
      <c r="D4164">
        <v>38.1</v>
      </c>
      <c r="E4164">
        <v>8.23</v>
      </c>
      <c r="F4164">
        <v>7.15</v>
      </c>
      <c r="G4164">
        <v>7.15</v>
      </c>
      <c r="H4164">
        <v>13452</v>
      </c>
      <c r="I4164">
        <v>3.56</v>
      </c>
      <c r="J4164" t="s">
        <v>14</v>
      </c>
      <c r="K4164" t="s">
        <v>198</v>
      </c>
    </row>
    <row r="4165" spans="1:11">
      <c r="A4165" t="str">
        <f>"603378"</f>
        <v>603378</v>
      </c>
      <c r="B4165" t="s">
        <v>4519</v>
      </c>
      <c r="C4165">
        <v>30</v>
      </c>
      <c r="D4165">
        <v>53.81</v>
      </c>
      <c r="E4165">
        <v>9.98</v>
      </c>
      <c r="F4165">
        <v>4.29</v>
      </c>
      <c r="G4165">
        <v>4.29</v>
      </c>
      <c r="H4165">
        <v>17626</v>
      </c>
      <c r="I4165">
        <v>3.01</v>
      </c>
      <c r="J4165" t="s">
        <v>14</v>
      </c>
      <c r="K4165" t="s">
        <v>4520</v>
      </c>
    </row>
    <row r="4166" spans="1:11">
      <c r="A4166" t="str">
        <f>"603379"</f>
        <v>603379</v>
      </c>
      <c r="B4166" t="s">
        <v>4521</v>
      </c>
      <c r="C4166">
        <v>345.9</v>
      </c>
      <c r="D4166">
        <v>93.56</v>
      </c>
      <c r="E4166">
        <v>76.13</v>
      </c>
      <c r="F4166">
        <v>6.1</v>
      </c>
      <c r="G4166">
        <v>6.1</v>
      </c>
      <c r="H4166">
        <v>22598</v>
      </c>
      <c r="I4166">
        <v>4.54</v>
      </c>
      <c r="J4166">
        <v>16.31</v>
      </c>
      <c r="K4166" t="s">
        <v>1115</v>
      </c>
    </row>
    <row r="4167" spans="1:11">
      <c r="A4167" t="str">
        <f>"603380"</f>
        <v>603380</v>
      </c>
      <c r="B4167" t="s">
        <v>4522</v>
      </c>
      <c r="C4167">
        <v>62.46</v>
      </c>
      <c r="D4167">
        <v>23.3</v>
      </c>
      <c r="E4167">
        <v>15.3</v>
      </c>
      <c r="F4167">
        <v>1.6</v>
      </c>
      <c r="G4167">
        <v>1.6</v>
      </c>
      <c r="H4167">
        <v>12000</v>
      </c>
      <c r="I4167">
        <v>4.08</v>
      </c>
      <c r="J4167">
        <v>26.62</v>
      </c>
      <c r="K4167" t="s">
        <v>41</v>
      </c>
    </row>
    <row r="4168" spans="1:11">
      <c r="A4168" t="str">
        <f>"603381"</f>
        <v>603381</v>
      </c>
      <c r="B4168" t="s">
        <v>4523</v>
      </c>
      <c r="C4168">
        <v>28.78</v>
      </c>
      <c r="D4168">
        <v>135.84</v>
      </c>
      <c r="E4168">
        <v>35.77</v>
      </c>
      <c r="F4168">
        <v>2.37</v>
      </c>
      <c r="G4168">
        <v>1.42</v>
      </c>
      <c r="H4168">
        <v>20154</v>
      </c>
      <c r="I4168">
        <v>1.34</v>
      </c>
      <c r="J4168">
        <v>1644.98</v>
      </c>
      <c r="K4168" t="s">
        <v>667</v>
      </c>
    </row>
    <row r="4169" spans="1:11">
      <c r="A4169" t="str">
        <f>"603382"</f>
        <v>603382</v>
      </c>
      <c r="B4169" t="s">
        <v>4524</v>
      </c>
      <c r="C4169">
        <v>11.59</v>
      </c>
      <c r="D4169">
        <v>35.73</v>
      </c>
      <c r="E4169">
        <v>17.34</v>
      </c>
      <c r="F4169">
        <v>1.81</v>
      </c>
      <c r="G4169">
        <v>0.36</v>
      </c>
      <c r="H4169">
        <v>24957</v>
      </c>
      <c r="I4169">
        <v>3.34</v>
      </c>
      <c r="J4169">
        <v>46.67</v>
      </c>
      <c r="K4169" t="s">
        <v>430</v>
      </c>
    </row>
    <row r="4170" spans="1:11">
      <c r="A4170" t="str">
        <f>"603383"</f>
        <v>603383</v>
      </c>
      <c r="B4170" t="s">
        <v>4525</v>
      </c>
      <c r="C4170">
        <v>83.81</v>
      </c>
      <c r="D4170">
        <v>17.02</v>
      </c>
      <c r="E4170">
        <v>14.6</v>
      </c>
      <c r="F4170">
        <v>2.05</v>
      </c>
      <c r="G4170">
        <v>2.05</v>
      </c>
      <c r="H4170">
        <v>27961</v>
      </c>
      <c r="I4170">
        <v>5.74</v>
      </c>
      <c r="J4170">
        <v>60.86</v>
      </c>
      <c r="K4170" t="s">
        <v>117</v>
      </c>
    </row>
    <row r="4171" spans="1:11">
      <c r="A4171" t="str">
        <f>"603385"</f>
        <v>603385</v>
      </c>
      <c r="B4171" t="s">
        <v>4526</v>
      </c>
      <c r="C4171">
        <v>26.19</v>
      </c>
      <c r="D4171">
        <v>51.22</v>
      </c>
      <c r="E4171">
        <v>37.54</v>
      </c>
      <c r="F4171">
        <v>3.81</v>
      </c>
      <c r="G4171">
        <v>3.81</v>
      </c>
      <c r="H4171">
        <v>15079</v>
      </c>
      <c r="I4171">
        <v>0.7</v>
      </c>
      <c r="J4171">
        <v>128.88</v>
      </c>
      <c r="K4171" t="s">
        <v>625</v>
      </c>
    </row>
    <row r="4172" spans="1:11">
      <c r="A4172" t="str">
        <f>"603386"</f>
        <v>603386</v>
      </c>
      <c r="B4172" t="s">
        <v>4527</v>
      </c>
      <c r="C4172">
        <v>51.04</v>
      </c>
      <c r="D4172">
        <v>35.6</v>
      </c>
      <c r="E4172">
        <v>13.61</v>
      </c>
      <c r="F4172">
        <v>3.26</v>
      </c>
      <c r="G4172">
        <v>3.26</v>
      </c>
      <c r="H4172">
        <v>16953</v>
      </c>
      <c r="I4172">
        <v>3.75</v>
      </c>
      <c r="J4172">
        <v>176.27</v>
      </c>
      <c r="K4172" t="s">
        <v>472</v>
      </c>
    </row>
    <row r="4173" spans="1:11">
      <c r="A4173" t="str">
        <f>"603387"</f>
        <v>603387</v>
      </c>
      <c r="B4173" t="s">
        <v>4528</v>
      </c>
      <c r="C4173">
        <v>44.58</v>
      </c>
      <c r="D4173">
        <v>38.37</v>
      </c>
      <c r="E4173">
        <v>26.91</v>
      </c>
      <c r="F4173">
        <v>5.07</v>
      </c>
      <c r="G4173">
        <v>5.07</v>
      </c>
      <c r="H4173">
        <v>25185</v>
      </c>
      <c r="I4173">
        <v>1.66</v>
      </c>
      <c r="J4173">
        <v>20.83</v>
      </c>
      <c r="K4173" t="s">
        <v>775</v>
      </c>
    </row>
    <row r="4174" spans="1:11">
      <c r="A4174" t="str">
        <f>"603389"</f>
        <v>603389</v>
      </c>
      <c r="B4174" t="s">
        <v>4529</v>
      </c>
      <c r="C4174">
        <v>117.29</v>
      </c>
      <c r="D4174">
        <v>11.82</v>
      </c>
      <c r="E4174">
        <v>2.34</v>
      </c>
      <c r="F4174">
        <v>2.63</v>
      </c>
      <c r="G4174">
        <v>2.63</v>
      </c>
      <c r="H4174">
        <v>10220</v>
      </c>
      <c r="I4174">
        <v>50.16</v>
      </c>
      <c r="J4174" t="s">
        <v>14</v>
      </c>
      <c r="K4174" t="s">
        <v>540</v>
      </c>
    </row>
    <row r="4175" spans="1:11">
      <c r="A4175" t="str">
        <f>"603390"</f>
        <v>603390</v>
      </c>
      <c r="B4175" t="s">
        <v>4530</v>
      </c>
      <c r="C4175">
        <v>46.34</v>
      </c>
      <c r="D4175">
        <v>18.96</v>
      </c>
      <c r="E4175">
        <v>16.16</v>
      </c>
      <c r="F4175">
        <v>3.52</v>
      </c>
      <c r="G4175">
        <v>3.51</v>
      </c>
      <c r="H4175">
        <v>31754</v>
      </c>
      <c r="I4175">
        <v>2.88</v>
      </c>
      <c r="J4175">
        <v>63.53</v>
      </c>
      <c r="K4175" t="s">
        <v>530</v>
      </c>
    </row>
    <row r="4176" spans="1:11">
      <c r="A4176" t="str">
        <f>"603391"</f>
        <v>603391</v>
      </c>
      <c r="B4176" t="s">
        <v>4531</v>
      </c>
      <c r="C4176">
        <v>14.74</v>
      </c>
      <c r="D4176">
        <v>32.94</v>
      </c>
      <c r="E4176">
        <v>20.92</v>
      </c>
      <c r="F4176">
        <v>0.91</v>
      </c>
      <c r="G4176">
        <v>0.23</v>
      </c>
      <c r="H4176">
        <v>7120</v>
      </c>
      <c r="I4176">
        <v>2.82</v>
      </c>
      <c r="J4176">
        <v>78.55</v>
      </c>
      <c r="K4176" t="s">
        <v>491</v>
      </c>
    </row>
    <row r="4177" spans="1:11">
      <c r="A4177" t="str">
        <f>"603392"</f>
        <v>603392</v>
      </c>
      <c r="B4177" t="s">
        <v>4532</v>
      </c>
      <c r="C4177">
        <v>598.94</v>
      </c>
      <c r="D4177">
        <v>143.71</v>
      </c>
      <c r="E4177">
        <v>120.89</v>
      </c>
      <c r="F4177">
        <v>12.64</v>
      </c>
      <c r="G4177">
        <v>12.64</v>
      </c>
      <c r="H4177">
        <v>41996</v>
      </c>
      <c r="I4177">
        <v>4.96</v>
      </c>
      <c r="J4177" t="s">
        <v>14</v>
      </c>
      <c r="K4177" t="s">
        <v>1921</v>
      </c>
    </row>
    <row r="4178" spans="1:11">
      <c r="A4178" t="str">
        <f>"603393"</f>
        <v>603393</v>
      </c>
      <c r="B4178" t="s">
        <v>4533</v>
      </c>
      <c r="C4178">
        <v>119.69</v>
      </c>
      <c r="D4178">
        <v>218.22</v>
      </c>
      <c r="E4178">
        <v>89.88</v>
      </c>
      <c r="F4178">
        <v>4.24</v>
      </c>
      <c r="G4178">
        <v>4.23</v>
      </c>
      <c r="H4178">
        <v>27965</v>
      </c>
      <c r="I4178">
        <v>1.33</v>
      </c>
      <c r="J4178">
        <v>11.03</v>
      </c>
      <c r="K4178" t="s">
        <v>136</v>
      </c>
    </row>
    <row r="4179" spans="1:11">
      <c r="A4179" t="str">
        <f>"603395"</f>
        <v>603395</v>
      </c>
      <c r="B4179" t="s">
        <v>4534</v>
      </c>
      <c r="C4179">
        <v>19.81</v>
      </c>
      <c r="D4179">
        <v>24.63</v>
      </c>
      <c r="E4179">
        <v>13.99</v>
      </c>
      <c r="F4179">
        <v>2.6</v>
      </c>
      <c r="G4179">
        <v>0.65</v>
      </c>
      <c r="H4179">
        <v>25308</v>
      </c>
      <c r="I4179">
        <v>5.67</v>
      </c>
      <c r="J4179">
        <v>129.65</v>
      </c>
      <c r="K4179" t="s">
        <v>532</v>
      </c>
    </row>
    <row r="4180" spans="1:11">
      <c r="A4180" t="str">
        <f>"603396"</f>
        <v>603396</v>
      </c>
      <c r="B4180" t="s">
        <v>4535</v>
      </c>
      <c r="C4180">
        <v>51.23</v>
      </c>
      <c r="D4180">
        <v>50.73</v>
      </c>
      <c r="E4180">
        <v>25.89</v>
      </c>
      <c r="F4180">
        <v>1.39</v>
      </c>
      <c r="G4180">
        <v>1.39</v>
      </c>
      <c r="H4180">
        <v>31015</v>
      </c>
      <c r="I4180">
        <v>1.98</v>
      </c>
      <c r="J4180">
        <v>76.06</v>
      </c>
      <c r="K4180" t="s">
        <v>469</v>
      </c>
    </row>
    <row r="4181" spans="1:11">
      <c r="A4181" t="str">
        <f>"603398"</f>
        <v>603398</v>
      </c>
      <c r="B4181" t="s">
        <v>4536</v>
      </c>
      <c r="C4181">
        <v>36.95</v>
      </c>
      <c r="D4181">
        <v>33.24</v>
      </c>
      <c r="E4181">
        <v>6.42</v>
      </c>
      <c r="F4181">
        <v>4.34</v>
      </c>
      <c r="G4181">
        <v>4.34</v>
      </c>
      <c r="H4181">
        <v>23201</v>
      </c>
      <c r="I4181">
        <v>5.75</v>
      </c>
      <c r="J4181" t="s">
        <v>14</v>
      </c>
      <c r="K4181" t="s">
        <v>897</v>
      </c>
    </row>
    <row r="4182" spans="1:11">
      <c r="A4182" t="str">
        <f>"603399"</f>
        <v>603399</v>
      </c>
      <c r="B4182" t="s">
        <v>4537</v>
      </c>
      <c r="C4182">
        <v>57.63</v>
      </c>
      <c r="D4182">
        <v>35.63</v>
      </c>
      <c r="E4182">
        <v>16.58</v>
      </c>
      <c r="F4182">
        <v>5.12</v>
      </c>
      <c r="G4182">
        <v>5.12</v>
      </c>
      <c r="H4182">
        <v>47757</v>
      </c>
      <c r="I4182">
        <v>3.48</v>
      </c>
      <c r="J4182" t="s">
        <v>14</v>
      </c>
      <c r="K4182" t="s">
        <v>322</v>
      </c>
    </row>
    <row r="4183" spans="1:11">
      <c r="A4183" t="str">
        <f>"603400"</f>
        <v>603400</v>
      </c>
      <c r="B4183" t="s">
        <v>4538</v>
      </c>
      <c r="C4183">
        <v>11.18</v>
      </c>
      <c r="D4183">
        <v>18.27</v>
      </c>
      <c r="E4183">
        <v>12.59</v>
      </c>
      <c r="F4183">
        <v>1</v>
      </c>
      <c r="G4183">
        <v>0.2</v>
      </c>
      <c r="H4183">
        <v>17586</v>
      </c>
      <c r="I4183">
        <v>4.44</v>
      </c>
      <c r="J4183">
        <v>37.89</v>
      </c>
      <c r="K4183" t="s">
        <v>744</v>
      </c>
    </row>
    <row r="4184" spans="1:11">
      <c r="A4184" t="str">
        <f>"603402"</f>
        <v>603402</v>
      </c>
      <c r="B4184" t="s">
        <v>4539</v>
      </c>
      <c r="C4184">
        <v>27.39</v>
      </c>
      <c r="D4184">
        <v>23.81</v>
      </c>
      <c r="E4184">
        <v>13.59</v>
      </c>
      <c r="F4184">
        <v>0.77</v>
      </c>
      <c r="G4184">
        <v>0.19</v>
      </c>
      <c r="H4184">
        <v>38581</v>
      </c>
      <c r="I4184">
        <v>3.8</v>
      </c>
      <c r="J4184">
        <v>22.25</v>
      </c>
      <c r="K4184" t="s">
        <v>163</v>
      </c>
    </row>
    <row r="4185" spans="1:11">
      <c r="A4185" t="str">
        <f>"603406"</f>
        <v>603406</v>
      </c>
      <c r="B4185" t="s">
        <v>4540</v>
      </c>
      <c r="C4185">
        <v>13.94</v>
      </c>
      <c r="D4185">
        <v>50.63</v>
      </c>
      <c r="E4185">
        <v>46.6</v>
      </c>
      <c r="F4185">
        <v>4</v>
      </c>
      <c r="G4185">
        <v>0.36</v>
      </c>
      <c r="H4185">
        <v>32368</v>
      </c>
      <c r="I4185">
        <v>3.37</v>
      </c>
      <c r="J4185">
        <v>36.28</v>
      </c>
      <c r="K4185" t="s">
        <v>122</v>
      </c>
    </row>
    <row r="4186" spans="1:11">
      <c r="A4186" t="str">
        <f>"603408"</f>
        <v>603408</v>
      </c>
      <c r="B4186" t="s">
        <v>4541</v>
      </c>
      <c r="C4186">
        <v>57.87</v>
      </c>
      <c r="D4186">
        <v>54.98</v>
      </c>
      <c r="E4186">
        <v>34.32</v>
      </c>
      <c r="F4186">
        <v>4.48</v>
      </c>
      <c r="G4186">
        <v>4.48</v>
      </c>
      <c r="H4186">
        <v>11815</v>
      </c>
      <c r="I4186">
        <v>1.69</v>
      </c>
      <c r="J4186">
        <v>12.45</v>
      </c>
      <c r="K4186" t="s">
        <v>625</v>
      </c>
    </row>
    <row r="4187" spans="1:11">
      <c r="A4187" t="str">
        <f>"603409"</f>
        <v>603409</v>
      </c>
      <c r="B4187" t="s">
        <v>4542</v>
      </c>
      <c r="C4187">
        <v>11.7</v>
      </c>
      <c r="D4187">
        <v>20.85</v>
      </c>
      <c r="E4187">
        <v>14.92</v>
      </c>
      <c r="F4187">
        <v>1.26</v>
      </c>
      <c r="G4187">
        <v>0.32</v>
      </c>
      <c r="H4187">
        <v>15442</v>
      </c>
      <c r="I4187">
        <v>3.14</v>
      </c>
      <c r="J4187">
        <v>29.93</v>
      </c>
      <c r="K4187" t="s">
        <v>517</v>
      </c>
    </row>
    <row r="4188" spans="1:11">
      <c r="A4188" t="str">
        <f>"603416"</f>
        <v>603416</v>
      </c>
      <c r="B4188" t="s">
        <v>4543</v>
      </c>
      <c r="C4188">
        <v>87.97</v>
      </c>
      <c r="D4188">
        <v>36.26</v>
      </c>
      <c r="E4188">
        <v>26.35</v>
      </c>
      <c r="F4188">
        <v>1.57</v>
      </c>
      <c r="G4188">
        <v>1.39</v>
      </c>
      <c r="H4188">
        <v>12575</v>
      </c>
      <c r="I4188">
        <v>3.77</v>
      </c>
      <c r="J4188">
        <v>41.33</v>
      </c>
      <c r="K4188" t="s">
        <v>663</v>
      </c>
    </row>
    <row r="4189" spans="1:11">
      <c r="A4189" t="str">
        <f>"603418"</f>
        <v>603418</v>
      </c>
      <c r="B4189" t="s">
        <v>4544</v>
      </c>
      <c r="C4189">
        <v>23.55</v>
      </c>
      <c r="D4189">
        <v>63.52</v>
      </c>
      <c r="E4189">
        <v>44.12</v>
      </c>
      <c r="F4189">
        <v>1.93</v>
      </c>
      <c r="G4189">
        <v>0.4</v>
      </c>
      <c r="H4189">
        <v>44059</v>
      </c>
      <c r="I4189">
        <v>2.55</v>
      </c>
      <c r="J4189">
        <v>23.5</v>
      </c>
      <c r="K4189" t="s">
        <v>356</v>
      </c>
    </row>
    <row r="4190" spans="1:11">
      <c r="A4190" t="str">
        <f>"603421"</f>
        <v>603421</v>
      </c>
      <c r="B4190" t="s">
        <v>4545</v>
      </c>
      <c r="C4190">
        <v>48.2</v>
      </c>
      <c r="D4190">
        <v>38.72</v>
      </c>
      <c r="E4190">
        <v>28.01</v>
      </c>
      <c r="F4190">
        <v>6.52</v>
      </c>
      <c r="G4190">
        <v>6.52</v>
      </c>
      <c r="H4190">
        <v>31363</v>
      </c>
      <c r="I4190">
        <v>1.72</v>
      </c>
      <c r="J4190" t="s">
        <v>14</v>
      </c>
      <c r="K4190" t="s">
        <v>933</v>
      </c>
    </row>
    <row r="4191" spans="1:11">
      <c r="A4191" t="str">
        <f>"603429"</f>
        <v>603429</v>
      </c>
      <c r="B4191" t="s">
        <v>4546</v>
      </c>
      <c r="C4191">
        <v>55.86</v>
      </c>
      <c r="D4191">
        <v>13.37</v>
      </c>
      <c r="E4191">
        <v>12.34</v>
      </c>
      <c r="F4191">
        <v>5.24</v>
      </c>
      <c r="G4191">
        <v>5.24</v>
      </c>
      <c r="H4191">
        <v>15542</v>
      </c>
      <c r="I4191">
        <v>4.53</v>
      </c>
      <c r="J4191" t="s">
        <v>14</v>
      </c>
      <c r="K4191" t="s">
        <v>460</v>
      </c>
    </row>
    <row r="4192" spans="1:11">
      <c r="A4192" t="str">
        <f>"603439"</f>
        <v>603439</v>
      </c>
      <c r="B4192" t="s">
        <v>4547</v>
      </c>
      <c r="C4192">
        <v>48.46</v>
      </c>
      <c r="D4192">
        <v>28.48</v>
      </c>
      <c r="E4192">
        <v>14.81</v>
      </c>
      <c r="F4192">
        <v>4.09</v>
      </c>
      <c r="G4192">
        <v>4.04</v>
      </c>
      <c r="H4192">
        <v>26336</v>
      </c>
      <c r="I4192">
        <v>3.32</v>
      </c>
      <c r="J4192">
        <v>45.56</v>
      </c>
      <c r="K4192" t="s">
        <v>155</v>
      </c>
    </row>
    <row r="4193" spans="1:11">
      <c r="A4193" t="str">
        <f>"603444"</f>
        <v>603444</v>
      </c>
      <c r="B4193" t="s">
        <v>4548</v>
      </c>
      <c r="C4193">
        <v>340.07</v>
      </c>
      <c r="D4193">
        <v>82.06</v>
      </c>
      <c r="E4193">
        <v>53.81</v>
      </c>
      <c r="F4193">
        <v>0.72</v>
      </c>
      <c r="G4193">
        <v>0.72</v>
      </c>
      <c r="H4193">
        <v>16492</v>
      </c>
      <c r="I4193">
        <v>6.32</v>
      </c>
      <c r="J4193">
        <v>21.01</v>
      </c>
      <c r="K4193" t="s">
        <v>950</v>
      </c>
    </row>
    <row r="4194" spans="1:11">
      <c r="A4194" t="str">
        <f>"603456"</f>
        <v>603456</v>
      </c>
      <c r="B4194" t="s">
        <v>4549</v>
      </c>
      <c r="C4194">
        <v>174.42</v>
      </c>
      <c r="D4194">
        <v>107.19</v>
      </c>
      <c r="E4194">
        <v>87.55</v>
      </c>
      <c r="F4194">
        <v>8.89</v>
      </c>
      <c r="G4194">
        <v>8.89</v>
      </c>
      <c r="H4194">
        <v>59157</v>
      </c>
      <c r="I4194">
        <v>1.99</v>
      </c>
      <c r="J4194">
        <v>17.5</v>
      </c>
      <c r="K4194" t="s">
        <v>1595</v>
      </c>
    </row>
    <row r="4195" spans="1:11">
      <c r="A4195" t="str">
        <f>"603458"</f>
        <v>603458</v>
      </c>
      <c r="B4195" t="s">
        <v>4550</v>
      </c>
      <c r="C4195">
        <v>40.13</v>
      </c>
      <c r="D4195">
        <v>56</v>
      </c>
      <c r="E4195">
        <v>28.55</v>
      </c>
      <c r="F4195">
        <v>3.06</v>
      </c>
      <c r="G4195">
        <v>3.06</v>
      </c>
      <c r="H4195">
        <v>20991</v>
      </c>
      <c r="I4195">
        <v>1.41</v>
      </c>
      <c r="J4195" t="s">
        <v>14</v>
      </c>
      <c r="K4195" t="s">
        <v>428</v>
      </c>
    </row>
    <row r="4196" spans="1:11">
      <c r="A4196" t="str">
        <f>"603466"</f>
        <v>603466</v>
      </c>
      <c r="B4196" t="s">
        <v>4551</v>
      </c>
      <c r="C4196">
        <v>64.89</v>
      </c>
      <c r="D4196">
        <v>46.23</v>
      </c>
      <c r="E4196">
        <v>21.47</v>
      </c>
      <c r="F4196">
        <v>5.95</v>
      </c>
      <c r="G4196">
        <v>5.95</v>
      </c>
      <c r="H4196">
        <v>44209</v>
      </c>
      <c r="I4196">
        <v>3.08</v>
      </c>
      <c r="J4196">
        <v>92.35</v>
      </c>
      <c r="K4196" t="s">
        <v>4552</v>
      </c>
    </row>
    <row r="4197" spans="1:11">
      <c r="A4197" t="str">
        <f>"603477"</f>
        <v>603477</v>
      </c>
      <c r="B4197" t="s">
        <v>4553</v>
      </c>
      <c r="C4197">
        <v>90.95</v>
      </c>
      <c r="D4197">
        <v>97.05</v>
      </c>
      <c r="E4197">
        <v>32.01</v>
      </c>
      <c r="F4197">
        <v>5.1</v>
      </c>
      <c r="G4197">
        <v>5.1</v>
      </c>
      <c r="H4197">
        <v>44712</v>
      </c>
      <c r="I4197">
        <v>3.06</v>
      </c>
      <c r="J4197">
        <v>63.63</v>
      </c>
      <c r="K4197" t="s">
        <v>68</v>
      </c>
    </row>
    <row r="4198" spans="1:11">
      <c r="A4198" t="str">
        <f>"603486"</f>
        <v>603486</v>
      </c>
      <c r="B4198" t="s">
        <v>4554</v>
      </c>
      <c r="C4198">
        <v>479.72</v>
      </c>
      <c r="D4198">
        <v>164.97</v>
      </c>
      <c r="E4198">
        <v>87.13</v>
      </c>
      <c r="F4198">
        <v>5.79</v>
      </c>
      <c r="G4198">
        <v>5.73</v>
      </c>
      <c r="H4198">
        <v>31351</v>
      </c>
      <c r="I4198">
        <v>5.63</v>
      </c>
      <c r="J4198">
        <v>25.62</v>
      </c>
      <c r="K4198" t="s">
        <v>2933</v>
      </c>
    </row>
    <row r="4199" spans="1:11">
      <c r="A4199" t="str">
        <f>"603488"</f>
        <v>603488</v>
      </c>
      <c r="B4199" t="s">
        <v>4555</v>
      </c>
      <c r="C4199">
        <v>33.87</v>
      </c>
      <c r="D4199">
        <v>15.15</v>
      </c>
      <c r="E4199">
        <v>9.02</v>
      </c>
      <c r="F4199">
        <v>2.92</v>
      </c>
      <c r="G4199">
        <v>2.92</v>
      </c>
      <c r="H4199">
        <v>15652</v>
      </c>
      <c r="I4199">
        <v>3.75</v>
      </c>
      <c r="J4199" t="s">
        <v>14</v>
      </c>
      <c r="K4199" t="s">
        <v>1155</v>
      </c>
    </row>
    <row r="4200" spans="1:11">
      <c r="A4200" t="str">
        <f>"603489"</f>
        <v>603489</v>
      </c>
      <c r="B4200" t="s">
        <v>4556</v>
      </c>
      <c r="C4200">
        <v>74.33</v>
      </c>
      <c r="D4200">
        <v>32.03</v>
      </c>
      <c r="E4200">
        <v>26.94</v>
      </c>
      <c r="F4200">
        <v>2.35</v>
      </c>
      <c r="G4200">
        <v>2.35</v>
      </c>
      <c r="H4200">
        <v>17717</v>
      </c>
      <c r="I4200">
        <v>2.76</v>
      </c>
      <c r="J4200">
        <v>83.33</v>
      </c>
      <c r="K4200" t="s">
        <v>552</v>
      </c>
    </row>
    <row r="4201" spans="1:11">
      <c r="A4201" t="str">
        <f>"603496"</f>
        <v>603496</v>
      </c>
      <c r="B4201" t="s">
        <v>4557</v>
      </c>
      <c r="C4201">
        <v>123.28</v>
      </c>
      <c r="D4201">
        <v>19.47</v>
      </c>
      <c r="E4201">
        <v>13.94</v>
      </c>
      <c r="F4201">
        <v>3.2</v>
      </c>
      <c r="G4201">
        <v>3.2</v>
      </c>
      <c r="H4201">
        <v>64448</v>
      </c>
      <c r="I4201">
        <v>8.84</v>
      </c>
      <c r="J4201">
        <v>236.99</v>
      </c>
      <c r="K4201" t="s">
        <v>88</v>
      </c>
    </row>
    <row r="4202" spans="1:11">
      <c r="A4202" t="str">
        <f>"603499"</f>
        <v>603499</v>
      </c>
      <c r="B4202" t="s">
        <v>4558</v>
      </c>
      <c r="C4202">
        <v>66.36</v>
      </c>
      <c r="D4202">
        <v>15.29</v>
      </c>
      <c r="E4202">
        <v>8.74</v>
      </c>
      <c r="F4202">
        <v>3.03</v>
      </c>
      <c r="G4202">
        <v>3.03</v>
      </c>
      <c r="H4202">
        <v>17205</v>
      </c>
      <c r="I4202">
        <v>7.59</v>
      </c>
      <c r="J4202">
        <v>52.13</v>
      </c>
      <c r="K4202" t="s">
        <v>460</v>
      </c>
    </row>
    <row r="4203" spans="1:11">
      <c r="A4203" t="str">
        <f>"603500"</f>
        <v>603500</v>
      </c>
      <c r="B4203" t="s">
        <v>4559</v>
      </c>
      <c r="C4203">
        <v>41.28</v>
      </c>
      <c r="D4203">
        <v>15.23</v>
      </c>
      <c r="E4203">
        <v>10.14</v>
      </c>
      <c r="F4203">
        <v>3.33</v>
      </c>
      <c r="G4203">
        <v>3.32</v>
      </c>
      <c r="H4203">
        <v>17406</v>
      </c>
      <c r="I4203">
        <v>4.08</v>
      </c>
      <c r="J4203">
        <v>28.3</v>
      </c>
      <c r="K4203" t="s">
        <v>22</v>
      </c>
    </row>
    <row r="4204" spans="1:11">
      <c r="A4204" t="str">
        <f>"603501"</f>
        <v>603501</v>
      </c>
      <c r="B4204" t="s">
        <v>4560</v>
      </c>
      <c r="C4204">
        <v>1545.18</v>
      </c>
      <c r="D4204">
        <v>442.09</v>
      </c>
      <c r="E4204">
        <v>277.08</v>
      </c>
      <c r="F4204">
        <v>12.56</v>
      </c>
      <c r="G4204">
        <v>12.1</v>
      </c>
      <c r="H4204">
        <v>170514</v>
      </c>
      <c r="I4204">
        <v>5.61</v>
      </c>
      <c r="J4204">
        <v>37.47</v>
      </c>
      <c r="K4204" t="s">
        <v>691</v>
      </c>
    </row>
    <row r="4205" spans="1:11">
      <c r="A4205" t="str">
        <f>"603505"</f>
        <v>603505</v>
      </c>
      <c r="B4205" t="s">
        <v>4561</v>
      </c>
      <c r="C4205">
        <v>162.02</v>
      </c>
      <c r="D4205">
        <v>72.6</v>
      </c>
      <c r="E4205">
        <v>18.03</v>
      </c>
      <c r="F4205">
        <v>8.42</v>
      </c>
      <c r="G4205">
        <v>8.42</v>
      </c>
      <c r="H4205">
        <v>27490</v>
      </c>
      <c r="I4205">
        <v>8.99</v>
      </c>
      <c r="J4205">
        <v>51.57</v>
      </c>
      <c r="K4205" t="s">
        <v>1115</v>
      </c>
    </row>
    <row r="4206" spans="1:11">
      <c r="A4206" t="str">
        <f>"603506"</f>
        <v>603506</v>
      </c>
      <c r="B4206" t="s">
        <v>4562</v>
      </c>
      <c r="C4206">
        <v>26.83</v>
      </c>
      <c r="D4206">
        <v>27.83</v>
      </c>
      <c r="E4206">
        <v>12.48</v>
      </c>
      <c r="F4206">
        <v>1.88</v>
      </c>
      <c r="G4206">
        <v>1.88</v>
      </c>
      <c r="H4206">
        <v>10080</v>
      </c>
      <c r="I4206">
        <v>2.15</v>
      </c>
      <c r="J4206">
        <v>13.03</v>
      </c>
      <c r="K4206" t="s">
        <v>28</v>
      </c>
    </row>
    <row r="4207" spans="1:11">
      <c r="A4207" t="str">
        <f>"603507"</f>
        <v>603507</v>
      </c>
      <c r="B4207" t="s">
        <v>4563</v>
      </c>
      <c r="C4207">
        <v>50.46</v>
      </c>
      <c r="D4207">
        <v>78.41</v>
      </c>
      <c r="E4207">
        <v>24.22</v>
      </c>
      <c r="F4207">
        <v>1.84</v>
      </c>
      <c r="G4207">
        <v>1.82</v>
      </c>
      <c r="H4207">
        <v>21220</v>
      </c>
      <c r="I4207">
        <v>2.11</v>
      </c>
      <c r="J4207">
        <v>88.17</v>
      </c>
      <c r="K4207" t="s">
        <v>456</v>
      </c>
    </row>
    <row r="4208" spans="1:11">
      <c r="A4208" t="str">
        <f>"603508"</f>
        <v>603508</v>
      </c>
      <c r="B4208" t="s">
        <v>4564</v>
      </c>
      <c r="C4208">
        <v>105.19</v>
      </c>
      <c r="D4208">
        <v>42.9</v>
      </c>
      <c r="E4208">
        <v>38.46</v>
      </c>
      <c r="F4208">
        <v>3.81</v>
      </c>
      <c r="G4208">
        <v>3.81</v>
      </c>
      <c r="H4208">
        <v>26220</v>
      </c>
      <c r="I4208">
        <v>2.74</v>
      </c>
      <c r="J4208">
        <v>19.9</v>
      </c>
      <c r="K4208" t="s">
        <v>1022</v>
      </c>
    </row>
    <row r="4209" spans="1:11">
      <c r="A4209" t="str">
        <f>"603511"</f>
        <v>603511</v>
      </c>
      <c r="B4209" t="s">
        <v>4565</v>
      </c>
      <c r="C4209">
        <v>67.76</v>
      </c>
      <c r="D4209">
        <v>51</v>
      </c>
      <c r="E4209">
        <v>43.54</v>
      </c>
      <c r="F4209">
        <v>4.04</v>
      </c>
      <c r="G4209">
        <v>4.02</v>
      </c>
      <c r="H4209">
        <v>14095</v>
      </c>
      <c r="I4209">
        <v>1.56</v>
      </c>
      <c r="J4209">
        <v>50.5</v>
      </c>
      <c r="K4209" t="s">
        <v>1418</v>
      </c>
    </row>
    <row r="4210" spans="1:11">
      <c r="A4210" t="str">
        <f>"603515"</f>
        <v>603515</v>
      </c>
      <c r="B4210" t="s">
        <v>4566</v>
      </c>
      <c r="C4210">
        <v>136.65</v>
      </c>
      <c r="D4210">
        <v>92.7</v>
      </c>
      <c r="E4210">
        <v>66.59</v>
      </c>
      <c r="F4210">
        <v>7.44</v>
      </c>
      <c r="G4210">
        <v>7.36</v>
      </c>
      <c r="H4210">
        <v>12498</v>
      </c>
      <c r="I4210">
        <v>2.07</v>
      </c>
      <c r="J4210">
        <v>17.95</v>
      </c>
      <c r="K4210" t="s">
        <v>216</v>
      </c>
    </row>
    <row r="4211" spans="1:11">
      <c r="A4211" t="str">
        <f>"603516"</f>
        <v>603516</v>
      </c>
      <c r="B4211" t="s">
        <v>4567</v>
      </c>
      <c r="C4211">
        <v>524.57</v>
      </c>
      <c r="D4211">
        <v>15.11</v>
      </c>
      <c r="E4211">
        <v>13.92</v>
      </c>
      <c r="F4211">
        <v>2.03</v>
      </c>
      <c r="G4211">
        <v>2.03</v>
      </c>
      <c r="H4211">
        <v>37106</v>
      </c>
      <c r="I4211">
        <v>37.68</v>
      </c>
      <c r="J4211" t="s">
        <v>14</v>
      </c>
      <c r="K4211" t="s">
        <v>88</v>
      </c>
    </row>
    <row r="4212" spans="1:11">
      <c r="A4212" t="str">
        <f>"603517"</f>
        <v>603517</v>
      </c>
      <c r="B4212" t="s">
        <v>4568</v>
      </c>
      <c r="C4212">
        <v>78.9</v>
      </c>
      <c r="D4212">
        <v>83.57</v>
      </c>
      <c r="E4212">
        <v>63.83</v>
      </c>
      <c r="F4212">
        <v>6.06</v>
      </c>
      <c r="G4212">
        <v>6.06</v>
      </c>
      <c r="H4212">
        <v>50000</v>
      </c>
      <c r="I4212">
        <v>1.24</v>
      </c>
      <c r="J4212">
        <v>21.11</v>
      </c>
      <c r="K4212" t="s">
        <v>1479</v>
      </c>
    </row>
    <row r="4213" spans="1:11">
      <c r="A4213" t="str">
        <f>"603518"</f>
        <v>603518</v>
      </c>
      <c r="B4213" t="s">
        <v>4569</v>
      </c>
      <c r="C4213">
        <v>34.14</v>
      </c>
      <c r="D4213">
        <v>57.76</v>
      </c>
      <c r="E4213">
        <v>36.36</v>
      </c>
      <c r="F4213">
        <v>3.45</v>
      </c>
      <c r="G4213">
        <v>3.44</v>
      </c>
      <c r="H4213">
        <v>25439</v>
      </c>
      <c r="I4213">
        <v>0.95</v>
      </c>
      <c r="J4213">
        <v>22.54</v>
      </c>
      <c r="K4213" t="s">
        <v>622</v>
      </c>
    </row>
    <row r="4214" spans="1:11">
      <c r="A4214" t="str">
        <f>"603519"</f>
        <v>603519</v>
      </c>
      <c r="B4214" t="s">
        <v>4570</v>
      </c>
      <c r="C4214">
        <v>32.73</v>
      </c>
      <c r="D4214">
        <v>15.63</v>
      </c>
      <c r="E4214">
        <v>11.89</v>
      </c>
      <c r="F4214">
        <v>2.66</v>
      </c>
      <c r="G4214">
        <v>2.66</v>
      </c>
      <c r="H4214">
        <v>13757</v>
      </c>
      <c r="I4214">
        <v>2.75</v>
      </c>
      <c r="J4214">
        <v>20.76</v>
      </c>
      <c r="K4214" t="s">
        <v>134</v>
      </c>
    </row>
    <row r="4215" spans="1:11">
      <c r="A4215" t="str">
        <f>"603520"</f>
        <v>603520</v>
      </c>
      <c r="B4215" t="s">
        <v>4571</v>
      </c>
      <c r="C4215">
        <v>45.29</v>
      </c>
      <c r="D4215">
        <v>58.51</v>
      </c>
      <c r="E4215">
        <v>26</v>
      </c>
      <c r="F4215">
        <v>4.38</v>
      </c>
      <c r="G4215">
        <v>4.38</v>
      </c>
      <c r="H4215">
        <v>32629</v>
      </c>
      <c r="I4215">
        <v>1.74</v>
      </c>
      <c r="J4215">
        <v>117.84</v>
      </c>
      <c r="K4215" t="s">
        <v>404</v>
      </c>
    </row>
    <row r="4216" spans="1:11">
      <c r="A4216" t="str">
        <f>"603527"</f>
        <v>603527</v>
      </c>
      <c r="B4216" t="s">
        <v>4572</v>
      </c>
      <c r="C4216">
        <v>35.94</v>
      </c>
      <c r="D4216">
        <v>50.29</v>
      </c>
      <c r="E4216">
        <v>20.63</v>
      </c>
      <c r="F4216">
        <v>3.17</v>
      </c>
      <c r="G4216">
        <v>3.17</v>
      </c>
      <c r="H4216">
        <v>23130</v>
      </c>
      <c r="I4216">
        <v>1.74</v>
      </c>
      <c r="J4216">
        <v>26.93</v>
      </c>
      <c r="K4216" t="s">
        <v>303</v>
      </c>
    </row>
    <row r="4217" spans="1:11">
      <c r="A4217" t="str">
        <f>"603528"</f>
        <v>603528</v>
      </c>
      <c r="B4217" t="s">
        <v>4573</v>
      </c>
      <c r="C4217">
        <v>78.08</v>
      </c>
      <c r="D4217">
        <v>23.23</v>
      </c>
      <c r="E4217">
        <v>19.01</v>
      </c>
      <c r="F4217">
        <v>7.06</v>
      </c>
      <c r="G4217">
        <v>7.06</v>
      </c>
      <c r="H4217">
        <v>57383</v>
      </c>
      <c r="I4217">
        <v>4.11</v>
      </c>
      <c r="J4217" t="s">
        <v>14</v>
      </c>
      <c r="K4217" t="s">
        <v>117</v>
      </c>
    </row>
    <row r="4218" spans="1:11">
      <c r="A4218" t="str">
        <f>"603529"</f>
        <v>603529</v>
      </c>
      <c r="B4218" t="s">
        <v>4574</v>
      </c>
      <c r="C4218">
        <v>255.96</v>
      </c>
      <c r="D4218">
        <v>274.72</v>
      </c>
      <c r="E4218">
        <v>99.5</v>
      </c>
      <c r="F4218">
        <v>8.69</v>
      </c>
      <c r="G4218">
        <v>8.48</v>
      </c>
      <c r="H4218">
        <v>31722</v>
      </c>
      <c r="I4218">
        <v>2.76</v>
      </c>
      <c r="J4218">
        <v>10.32</v>
      </c>
      <c r="K4218" t="s">
        <v>870</v>
      </c>
    </row>
    <row r="4219" spans="1:11">
      <c r="A4219" t="str">
        <f>"603530"</f>
        <v>603530</v>
      </c>
      <c r="B4219" t="s">
        <v>4575</v>
      </c>
      <c r="C4219">
        <v>196.72</v>
      </c>
      <c r="D4219">
        <v>26.95</v>
      </c>
      <c r="E4219">
        <v>16.32</v>
      </c>
      <c r="F4219">
        <v>4.32</v>
      </c>
      <c r="G4219">
        <v>4.27</v>
      </c>
      <c r="H4219">
        <v>11276</v>
      </c>
      <c r="I4219">
        <v>12.17</v>
      </c>
      <c r="J4219">
        <v>53.78</v>
      </c>
      <c r="K4219" t="s">
        <v>383</v>
      </c>
    </row>
    <row r="4220" spans="1:11">
      <c r="A4220" t="str">
        <f>"603533"</f>
        <v>603533</v>
      </c>
      <c r="B4220" t="s">
        <v>4576</v>
      </c>
      <c r="C4220">
        <v>118.5</v>
      </c>
      <c r="D4220">
        <v>29.57</v>
      </c>
      <c r="E4220">
        <v>23.12</v>
      </c>
      <c r="F4220">
        <v>4.39</v>
      </c>
      <c r="G4220">
        <v>4.39</v>
      </c>
      <c r="H4220">
        <v>56472</v>
      </c>
      <c r="I4220">
        <v>5.13</v>
      </c>
      <c r="J4220" t="s">
        <v>14</v>
      </c>
      <c r="K4220" t="s">
        <v>339</v>
      </c>
    </row>
    <row r="4221" spans="1:11">
      <c r="A4221" t="str">
        <f>"603535"</f>
        <v>603535</v>
      </c>
      <c r="B4221" t="s">
        <v>4577</v>
      </c>
      <c r="C4221">
        <v>53.34</v>
      </c>
      <c r="D4221">
        <v>49.61</v>
      </c>
      <c r="E4221">
        <v>27.45</v>
      </c>
      <c r="F4221">
        <v>5.11</v>
      </c>
      <c r="G4221">
        <v>5.11</v>
      </c>
      <c r="H4221">
        <v>13235</v>
      </c>
      <c r="I4221">
        <v>2.03</v>
      </c>
      <c r="J4221">
        <v>26.89</v>
      </c>
      <c r="K4221" t="s">
        <v>740</v>
      </c>
    </row>
    <row r="4222" spans="1:11">
      <c r="A4222" t="str">
        <f>"603536"</f>
        <v>603536</v>
      </c>
      <c r="B4222" t="s">
        <v>4578</v>
      </c>
      <c r="C4222">
        <v>27.25</v>
      </c>
      <c r="D4222">
        <v>12.79</v>
      </c>
      <c r="E4222">
        <v>4.13</v>
      </c>
      <c r="F4222">
        <v>2.42</v>
      </c>
      <c r="G4222">
        <v>2.41</v>
      </c>
      <c r="H4222">
        <v>25927</v>
      </c>
      <c r="I4222">
        <v>6.71</v>
      </c>
      <c r="J4222" t="s">
        <v>14</v>
      </c>
      <c r="K4222" t="s">
        <v>629</v>
      </c>
    </row>
    <row r="4223" spans="1:11">
      <c r="A4223" t="str">
        <f>"603538"</f>
        <v>603538</v>
      </c>
      <c r="B4223" t="s">
        <v>4579</v>
      </c>
      <c r="C4223">
        <v>45.25</v>
      </c>
      <c r="D4223">
        <v>47.48</v>
      </c>
      <c r="E4223">
        <v>23.15</v>
      </c>
      <c r="F4223">
        <v>2.21</v>
      </c>
      <c r="G4223">
        <v>2.16</v>
      </c>
      <c r="H4223">
        <v>34704</v>
      </c>
      <c r="I4223">
        <v>2.05</v>
      </c>
      <c r="J4223">
        <v>36.1</v>
      </c>
      <c r="K4223" t="s">
        <v>404</v>
      </c>
    </row>
    <row r="4224" spans="1:11">
      <c r="A4224" t="str">
        <f>"603551"</f>
        <v>603551</v>
      </c>
      <c r="B4224" t="s">
        <v>4580</v>
      </c>
      <c r="C4224">
        <v>43.23</v>
      </c>
      <c r="D4224">
        <v>21.43</v>
      </c>
      <c r="E4224">
        <v>13.73</v>
      </c>
      <c r="F4224">
        <v>3.9</v>
      </c>
      <c r="G4224">
        <v>3.85</v>
      </c>
      <c r="H4224">
        <v>10126</v>
      </c>
      <c r="I4224">
        <v>3.19</v>
      </c>
      <c r="J4224">
        <v>17.82</v>
      </c>
      <c r="K4224" t="s">
        <v>4510</v>
      </c>
    </row>
    <row r="4225" spans="1:11">
      <c r="A4225" t="str">
        <f>"603556"</f>
        <v>603556</v>
      </c>
      <c r="B4225" t="s">
        <v>4581</v>
      </c>
      <c r="C4225">
        <v>183.18</v>
      </c>
      <c r="D4225">
        <v>98.15</v>
      </c>
      <c r="E4225">
        <v>73.75</v>
      </c>
      <c r="F4225">
        <v>4.86</v>
      </c>
      <c r="G4225">
        <v>4.86</v>
      </c>
      <c r="H4225">
        <v>24756</v>
      </c>
      <c r="I4225">
        <v>2.48</v>
      </c>
      <c r="J4225">
        <v>18.76</v>
      </c>
      <c r="K4225" t="s">
        <v>888</v>
      </c>
    </row>
    <row r="4226" spans="1:11">
      <c r="A4226" t="str">
        <f>"603557"</f>
        <v>603557</v>
      </c>
      <c r="B4226" t="s">
        <v>4582</v>
      </c>
      <c r="C4226">
        <v>16.33</v>
      </c>
      <c r="D4226">
        <v>6.76</v>
      </c>
      <c r="E4226">
        <v>0.78</v>
      </c>
      <c r="F4226">
        <v>6.23</v>
      </c>
      <c r="G4226">
        <v>6.23</v>
      </c>
      <c r="H4226">
        <v>13081</v>
      </c>
      <c r="I4226">
        <v>20.79</v>
      </c>
      <c r="J4226" t="s">
        <v>14</v>
      </c>
      <c r="K4226" t="s">
        <v>1418</v>
      </c>
    </row>
    <row r="4227" spans="1:11">
      <c r="A4227" t="str">
        <f>"603558"</f>
        <v>603558</v>
      </c>
      <c r="B4227" t="s">
        <v>4583</v>
      </c>
      <c r="C4227">
        <v>37.59</v>
      </c>
      <c r="D4227">
        <v>39.63</v>
      </c>
      <c r="E4227">
        <v>23.97</v>
      </c>
      <c r="F4227">
        <v>3.43</v>
      </c>
      <c r="G4227">
        <v>3.43</v>
      </c>
      <c r="H4227">
        <v>15631</v>
      </c>
      <c r="I4227">
        <v>1.57</v>
      </c>
      <c r="J4227">
        <v>9.13</v>
      </c>
      <c r="K4227" t="s">
        <v>391</v>
      </c>
    </row>
    <row r="4228" spans="1:11">
      <c r="A4228" t="str">
        <f>"603559"</f>
        <v>603559</v>
      </c>
      <c r="B4228" t="s">
        <v>4584</v>
      </c>
      <c r="C4228">
        <v>26.56</v>
      </c>
      <c r="D4228">
        <v>14.74</v>
      </c>
      <c r="E4228">
        <v>9.52</v>
      </c>
      <c r="F4228">
        <v>4.01</v>
      </c>
      <c r="G4228">
        <v>4.01</v>
      </c>
      <c r="H4228">
        <v>9271</v>
      </c>
      <c r="I4228">
        <v>2.79</v>
      </c>
      <c r="J4228" t="s">
        <v>14</v>
      </c>
      <c r="K4228" t="s">
        <v>1698</v>
      </c>
    </row>
    <row r="4229" spans="1:11">
      <c r="A4229" t="str">
        <f>"603565"</f>
        <v>603565</v>
      </c>
      <c r="B4229" t="s">
        <v>4585</v>
      </c>
      <c r="C4229">
        <v>208.96</v>
      </c>
      <c r="D4229">
        <v>243.56</v>
      </c>
      <c r="E4229">
        <v>98.79</v>
      </c>
      <c r="F4229">
        <v>21</v>
      </c>
      <c r="G4229">
        <v>21</v>
      </c>
      <c r="H4229">
        <v>27315</v>
      </c>
      <c r="I4229">
        <v>2.12</v>
      </c>
      <c r="J4229">
        <v>11.11</v>
      </c>
      <c r="K4229" t="s">
        <v>188</v>
      </c>
    </row>
    <row r="4230" spans="1:11">
      <c r="A4230" t="str">
        <f>"603566"</f>
        <v>603566</v>
      </c>
      <c r="B4230" t="s">
        <v>4586</v>
      </c>
      <c r="C4230">
        <v>44.85</v>
      </c>
      <c r="D4230">
        <v>30.91</v>
      </c>
      <c r="E4230">
        <v>25.78</v>
      </c>
      <c r="F4230">
        <v>3.46</v>
      </c>
      <c r="G4230">
        <v>3.46</v>
      </c>
      <c r="H4230">
        <v>16686</v>
      </c>
      <c r="I4230">
        <v>1.74</v>
      </c>
      <c r="J4230">
        <v>21.41</v>
      </c>
      <c r="K4230" t="s">
        <v>912</v>
      </c>
    </row>
    <row r="4231" spans="1:11">
      <c r="A4231" t="str">
        <f>"603567"</f>
        <v>603567</v>
      </c>
      <c r="B4231" t="s">
        <v>4587</v>
      </c>
      <c r="C4231">
        <v>91.89</v>
      </c>
      <c r="D4231">
        <v>117.97</v>
      </c>
      <c r="E4231">
        <v>72.88</v>
      </c>
      <c r="F4231">
        <v>9.41</v>
      </c>
      <c r="G4231">
        <v>9.4</v>
      </c>
      <c r="H4231">
        <v>23508</v>
      </c>
      <c r="I4231">
        <v>1.26</v>
      </c>
      <c r="J4231" t="s">
        <v>14</v>
      </c>
      <c r="K4231" t="s">
        <v>155</v>
      </c>
    </row>
    <row r="4232" spans="1:11">
      <c r="A4232" t="str">
        <f>"603568"</f>
        <v>603568</v>
      </c>
      <c r="B4232" t="s">
        <v>4588</v>
      </c>
      <c r="C4232">
        <v>431.37</v>
      </c>
      <c r="D4232">
        <v>299.49</v>
      </c>
      <c r="E4232">
        <v>146.32</v>
      </c>
      <c r="F4232">
        <v>17.1</v>
      </c>
      <c r="G4232">
        <v>17.07</v>
      </c>
      <c r="H4232">
        <v>27765</v>
      </c>
      <c r="I4232">
        <v>2.97</v>
      </c>
      <c r="J4232">
        <v>15.18</v>
      </c>
      <c r="K4232" t="s">
        <v>59</v>
      </c>
    </row>
    <row r="4233" spans="1:11">
      <c r="A4233" t="str">
        <f>"603569"</f>
        <v>603569</v>
      </c>
      <c r="B4233" t="s">
        <v>4589</v>
      </c>
      <c r="C4233">
        <v>47.62</v>
      </c>
      <c r="D4233">
        <v>61.18</v>
      </c>
      <c r="E4233">
        <v>30</v>
      </c>
      <c r="F4233">
        <v>6.04</v>
      </c>
      <c r="G4233">
        <v>6.04</v>
      </c>
      <c r="H4233">
        <v>20416</v>
      </c>
      <c r="I4233">
        <v>1.59</v>
      </c>
      <c r="J4233">
        <v>73.65</v>
      </c>
      <c r="K4233" t="s">
        <v>4406</v>
      </c>
    </row>
    <row r="4234" spans="1:11">
      <c r="A4234" t="str">
        <f>"603577"</f>
        <v>603577</v>
      </c>
      <c r="B4234" t="s">
        <v>4590</v>
      </c>
      <c r="C4234">
        <v>36.08</v>
      </c>
      <c r="D4234">
        <v>64.12</v>
      </c>
      <c r="E4234">
        <v>19.4</v>
      </c>
      <c r="F4234">
        <v>3.39</v>
      </c>
      <c r="G4234">
        <v>3.39</v>
      </c>
      <c r="H4234">
        <v>19333</v>
      </c>
      <c r="I4234">
        <v>1.86</v>
      </c>
      <c r="J4234">
        <v>32.89</v>
      </c>
      <c r="K4234" t="s">
        <v>383</v>
      </c>
    </row>
    <row r="4235" spans="1:11">
      <c r="A4235" t="str">
        <f>"603578"</f>
        <v>603578</v>
      </c>
      <c r="B4235" t="s">
        <v>4591</v>
      </c>
      <c r="C4235">
        <v>22.67</v>
      </c>
      <c r="D4235">
        <v>44.87</v>
      </c>
      <c r="E4235">
        <v>9.81</v>
      </c>
      <c r="F4235">
        <v>1.8</v>
      </c>
      <c r="G4235">
        <v>1.8</v>
      </c>
      <c r="H4235">
        <v>11614</v>
      </c>
      <c r="I4235">
        <v>2.31</v>
      </c>
      <c r="J4235" t="s">
        <v>14</v>
      </c>
      <c r="K4235" t="s">
        <v>134</v>
      </c>
    </row>
    <row r="4236" spans="1:11">
      <c r="A4236" t="str">
        <f>"603579"</f>
        <v>603579</v>
      </c>
      <c r="B4236" t="s">
        <v>4592</v>
      </c>
      <c r="C4236">
        <v>56.17</v>
      </c>
      <c r="D4236">
        <v>33.48</v>
      </c>
      <c r="E4236">
        <v>27.48</v>
      </c>
      <c r="F4236">
        <v>2.03</v>
      </c>
      <c r="G4236">
        <v>2.03</v>
      </c>
      <c r="H4236">
        <v>15470</v>
      </c>
      <c r="I4236">
        <v>2.04</v>
      </c>
      <c r="J4236">
        <v>38.01</v>
      </c>
      <c r="K4236" t="s">
        <v>1399</v>
      </c>
    </row>
    <row r="4237" spans="1:11">
      <c r="A4237" t="str">
        <f>"603580"</f>
        <v>603580</v>
      </c>
      <c r="B4237" t="s">
        <v>4593</v>
      </c>
      <c r="C4237">
        <v>20.65</v>
      </c>
      <c r="D4237">
        <v>7.78</v>
      </c>
      <c r="E4237">
        <v>4.21</v>
      </c>
      <c r="F4237">
        <v>1.31</v>
      </c>
      <c r="G4237">
        <v>1.31</v>
      </c>
      <c r="H4237">
        <v>7327</v>
      </c>
      <c r="I4237">
        <v>4.9</v>
      </c>
      <c r="J4237">
        <v>116.45</v>
      </c>
      <c r="K4237" t="s">
        <v>549</v>
      </c>
    </row>
    <row r="4238" spans="1:11">
      <c r="A4238" t="str">
        <f>"603583"</f>
        <v>603583</v>
      </c>
      <c r="B4238" t="s">
        <v>4594</v>
      </c>
      <c r="C4238">
        <v>144.11</v>
      </c>
      <c r="D4238">
        <v>68.43</v>
      </c>
      <c r="E4238">
        <v>46.61</v>
      </c>
      <c r="F4238">
        <v>3.86</v>
      </c>
      <c r="G4238">
        <v>3.82</v>
      </c>
      <c r="H4238">
        <v>50067</v>
      </c>
      <c r="I4238">
        <v>3.09</v>
      </c>
      <c r="J4238">
        <v>28.7</v>
      </c>
      <c r="K4238" t="s">
        <v>663</v>
      </c>
    </row>
    <row r="4239" spans="1:11">
      <c r="A4239" t="str">
        <f>"603585"</f>
        <v>603585</v>
      </c>
      <c r="B4239" t="s">
        <v>4595</v>
      </c>
      <c r="C4239">
        <v>36.69</v>
      </c>
      <c r="D4239">
        <v>56.26</v>
      </c>
      <c r="E4239">
        <v>26.53</v>
      </c>
      <c r="F4239">
        <v>1.87</v>
      </c>
      <c r="G4239">
        <v>1.83</v>
      </c>
      <c r="H4239">
        <v>12100</v>
      </c>
      <c r="I4239">
        <v>1.48</v>
      </c>
      <c r="J4239">
        <v>20.22</v>
      </c>
      <c r="K4239" t="s">
        <v>196</v>
      </c>
    </row>
    <row r="4240" spans="1:11">
      <c r="A4240" t="str">
        <f>"603586"</f>
        <v>603586</v>
      </c>
      <c r="B4240" t="s">
        <v>4596</v>
      </c>
      <c r="C4240">
        <v>37.07</v>
      </c>
      <c r="D4240">
        <v>26.93</v>
      </c>
      <c r="E4240">
        <v>23.2</v>
      </c>
      <c r="F4240">
        <v>1.96</v>
      </c>
      <c r="G4240">
        <v>1.96</v>
      </c>
      <c r="H4240">
        <v>22119</v>
      </c>
      <c r="I4240">
        <v>1.6</v>
      </c>
      <c r="J4240">
        <v>20.85</v>
      </c>
      <c r="K4240" t="s">
        <v>51</v>
      </c>
    </row>
    <row r="4241" spans="1:11">
      <c r="A4241" t="str">
        <f>"603587"</f>
        <v>603587</v>
      </c>
      <c r="B4241" t="s">
        <v>4597</v>
      </c>
      <c r="C4241">
        <v>62.06</v>
      </c>
      <c r="D4241">
        <v>42.34</v>
      </c>
      <c r="E4241">
        <v>36.05</v>
      </c>
      <c r="F4241">
        <v>4.74</v>
      </c>
      <c r="G4241">
        <v>4.74</v>
      </c>
      <c r="H4241">
        <v>19454</v>
      </c>
      <c r="I4241">
        <v>1.72</v>
      </c>
      <c r="J4241">
        <v>19.72</v>
      </c>
      <c r="K4241" t="s">
        <v>622</v>
      </c>
    </row>
    <row r="4242" spans="1:11">
      <c r="A4242" t="str">
        <f>"603588"</f>
        <v>603588</v>
      </c>
      <c r="B4242" t="s">
        <v>4598</v>
      </c>
      <c r="C4242">
        <v>134.35</v>
      </c>
      <c r="D4242">
        <v>271.61</v>
      </c>
      <c r="E4242">
        <v>95.78</v>
      </c>
      <c r="F4242">
        <v>15.23</v>
      </c>
      <c r="G4242">
        <v>15.23</v>
      </c>
      <c r="H4242">
        <v>40760</v>
      </c>
      <c r="I4242">
        <v>1.4</v>
      </c>
      <c r="J4242">
        <v>15.6</v>
      </c>
      <c r="K4242" t="s">
        <v>59</v>
      </c>
    </row>
    <row r="4243" spans="1:11">
      <c r="A4243" t="str">
        <f>"603589"</f>
        <v>603589</v>
      </c>
      <c r="B4243" t="s">
        <v>4599</v>
      </c>
      <c r="C4243">
        <v>179.2</v>
      </c>
      <c r="D4243">
        <v>125.83</v>
      </c>
      <c r="E4243">
        <v>104.73</v>
      </c>
      <c r="F4243">
        <v>5.98</v>
      </c>
      <c r="G4243">
        <v>5.98</v>
      </c>
      <c r="H4243">
        <v>73133</v>
      </c>
      <c r="I4243">
        <v>1.71</v>
      </c>
      <c r="J4243">
        <v>18.11</v>
      </c>
      <c r="K4243" t="s">
        <v>251</v>
      </c>
    </row>
    <row r="4244" spans="1:11">
      <c r="A4244" t="str">
        <f>"603590"</f>
        <v>603590</v>
      </c>
      <c r="B4244" t="s">
        <v>4600</v>
      </c>
      <c r="C4244">
        <v>68.05</v>
      </c>
      <c r="D4244">
        <v>40.49</v>
      </c>
      <c r="E4244">
        <v>31.97</v>
      </c>
      <c r="F4244">
        <v>1.59</v>
      </c>
      <c r="G4244">
        <v>1.58</v>
      </c>
      <c r="H4244">
        <v>10686</v>
      </c>
      <c r="I4244">
        <v>2.14</v>
      </c>
      <c r="J4244">
        <v>40.11</v>
      </c>
      <c r="K4244" t="s">
        <v>210</v>
      </c>
    </row>
    <row r="4245" spans="1:11">
      <c r="A4245" t="str">
        <f>"603595"</f>
        <v>603595</v>
      </c>
      <c r="B4245" t="s">
        <v>4601</v>
      </c>
      <c r="C4245">
        <v>39.47</v>
      </c>
      <c r="D4245">
        <v>49.39</v>
      </c>
      <c r="E4245">
        <v>15.46</v>
      </c>
      <c r="F4245">
        <v>2.32</v>
      </c>
      <c r="G4245">
        <v>2.32</v>
      </c>
      <c r="H4245">
        <v>34477</v>
      </c>
      <c r="I4245">
        <v>2.55</v>
      </c>
      <c r="J4245" t="s">
        <v>14</v>
      </c>
      <c r="K4245" t="s">
        <v>41</v>
      </c>
    </row>
    <row r="4246" spans="1:11">
      <c r="A4246" t="str">
        <f>"603596"</f>
        <v>603596</v>
      </c>
      <c r="B4246" t="s">
        <v>4602</v>
      </c>
      <c r="C4246">
        <v>336.55</v>
      </c>
      <c r="D4246">
        <v>162.95</v>
      </c>
      <c r="E4246">
        <v>75.44</v>
      </c>
      <c r="F4246">
        <v>6.07</v>
      </c>
      <c r="G4246">
        <v>6.07</v>
      </c>
      <c r="H4246">
        <v>34800</v>
      </c>
      <c r="I4246">
        <v>4.6</v>
      </c>
      <c r="J4246">
        <v>28.31</v>
      </c>
      <c r="K4246" t="s">
        <v>51</v>
      </c>
    </row>
    <row r="4247" spans="1:11">
      <c r="A4247" t="str">
        <f>"603598"</f>
        <v>603598</v>
      </c>
      <c r="B4247" t="s">
        <v>4603</v>
      </c>
      <c r="C4247">
        <v>87.24</v>
      </c>
      <c r="D4247">
        <v>17.11</v>
      </c>
      <c r="E4247">
        <v>2.08</v>
      </c>
      <c r="F4247">
        <v>2.7</v>
      </c>
      <c r="G4247">
        <v>2.69</v>
      </c>
      <c r="H4247">
        <v>45547</v>
      </c>
      <c r="I4247">
        <v>41.86</v>
      </c>
      <c r="J4247">
        <v>321.73</v>
      </c>
      <c r="K4247" t="s">
        <v>333</v>
      </c>
    </row>
    <row r="4248" spans="1:11">
      <c r="A4248" t="str">
        <f>"603599"</f>
        <v>603599</v>
      </c>
      <c r="B4248" t="s">
        <v>4604</v>
      </c>
      <c r="C4248">
        <v>107.68</v>
      </c>
      <c r="D4248">
        <v>150.85</v>
      </c>
      <c r="E4248">
        <v>99.69</v>
      </c>
      <c r="F4248">
        <v>9.1</v>
      </c>
      <c r="G4248">
        <v>9.1</v>
      </c>
      <c r="H4248">
        <v>19052</v>
      </c>
      <c r="I4248">
        <v>1.08</v>
      </c>
      <c r="J4248">
        <v>15.52</v>
      </c>
      <c r="K4248" t="s">
        <v>196</v>
      </c>
    </row>
    <row r="4249" spans="1:11">
      <c r="A4249" t="str">
        <f>"603600"</f>
        <v>603600</v>
      </c>
      <c r="B4249" t="s">
        <v>4605</v>
      </c>
      <c r="C4249">
        <v>34.95</v>
      </c>
      <c r="D4249">
        <v>45.85</v>
      </c>
      <c r="E4249">
        <v>22.9</v>
      </c>
      <c r="F4249">
        <v>3.3</v>
      </c>
      <c r="G4249">
        <v>3</v>
      </c>
      <c r="H4249">
        <v>15433</v>
      </c>
      <c r="I4249">
        <v>1.68</v>
      </c>
      <c r="J4249">
        <v>15.08</v>
      </c>
      <c r="K4249" t="s">
        <v>540</v>
      </c>
    </row>
    <row r="4250" spans="1:11">
      <c r="A4250" t="str">
        <f>"603601"</f>
        <v>603601</v>
      </c>
      <c r="B4250" t="s">
        <v>4606</v>
      </c>
      <c r="C4250">
        <v>129.04</v>
      </c>
      <c r="D4250">
        <v>31.85</v>
      </c>
      <c r="E4250">
        <v>22.8</v>
      </c>
      <c r="F4250">
        <v>10.88</v>
      </c>
      <c r="G4250">
        <v>10.88</v>
      </c>
      <c r="H4250">
        <v>59497</v>
      </c>
      <c r="I4250">
        <v>5.56</v>
      </c>
      <c r="J4250">
        <v>119.1</v>
      </c>
      <c r="K4250" t="s">
        <v>842</v>
      </c>
    </row>
    <row r="4251" spans="1:11">
      <c r="A4251" t="str">
        <f>"603602"</f>
        <v>603602</v>
      </c>
      <c r="B4251" t="s">
        <v>4607</v>
      </c>
      <c r="C4251">
        <v>40.04</v>
      </c>
      <c r="D4251">
        <v>25.27</v>
      </c>
      <c r="E4251">
        <v>10.63</v>
      </c>
      <c r="F4251">
        <v>2.31</v>
      </c>
      <c r="G4251">
        <v>2.31</v>
      </c>
      <c r="H4251">
        <v>25684</v>
      </c>
      <c r="I4251">
        <v>3.74</v>
      </c>
      <c r="J4251">
        <v>98.17</v>
      </c>
      <c r="K4251" t="s">
        <v>1698</v>
      </c>
    </row>
    <row r="4252" spans="1:11">
      <c r="A4252" t="str">
        <f>"603605"</f>
        <v>603605</v>
      </c>
      <c r="B4252" t="s">
        <v>4608</v>
      </c>
      <c r="C4252">
        <v>279.48</v>
      </c>
      <c r="D4252">
        <v>85.75</v>
      </c>
      <c r="E4252">
        <v>56.69</v>
      </c>
      <c r="F4252">
        <v>3.96</v>
      </c>
      <c r="G4252">
        <v>3.96</v>
      </c>
      <c r="H4252">
        <v>84093</v>
      </c>
      <c r="I4252">
        <v>4.98</v>
      </c>
      <c r="J4252">
        <v>20.44</v>
      </c>
      <c r="K4252" t="s">
        <v>856</v>
      </c>
    </row>
    <row r="4253" spans="1:11">
      <c r="A4253" t="str">
        <f>"603606"</f>
        <v>603606</v>
      </c>
      <c r="B4253" t="s">
        <v>4609</v>
      </c>
      <c r="C4253">
        <v>404.86</v>
      </c>
      <c r="D4253">
        <v>139.74</v>
      </c>
      <c r="E4253">
        <v>76.67</v>
      </c>
      <c r="F4253">
        <v>6.88</v>
      </c>
      <c r="G4253">
        <v>6.88</v>
      </c>
      <c r="H4253">
        <v>28793</v>
      </c>
      <c r="I4253">
        <v>5.28</v>
      </c>
      <c r="J4253">
        <v>33.22</v>
      </c>
      <c r="K4253" t="s">
        <v>383</v>
      </c>
    </row>
    <row r="4254" spans="1:11">
      <c r="A4254" t="str">
        <f>"603607"</f>
        <v>603607</v>
      </c>
      <c r="B4254" t="s">
        <v>4610</v>
      </c>
      <c r="C4254">
        <v>48.68</v>
      </c>
      <c r="D4254">
        <v>17.81</v>
      </c>
      <c r="E4254">
        <v>10.11</v>
      </c>
      <c r="F4254">
        <v>1.79</v>
      </c>
      <c r="G4254">
        <v>1.79</v>
      </c>
      <c r="H4254">
        <v>26637</v>
      </c>
      <c r="I4254">
        <v>4.82</v>
      </c>
      <c r="J4254">
        <v>49.7</v>
      </c>
      <c r="K4254" t="s">
        <v>1030</v>
      </c>
    </row>
    <row r="4255" spans="1:11">
      <c r="A4255" t="str">
        <f>"603608"</f>
        <v>603608</v>
      </c>
      <c r="B4255" t="s">
        <v>4611</v>
      </c>
      <c r="C4255">
        <v>42.39</v>
      </c>
      <c r="D4255">
        <v>15.3</v>
      </c>
      <c r="E4255">
        <v>10.69</v>
      </c>
      <c r="F4255">
        <v>4.2</v>
      </c>
      <c r="G4255">
        <v>4.2</v>
      </c>
      <c r="H4255">
        <v>12867</v>
      </c>
      <c r="I4255">
        <v>4.01</v>
      </c>
      <c r="J4255" t="s">
        <v>14</v>
      </c>
      <c r="K4255" t="s">
        <v>1418</v>
      </c>
    </row>
    <row r="4256" spans="1:11">
      <c r="A4256" t="str">
        <f>"603609"</f>
        <v>603609</v>
      </c>
      <c r="B4256" t="s">
        <v>4612</v>
      </c>
      <c r="C4256">
        <v>65.97</v>
      </c>
      <c r="D4256">
        <v>186.42</v>
      </c>
      <c r="E4256">
        <v>67.1</v>
      </c>
      <c r="F4256">
        <v>9.12</v>
      </c>
      <c r="G4256">
        <v>9.12</v>
      </c>
      <c r="H4256">
        <v>22545</v>
      </c>
      <c r="I4256">
        <v>1.02</v>
      </c>
      <c r="J4256">
        <v>38.32</v>
      </c>
      <c r="K4256" t="s">
        <v>359</v>
      </c>
    </row>
    <row r="4257" spans="1:11">
      <c r="A4257" t="str">
        <f>"603610"</f>
        <v>603610</v>
      </c>
      <c r="B4257" t="s">
        <v>4613</v>
      </c>
      <c r="C4257">
        <v>65.87</v>
      </c>
      <c r="D4257">
        <v>46.19</v>
      </c>
      <c r="E4257">
        <v>31.55</v>
      </c>
      <c r="F4257">
        <v>3.53</v>
      </c>
      <c r="G4257">
        <v>3.53</v>
      </c>
      <c r="H4257">
        <v>23476</v>
      </c>
      <c r="I4257">
        <v>2.09</v>
      </c>
      <c r="J4257">
        <v>33.61</v>
      </c>
      <c r="K4257" t="s">
        <v>540</v>
      </c>
    </row>
    <row r="4258" spans="1:11">
      <c r="A4258" t="str">
        <f>"603611"</f>
        <v>603611</v>
      </c>
      <c r="B4258" t="s">
        <v>4614</v>
      </c>
      <c r="C4258">
        <v>60.87</v>
      </c>
      <c r="D4258">
        <v>95.06</v>
      </c>
      <c r="E4258">
        <v>31.4</v>
      </c>
      <c r="F4258">
        <v>2.58</v>
      </c>
      <c r="G4258">
        <v>2.58</v>
      </c>
      <c r="H4258">
        <v>24017</v>
      </c>
      <c r="I4258">
        <v>1.94</v>
      </c>
      <c r="J4258">
        <v>11.52</v>
      </c>
      <c r="K4258" t="s">
        <v>493</v>
      </c>
    </row>
    <row r="4259" spans="1:11">
      <c r="A4259" t="str">
        <f>"603612"</f>
        <v>603612</v>
      </c>
      <c r="B4259" t="s">
        <v>4615</v>
      </c>
      <c r="C4259">
        <v>128.16</v>
      </c>
      <c r="D4259">
        <v>183.44</v>
      </c>
      <c r="E4259">
        <v>56.11</v>
      </c>
      <c r="F4259">
        <v>4.98</v>
      </c>
      <c r="G4259">
        <v>4.98</v>
      </c>
      <c r="H4259">
        <v>47008</v>
      </c>
      <c r="I4259">
        <v>2.28</v>
      </c>
      <c r="J4259">
        <v>14.7</v>
      </c>
      <c r="K4259" t="s">
        <v>682</v>
      </c>
    </row>
    <row r="4260" spans="1:11">
      <c r="A4260" t="str">
        <f>"603613"</f>
        <v>603613</v>
      </c>
      <c r="B4260" t="s">
        <v>4616</v>
      </c>
      <c r="C4260">
        <v>224.88</v>
      </c>
      <c r="D4260">
        <v>188.66</v>
      </c>
      <c r="E4260">
        <v>88.76</v>
      </c>
      <c r="F4260">
        <v>7.21</v>
      </c>
      <c r="G4260">
        <v>7.21</v>
      </c>
      <c r="H4260">
        <v>42084</v>
      </c>
      <c r="I4260">
        <v>2.53</v>
      </c>
      <c r="J4260">
        <v>15.32</v>
      </c>
      <c r="K4260" t="s">
        <v>858</v>
      </c>
    </row>
    <row r="4261" spans="1:11">
      <c r="A4261" t="str">
        <f>"603615"</f>
        <v>603615</v>
      </c>
      <c r="B4261" t="s">
        <v>4617</v>
      </c>
      <c r="C4261">
        <v>63.07</v>
      </c>
      <c r="D4261">
        <v>16.67</v>
      </c>
      <c r="E4261">
        <v>11.44</v>
      </c>
      <c r="F4261">
        <v>2.42</v>
      </c>
      <c r="G4261">
        <v>2.42</v>
      </c>
      <c r="H4261">
        <v>11354</v>
      </c>
      <c r="I4261">
        <v>5.51</v>
      </c>
      <c r="J4261">
        <v>804.26</v>
      </c>
      <c r="K4261" t="s">
        <v>625</v>
      </c>
    </row>
    <row r="4262" spans="1:11">
      <c r="A4262" t="str">
        <f>"603616"</f>
        <v>603616</v>
      </c>
      <c r="B4262" t="s">
        <v>4618</v>
      </c>
      <c r="C4262">
        <v>21.14</v>
      </c>
      <c r="D4262">
        <v>17.08</v>
      </c>
      <c r="E4262">
        <v>2.51</v>
      </c>
      <c r="F4262">
        <v>3.91</v>
      </c>
      <c r="G4262">
        <v>3.84</v>
      </c>
      <c r="H4262">
        <v>39385</v>
      </c>
      <c r="I4262">
        <v>8.58</v>
      </c>
      <c r="J4262">
        <v>165.37</v>
      </c>
      <c r="K4262" t="s">
        <v>1089</v>
      </c>
    </row>
    <row r="4263" spans="1:11">
      <c r="A4263" t="str">
        <f>"603617"</f>
        <v>603617</v>
      </c>
      <c r="B4263" t="s">
        <v>4619</v>
      </c>
      <c r="C4263">
        <v>29.85</v>
      </c>
      <c r="D4263">
        <v>22.78</v>
      </c>
      <c r="E4263">
        <v>15.04</v>
      </c>
      <c r="F4263">
        <v>3.9</v>
      </c>
      <c r="G4263">
        <v>3.84</v>
      </c>
      <c r="H4263">
        <v>24124</v>
      </c>
      <c r="I4263">
        <v>2.02</v>
      </c>
      <c r="J4263">
        <v>74.08</v>
      </c>
      <c r="K4263" t="s">
        <v>424</v>
      </c>
    </row>
    <row r="4264" spans="1:11">
      <c r="A4264" t="str">
        <f>"603618"</f>
        <v>603618</v>
      </c>
      <c r="B4264" t="s">
        <v>4620</v>
      </c>
      <c r="C4264">
        <v>57.87</v>
      </c>
      <c r="D4264">
        <v>102.54</v>
      </c>
      <c r="E4264">
        <v>27.12</v>
      </c>
      <c r="F4264">
        <v>6.91</v>
      </c>
      <c r="G4264">
        <v>6.91</v>
      </c>
      <c r="H4264">
        <v>85401</v>
      </c>
      <c r="I4264">
        <v>2.13</v>
      </c>
      <c r="J4264" t="s">
        <v>14</v>
      </c>
      <c r="K4264" t="s">
        <v>383</v>
      </c>
    </row>
    <row r="4265" spans="1:11">
      <c r="A4265" t="str">
        <f>"603619"</f>
        <v>603619</v>
      </c>
      <c r="B4265" t="s">
        <v>4621</v>
      </c>
      <c r="C4265">
        <v>122.1</v>
      </c>
      <c r="D4265">
        <v>126.84</v>
      </c>
      <c r="E4265">
        <v>43.49</v>
      </c>
      <c r="F4265">
        <v>4.62</v>
      </c>
      <c r="G4265">
        <v>4.62</v>
      </c>
      <c r="H4265">
        <v>30099</v>
      </c>
      <c r="I4265">
        <v>2.81</v>
      </c>
      <c r="J4265">
        <v>20.2</v>
      </c>
      <c r="K4265" t="s">
        <v>988</v>
      </c>
    </row>
    <row r="4266" spans="1:11">
      <c r="A4266" t="str">
        <f>"603626"</f>
        <v>603626</v>
      </c>
      <c r="B4266" t="s">
        <v>4622</v>
      </c>
      <c r="C4266">
        <v>115.86</v>
      </c>
      <c r="D4266">
        <v>51.2</v>
      </c>
      <c r="E4266">
        <v>21.33</v>
      </c>
      <c r="F4266">
        <v>5.55</v>
      </c>
      <c r="G4266">
        <v>5.55</v>
      </c>
      <c r="H4266">
        <v>94290</v>
      </c>
      <c r="I4266">
        <v>5.43</v>
      </c>
      <c r="J4266" t="s">
        <v>14</v>
      </c>
      <c r="K4266" t="s">
        <v>41</v>
      </c>
    </row>
    <row r="4267" spans="1:11">
      <c r="A4267" t="str">
        <f>"603628"</f>
        <v>603628</v>
      </c>
      <c r="B4267" t="s">
        <v>4623</v>
      </c>
      <c r="C4267">
        <v>36.8</v>
      </c>
      <c r="D4267">
        <v>35.91</v>
      </c>
      <c r="E4267">
        <v>13.61</v>
      </c>
      <c r="F4267">
        <v>2.73</v>
      </c>
      <c r="G4267">
        <v>2.72</v>
      </c>
      <c r="H4267">
        <v>31082</v>
      </c>
      <c r="I4267">
        <v>2.75</v>
      </c>
      <c r="J4267">
        <v>27.9</v>
      </c>
      <c r="K4267" t="s">
        <v>667</v>
      </c>
    </row>
    <row r="4268" spans="1:11">
      <c r="A4268" t="str">
        <f>"603629"</f>
        <v>603629</v>
      </c>
      <c r="B4268" t="s">
        <v>4624</v>
      </c>
      <c r="C4268">
        <v>76</v>
      </c>
      <c r="D4268">
        <v>62.26</v>
      </c>
      <c r="E4268">
        <v>18.68</v>
      </c>
      <c r="F4268">
        <v>2.62</v>
      </c>
      <c r="G4268">
        <v>2.56</v>
      </c>
      <c r="H4268">
        <v>33129</v>
      </c>
      <c r="I4268">
        <v>4.12</v>
      </c>
      <c r="J4268">
        <v>27.01</v>
      </c>
      <c r="K4268" t="s">
        <v>41</v>
      </c>
    </row>
    <row r="4269" spans="1:11">
      <c r="A4269" t="str">
        <f>"603630"</f>
        <v>603630</v>
      </c>
      <c r="B4269" t="s">
        <v>4625</v>
      </c>
      <c r="C4269">
        <v>53.71</v>
      </c>
      <c r="D4269">
        <v>21.74</v>
      </c>
      <c r="E4269">
        <v>19.1</v>
      </c>
      <c r="F4269">
        <v>2.25</v>
      </c>
      <c r="G4269">
        <v>2.25</v>
      </c>
      <c r="H4269">
        <v>18382</v>
      </c>
      <c r="I4269">
        <v>2.81</v>
      </c>
      <c r="J4269">
        <v>320.78</v>
      </c>
      <c r="K4269" t="s">
        <v>708</v>
      </c>
    </row>
    <row r="4270" spans="1:11">
      <c r="A4270" t="str">
        <f>"603633"</f>
        <v>603633</v>
      </c>
      <c r="B4270" t="s">
        <v>4626</v>
      </c>
      <c r="C4270">
        <v>41.78</v>
      </c>
      <c r="D4270">
        <v>40.15</v>
      </c>
      <c r="E4270">
        <v>19.39</v>
      </c>
      <c r="F4270">
        <v>4.27</v>
      </c>
      <c r="G4270">
        <v>4.27</v>
      </c>
      <c r="H4270">
        <v>24882</v>
      </c>
      <c r="I4270">
        <v>2.15</v>
      </c>
      <c r="J4270">
        <v>246.57</v>
      </c>
      <c r="K4270" t="s">
        <v>530</v>
      </c>
    </row>
    <row r="4271" spans="1:11">
      <c r="A4271" t="str">
        <f>"603636"</f>
        <v>603636</v>
      </c>
      <c r="B4271" t="s">
        <v>4627</v>
      </c>
      <c r="C4271">
        <v>77.71</v>
      </c>
      <c r="D4271">
        <v>55.12</v>
      </c>
      <c r="E4271">
        <v>22.48</v>
      </c>
      <c r="F4271">
        <v>5.8</v>
      </c>
      <c r="G4271">
        <v>5.8</v>
      </c>
      <c r="H4271">
        <v>65726</v>
      </c>
      <c r="I4271">
        <v>3.46</v>
      </c>
      <c r="J4271" t="s">
        <v>14</v>
      </c>
      <c r="K4271" t="s">
        <v>117</v>
      </c>
    </row>
    <row r="4272" spans="1:11">
      <c r="A4272" t="str">
        <f>"603637"</f>
        <v>603637</v>
      </c>
      <c r="B4272" t="s">
        <v>4628</v>
      </c>
      <c r="C4272">
        <v>26.88</v>
      </c>
      <c r="D4272">
        <v>13.41</v>
      </c>
      <c r="E4272">
        <v>10.31</v>
      </c>
      <c r="F4272">
        <v>2.39</v>
      </c>
      <c r="G4272">
        <v>2.39</v>
      </c>
      <c r="H4272">
        <v>12100</v>
      </c>
      <c r="I4272">
        <v>2.61</v>
      </c>
      <c r="J4272">
        <v>39</v>
      </c>
      <c r="K4272" t="s">
        <v>910</v>
      </c>
    </row>
    <row r="4273" spans="1:11">
      <c r="A4273" t="str">
        <f>"603638"</f>
        <v>603638</v>
      </c>
      <c r="B4273" t="s">
        <v>4629</v>
      </c>
      <c r="C4273">
        <v>159.9</v>
      </c>
      <c r="D4273">
        <v>68.94</v>
      </c>
      <c r="E4273">
        <v>36.89</v>
      </c>
      <c r="F4273">
        <v>8.31</v>
      </c>
      <c r="G4273">
        <v>8.31</v>
      </c>
      <c r="H4273">
        <v>22985</v>
      </c>
      <c r="I4273">
        <v>4.54</v>
      </c>
      <c r="J4273">
        <v>37.95</v>
      </c>
      <c r="K4273" t="s">
        <v>641</v>
      </c>
    </row>
    <row r="4274" spans="1:11">
      <c r="A4274" t="str">
        <f>"603639"</f>
        <v>603639</v>
      </c>
      <c r="B4274" t="s">
        <v>4630</v>
      </c>
      <c r="C4274">
        <v>43.98</v>
      </c>
      <c r="D4274">
        <v>69.77</v>
      </c>
      <c r="E4274">
        <v>34.61</v>
      </c>
      <c r="F4274">
        <v>3.5</v>
      </c>
      <c r="G4274">
        <v>3.4</v>
      </c>
      <c r="H4274">
        <v>12958</v>
      </c>
      <c r="I4274">
        <v>1.27</v>
      </c>
      <c r="J4274">
        <v>16.32</v>
      </c>
      <c r="K4274" t="s">
        <v>196</v>
      </c>
    </row>
    <row r="4275" spans="1:11">
      <c r="A4275" t="str">
        <f>"603648"</f>
        <v>603648</v>
      </c>
      <c r="B4275" t="s">
        <v>4631</v>
      </c>
      <c r="C4275">
        <v>39.1</v>
      </c>
      <c r="D4275">
        <v>24.12</v>
      </c>
      <c r="E4275">
        <v>18.3</v>
      </c>
      <c r="F4275">
        <v>3.62</v>
      </c>
      <c r="G4275">
        <v>3.62</v>
      </c>
      <c r="H4275">
        <v>20363</v>
      </c>
      <c r="I4275">
        <v>2.14</v>
      </c>
      <c r="J4275">
        <v>32.14</v>
      </c>
      <c r="K4275" t="s">
        <v>536</v>
      </c>
    </row>
    <row r="4276" spans="1:11">
      <c r="A4276" t="str">
        <f>"603650"</f>
        <v>603650</v>
      </c>
      <c r="B4276" t="s">
        <v>4632</v>
      </c>
      <c r="C4276">
        <v>334.95</v>
      </c>
      <c r="D4276">
        <v>90.68</v>
      </c>
      <c r="E4276">
        <v>34.88</v>
      </c>
      <c r="F4276">
        <v>6.16</v>
      </c>
      <c r="G4276">
        <v>6.14</v>
      </c>
      <c r="H4276">
        <v>60241</v>
      </c>
      <c r="I4276">
        <v>9.51</v>
      </c>
      <c r="J4276">
        <v>50.98</v>
      </c>
      <c r="K4276" t="s">
        <v>1919</v>
      </c>
    </row>
    <row r="4277" spans="1:11">
      <c r="A4277" t="str">
        <f>"603655"</f>
        <v>603655</v>
      </c>
      <c r="B4277" t="s">
        <v>4633</v>
      </c>
      <c r="C4277">
        <v>44.52</v>
      </c>
      <c r="D4277">
        <v>5.98</v>
      </c>
      <c r="E4277">
        <v>5.55</v>
      </c>
      <c r="F4277">
        <v>1.06</v>
      </c>
      <c r="G4277">
        <v>1.06</v>
      </c>
      <c r="H4277">
        <v>6750</v>
      </c>
      <c r="I4277">
        <v>8.02</v>
      </c>
      <c r="J4277">
        <v>102.57</v>
      </c>
      <c r="K4277" t="s">
        <v>517</v>
      </c>
    </row>
    <row r="4278" spans="1:11">
      <c r="A4278" t="str">
        <f>"603656"</f>
        <v>603656</v>
      </c>
      <c r="B4278" t="s">
        <v>4634</v>
      </c>
      <c r="C4278">
        <v>41.97</v>
      </c>
      <c r="D4278">
        <v>21.13</v>
      </c>
      <c r="E4278">
        <v>13.2</v>
      </c>
      <c r="F4278">
        <v>1.83</v>
      </c>
      <c r="G4278">
        <v>1.83</v>
      </c>
      <c r="H4278">
        <v>17606</v>
      </c>
      <c r="I4278">
        <v>3.18</v>
      </c>
      <c r="J4278">
        <v>109.39</v>
      </c>
      <c r="K4278" t="s">
        <v>493</v>
      </c>
    </row>
    <row r="4279" spans="1:11">
      <c r="A4279" t="str">
        <f>"603657"</f>
        <v>603657</v>
      </c>
      <c r="B4279" t="s">
        <v>4635</v>
      </c>
      <c r="C4279">
        <v>41.31</v>
      </c>
      <c r="D4279">
        <v>27.49</v>
      </c>
      <c r="E4279">
        <v>9.43</v>
      </c>
      <c r="F4279">
        <v>1.35</v>
      </c>
      <c r="G4279">
        <v>1.35</v>
      </c>
      <c r="H4279">
        <v>10722</v>
      </c>
      <c r="I4279">
        <v>4.38</v>
      </c>
      <c r="J4279">
        <v>641.06</v>
      </c>
      <c r="K4279" t="s">
        <v>134</v>
      </c>
    </row>
    <row r="4280" spans="1:11">
      <c r="A4280" t="str">
        <f>"603658"</f>
        <v>603658</v>
      </c>
      <c r="B4280" t="s">
        <v>4636</v>
      </c>
      <c r="C4280">
        <v>213.26</v>
      </c>
      <c r="D4280">
        <v>117.27</v>
      </c>
      <c r="E4280">
        <v>87.47</v>
      </c>
      <c r="F4280">
        <v>5.71</v>
      </c>
      <c r="G4280">
        <v>5.71</v>
      </c>
      <c r="H4280">
        <v>33981</v>
      </c>
      <c r="I4280">
        <v>2.44</v>
      </c>
      <c r="J4280">
        <v>18.61</v>
      </c>
      <c r="K4280" t="s">
        <v>775</v>
      </c>
    </row>
    <row r="4281" spans="1:11">
      <c r="A4281" t="str">
        <f>"603659"</f>
        <v>603659</v>
      </c>
      <c r="B4281" t="s">
        <v>4637</v>
      </c>
      <c r="C4281">
        <v>573.84</v>
      </c>
      <c r="D4281">
        <v>460.42</v>
      </c>
      <c r="E4281">
        <v>197.46</v>
      </c>
      <c r="F4281">
        <v>21.36</v>
      </c>
      <c r="G4281">
        <v>21.36</v>
      </c>
      <c r="H4281">
        <v>124499</v>
      </c>
      <c r="I4281">
        <v>2.91</v>
      </c>
      <c r="J4281">
        <v>25.32</v>
      </c>
      <c r="K4281" t="s">
        <v>24</v>
      </c>
    </row>
    <row r="4282" spans="1:11">
      <c r="A4282" t="str">
        <f>"603660"</f>
        <v>603660</v>
      </c>
      <c r="B4282" t="s">
        <v>4638</v>
      </c>
      <c r="C4282">
        <v>67.44</v>
      </c>
      <c r="D4282">
        <v>21.24</v>
      </c>
      <c r="E4282">
        <v>8.45</v>
      </c>
      <c r="F4282">
        <v>5.76</v>
      </c>
      <c r="G4282">
        <v>5.71</v>
      </c>
      <c r="H4282">
        <v>29000</v>
      </c>
      <c r="I4282">
        <v>7.91</v>
      </c>
      <c r="J4282" t="s">
        <v>14</v>
      </c>
      <c r="K4282" t="s">
        <v>88</v>
      </c>
    </row>
    <row r="4283" spans="1:11">
      <c r="A4283" t="str">
        <f>"603661"</f>
        <v>603661</v>
      </c>
      <c r="B4283" t="s">
        <v>4639</v>
      </c>
      <c r="C4283">
        <v>44.07</v>
      </c>
      <c r="D4283">
        <v>106.05</v>
      </c>
      <c r="E4283">
        <v>37.91</v>
      </c>
      <c r="F4283">
        <v>1.39</v>
      </c>
      <c r="G4283">
        <v>1.39</v>
      </c>
      <c r="H4283">
        <v>8400</v>
      </c>
      <c r="I4283">
        <v>1.16</v>
      </c>
      <c r="J4283">
        <v>11.86</v>
      </c>
      <c r="K4283" t="s">
        <v>540</v>
      </c>
    </row>
    <row r="4284" spans="1:11">
      <c r="A4284" t="str">
        <f>"603662"</f>
        <v>603662</v>
      </c>
      <c r="B4284" t="s">
        <v>4640</v>
      </c>
      <c r="C4284">
        <v>189.9</v>
      </c>
      <c r="D4284">
        <v>44.99</v>
      </c>
      <c r="E4284">
        <v>27.54</v>
      </c>
      <c r="F4284">
        <v>2.81</v>
      </c>
      <c r="G4284">
        <v>2.81</v>
      </c>
      <c r="H4284">
        <v>62863</v>
      </c>
      <c r="I4284">
        <v>6.9</v>
      </c>
      <c r="J4284">
        <v>56.05</v>
      </c>
      <c r="K4284" t="s">
        <v>952</v>
      </c>
    </row>
    <row r="4285" spans="1:11">
      <c r="A4285" t="str">
        <f>"603663"</f>
        <v>603663</v>
      </c>
      <c r="B4285" t="s">
        <v>4641</v>
      </c>
      <c r="C4285">
        <v>152.98</v>
      </c>
      <c r="D4285">
        <v>21.45</v>
      </c>
      <c r="E4285">
        <v>13.22</v>
      </c>
      <c r="F4285">
        <v>4.23</v>
      </c>
      <c r="G4285">
        <v>4.23</v>
      </c>
      <c r="H4285">
        <v>33720</v>
      </c>
      <c r="I4285">
        <v>11.58</v>
      </c>
      <c r="J4285">
        <v>147.34</v>
      </c>
      <c r="K4285" t="s">
        <v>301</v>
      </c>
    </row>
    <row r="4286" spans="1:11">
      <c r="A4286" t="str">
        <f>"603665"</f>
        <v>603665</v>
      </c>
      <c r="B4286" t="s">
        <v>4642</v>
      </c>
      <c r="C4286">
        <v>48.85</v>
      </c>
      <c r="D4286">
        <v>25.93</v>
      </c>
      <c r="E4286">
        <v>7.12</v>
      </c>
      <c r="F4286">
        <v>1.61</v>
      </c>
      <c r="G4286">
        <v>1.6</v>
      </c>
      <c r="H4286">
        <v>6697</v>
      </c>
      <c r="I4286">
        <v>6.9</v>
      </c>
      <c r="J4286">
        <v>27.73</v>
      </c>
      <c r="K4286" t="s">
        <v>1418</v>
      </c>
    </row>
    <row r="4287" spans="1:11">
      <c r="A4287" t="str">
        <f>"603666"</f>
        <v>603666</v>
      </c>
      <c r="B4287" t="s">
        <v>4643</v>
      </c>
      <c r="C4287">
        <v>67.35</v>
      </c>
      <c r="D4287">
        <v>31.8</v>
      </c>
      <c r="E4287">
        <v>21.17</v>
      </c>
      <c r="F4287">
        <v>2.06</v>
      </c>
      <c r="G4287">
        <v>2.06</v>
      </c>
      <c r="H4287">
        <v>25107</v>
      </c>
      <c r="I4287">
        <v>3.18</v>
      </c>
      <c r="J4287" t="s">
        <v>14</v>
      </c>
      <c r="K4287" t="s">
        <v>1527</v>
      </c>
    </row>
    <row r="4288" spans="1:11">
      <c r="A4288" t="str">
        <f>"603667"</f>
        <v>603667</v>
      </c>
      <c r="B4288" t="s">
        <v>4644</v>
      </c>
      <c r="C4288">
        <v>280.29</v>
      </c>
      <c r="D4288">
        <v>52.07</v>
      </c>
      <c r="E4288">
        <v>29.83</v>
      </c>
      <c r="F4288">
        <v>3.66</v>
      </c>
      <c r="G4288">
        <v>3.66</v>
      </c>
      <c r="H4288">
        <v>72258</v>
      </c>
      <c r="I4288">
        <v>9.4</v>
      </c>
      <c r="J4288">
        <v>213.46</v>
      </c>
      <c r="K4288" t="s">
        <v>424</v>
      </c>
    </row>
    <row r="4289" spans="1:11">
      <c r="A4289" t="str">
        <f>"603668"</f>
        <v>603668</v>
      </c>
      <c r="B4289" t="s">
        <v>4645</v>
      </c>
      <c r="C4289">
        <v>82.23</v>
      </c>
      <c r="D4289">
        <v>95.19</v>
      </c>
      <c r="E4289">
        <v>23.2</v>
      </c>
      <c r="F4289">
        <v>5.06</v>
      </c>
      <c r="G4289">
        <v>5.06</v>
      </c>
      <c r="H4289">
        <v>27908</v>
      </c>
      <c r="I4289">
        <v>3.53</v>
      </c>
      <c r="J4289">
        <v>87.13</v>
      </c>
      <c r="K4289" t="s">
        <v>694</v>
      </c>
    </row>
    <row r="4290" spans="1:11">
      <c r="A4290" t="str">
        <f>"603669"</f>
        <v>603669</v>
      </c>
      <c r="B4290" t="s">
        <v>4646</v>
      </c>
      <c r="C4290">
        <v>35.12</v>
      </c>
      <c r="D4290">
        <v>12.01</v>
      </c>
      <c r="E4290">
        <v>7.35</v>
      </c>
      <c r="F4290">
        <v>7.21</v>
      </c>
      <c r="G4290">
        <v>7.21</v>
      </c>
      <c r="H4290">
        <v>25212</v>
      </c>
      <c r="I4290">
        <v>5.2</v>
      </c>
      <c r="J4290" t="s">
        <v>14</v>
      </c>
      <c r="K4290" t="s">
        <v>109</v>
      </c>
    </row>
    <row r="4291" spans="1:11">
      <c r="A4291" t="str">
        <f>"603676"</f>
        <v>603676</v>
      </c>
      <c r="B4291" t="s">
        <v>4647</v>
      </c>
      <c r="C4291">
        <v>48.56</v>
      </c>
      <c r="D4291">
        <v>19.09</v>
      </c>
      <c r="E4291">
        <v>15.26</v>
      </c>
      <c r="F4291">
        <v>4.35</v>
      </c>
      <c r="G4291">
        <v>4.35</v>
      </c>
      <c r="H4291">
        <v>16525</v>
      </c>
      <c r="I4291">
        <v>3.18</v>
      </c>
      <c r="J4291">
        <v>16.62</v>
      </c>
      <c r="K4291" t="s">
        <v>109</v>
      </c>
    </row>
    <row r="4292" spans="1:11">
      <c r="A4292" t="str">
        <f>"603677"</f>
        <v>603677</v>
      </c>
      <c r="B4292" t="s">
        <v>4648</v>
      </c>
      <c r="C4292">
        <v>34.92</v>
      </c>
      <c r="D4292">
        <v>22.54</v>
      </c>
      <c r="E4292">
        <v>11.64</v>
      </c>
      <c r="F4292">
        <v>1.93</v>
      </c>
      <c r="G4292">
        <v>1.93</v>
      </c>
      <c r="H4292">
        <v>17115</v>
      </c>
      <c r="I4292">
        <v>3</v>
      </c>
      <c r="J4292">
        <v>49.71</v>
      </c>
      <c r="K4292" t="s">
        <v>134</v>
      </c>
    </row>
    <row r="4293" spans="1:11">
      <c r="A4293" t="str">
        <f>"603678"</f>
        <v>603678</v>
      </c>
      <c r="B4293" t="s">
        <v>4649</v>
      </c>
      <c r="C4293">
        <v>189.18</v>
      </c>
      <c r="D4293">
        <v>84.7</v>
      </c>
      <c r="E4293">
        <v>61.33</v>
      </c>
      <c r="F4293">
        <v>4.76</v>
      </c>
      <c r="G4293">
        <v>4.76</v>
      </c>
      <c r="H4293">
        <v>35716</v>
      </c>
      <c r="I4293">
        <v>3.08</v>
      </c>
      <c r="J4293">
        <v>44.3</v>
      </c>
      <c r="K4293" t="s">
        <v>223</v>
      </c>
    </row>
    <row r="4294" spans="1:11">
      <c r="A4294" t="str">
        <f>"603679"</f>
        <v>603679</v>
      </c>
      <c r="B4294" t="s">
        <v>4650</v>
      </c>
      <c r="C4294">
        <v>28.9</v>
      </c>
      <c r="D4294">
        <v>14.81</v>
      </c>
      <c r="E4294">
        <v>7.74</v>
      </c>
      <c r="F4294">
        <v>1.67</v>
      </c>
      <c r="G4294">
        <v>1.67</v>
      </c>
      <c r="H4294">
        <v>15031</v>
      </c>
      <c r="I4294">
        <v>3.79</v>
      </c>
      <c r="J4294" t="s">
        <v>14</v>
      </c>
      <c r="K4294" t="s">
        <v>216</v>
      </c>
    </row>
    <row r="4295" spans="1:11">
      <c r="A4295" t="str">
        <f>"603680"</f>
        <v>603680</v>
      </c>
      <c r="B4295" t="s">
        <v>4651</v>
      </c>
      <c r="C4295">
        <v>127.28</v>
      </c>
      <c r="D4295">
        <v>91.18</v>
      </c>
      <c r="E4295">
        <v>55.99</v>
      </c>
      <c r="F4295">
        <v>7.84</v>
      </c>
      <c r="G4295">
        <v>7.84</v>
      </c>
      <c r="H4295">
        <v>15447</v>
      </c>
      <c r="I4295">
        <v>2.27</v>
      </c>
      <c r="J4295">
        <v>19.37</v>
      </c>
      <c r="K4295" t="s">
        <v>22</v>
      </c>
    </row>
    <row r="4296" spans="1:11">
      <c r="A4296" t="str">
        <f>"603681"</f>
        <v>603681</v>
      </c>
      <c r="B4296" t="s">
        <v>4652</v>
      </c>
      <c r="C4296">
        <v>38.74</v>
      </c>
      <c r="D4296">
        <v>69.99</v>
      </c>
      <c r="E4296">
        <v>26.51</v>
      </c>
      <c r="F4296">
        <v>1.91</v>
      </c>
      <c r="G4296">
        <v>1.91</v>
      </c>
      <c r="H4296">
        <v>15876</v>
      </c>
      <c r="I4296">
        <v>1.49</v>
      </c>
      <c r="J4296">
        <v>26.04</v>
      </c>
      <c r="K4296" t="s">
        <v>1454</v>
      </c>
    </row>
    <row r="4297" spans="1:11">
      <c r="A4297" t="str">
        <f>"603682"</f>
        <v>603682</v>
      </c>
      <c r="B4297" t="s">
        <v>4653</v>
      </c>
      <c r="C4297">
        <v>34.59</v>
      </c>
      <c r="D4297">
        <v>48.52</v>
      </c>
      <c r="E4297">
        <v>9.5</v>
      </c>
      <c r="F4297">
        <v>4.72</v>
      </c>
      <c r="G4297">
        <v>4.72</v>
      </c>
      <c r="H4297">
        <v>18216</v>
      </c>
      <c r="I4297">
        <v>3.64</v>
      </c>
      <c r="J4297">
        <v>30.21</v>
      </c>
      <c r="K4297" t="s">
        <v>20</v>
      </c>
    </row>
    <row r="4298" spans="1:11">
      <c r="A4298" t="str">
        <f>"603683"</f>
        <v>603683</v>
      </c>
      <c r="B4298" t="s">
        <v>4654</v>
      </c>
      <c r="C4298">
        <v>77.16</v>
      </c>
      <c r="D4298">
        <v>29.92</v>
      </c>
      <c r="E4298">
        <v>16.03</v>
      </c>
      <c r="F4298">
        <v>2.9</v>
      </c>
      <c r="G4298">
        <v>2.86</v>
      </c>
      <c r="H4298">
        <v>14055</v>
      </c>
      <c r="I4298">
        <v>4.87</v>
      </c>
      <c r="J4298">
        <v>91.72</v>
      </c>
      <c r="K4298" t="s">
        <v>1454</v>
      </c>
    </row>
    <row r="4299" spans="1:11">
      <c r="A4299" t="str">
        <f>"603685"</f>
        <v>603685</v>
      </c>
      <c r="B4299" t="s">
        <v>4655</v>
      </c>
      <c r="C4299">
        <v>36.97</v>
      </c>
      <c r="D4299">
        <v>34.62</v>
      </c>
      <c r="E4299">
        <v>12.71</v>
      </c>
      <c r="F4299">
        <v>2.51</v>
      </c>
      <c r="G4299">
        <v>2.01</v>
      </c>
      <c r="H4299">
        <v>7570</v>
      </c>
      <c r="I4299">
        <v>2.61</v>
      </c>
      <c r="J4299">
        <v>141.15</v>
      </c>
      <c r="K4299" t="s">
        <v>216</v>
      </c>
    </row>
    <row r="4300" spans="1:11">
      <c r="A4300" t="str">
        <f>"603686"</f>
        <v>603686</v>
      </c>
      <c r="B4300" t="s">
        <v>4656</v>
      </c>
      <c r="C4300">
        <v>106.72</v>
      </c>
      <c r="D4300">
        <v>67.73</v>
      </c>
      <c r="E4300">
        <v>33.92</v>
      </c>
      <c r="F4300">
        <v>4.15</v>
      </c>
      <c r="G4300">
        <v>4.15</v>
      </c>
      <c r="H4300">
        <v>99952</v>
      </c>
      <c r="I4300">
        <v>3.15</v>
      </c>
      <c r="J4300">
        <v>70.66</v>
      </c>
      <c r="K4300" t="s">
        <v>228</v>
      </c>
    </row>
    <row r="4301" spans="1:11">
      <c r="A4301" t="str">
        <f>"603687"</f>
        <v>603687</v>
      </c>
      <c r="B4301" t="s">
        <v>4657</v>
      </c>
      <c r="C4301">
        <v>62.81</v>
      </c>
      <c r="D4301">
        <v>43.39</v>
      </c>
      <c r="E4301">
        <v>32.59</v>
      </c>
      <c r="F4301">
        <v>5.5</v>
      </c>
      <c r="G4301">
        <v>5.5</v>
      </c>
      <c r="H4301">
        <v>18105</v>
      </c>
      <c r="I4301">
        <v>1.93</v>
      </c>
      <c r="J4301">
        <v>51.81</v>
      </c>
      <c r="K4301" t="s">
        <v>460</v>
      </c>
    </row>
    <row r="4302" spans="1:11">
      <c r="A4302" t="str">
        <f>"603688"</f>
        <v>603688</v>
      </c>
      <c r="B4302" t="s">
        <v>4658</v>
      </c>
      <c r="C4302">
        <v>207.73</v>
      </c>
      <c r="D4302">
        <v>61.05</v>
      </c>
      <c r="E4302">
        <v>57.99</v>
      </c>
      <c r="F4302">
        <v>5.42</v>
      </c>
      <c r="G4302">
        <v>5.42</v>
      </c>
      <c r="H4302">
        <v>55197</v>
      </c>
      <c r="I4302">
        <v>3.58</v>
      </c>
      <c r="J4302">
        <v>115.28</v>
      </c>
      <c r="K4302" t="s">
        <v>682</v>
      </c>
    </row>
    <row r="4303" spans="1:11">
      <c r="A4303" t="str">
        <f>"603689"</f>
        <v>603689</v>
      </c>
      <c r="B4303" t="s">
        <v>4659</v>
      </c>
      <c r="C4303">
        <v>43.25</v>
      </c>
      <c r="D4303">
        <v>75.68</v>
      </c>
      <c r="E4303">
        <v>33.89</v>
      </c>
      <c r="F4303">
        <v>5.26</v>
      </c>
      <c r="G4303">
        <v>5.21</v>
      </c>
      <c r="H4303">
        <v>17547</v>
      </c>
      <c r="I4303">
        <v>1.22</v>
      </c>
      <c r="J4303">
        <v>12.48</v>
      </c>
      <c r="K4303" t="s">
        <v>136</v>
      </c>
    </row>
    <row r="4304" spans="1:11">
      <c r="A4304" t="str">
        <f>"603690"</f>
        <v>603690</v>
      </c>
      <c r="B4304" t="s">
        <v>4660</v>
      </c>
      <c r="C4304">
        <v>121.4</v>
      </c>
      <c r="D4304">
        <v>147.97</v>
      </c>
      <c r="E4304">
        <v>50.28</v>
      </c>
      <c r="F4304">
        <v>3.83</v>
      </c>
      <c r="G4304">
        <v>3.83</v>
      </c>
      <c r="H4304">
        <v>110778</v>
      </c>
      <c r="I4304">
        <v>2.42</v>
      </c>
      <c r="J4304">
        <v>107.5</v>
      </c>
      <c r="K4304" t="s">
        <v>1160</v>
      </c>
    </row>
    <row r="4305" spans="1:11">
      <c r="A4305" t="str">
        <f>"603693"</f>
        <v>603693</v>
      </c>
      <c r="B4305" t="s">
        <v>4661</v>
      </c>
      <c r="C4305">
        <v>111.79</v>
      </c>
      <c r="D4305">
        <v>178.7</v>
      </c>
      <c r="E4305">
        <v>69.6</v>
      </c>
      <c r="F4305">
        <v>8.91</v>
      </c>
      <c r="G4305">
        <v>8.91</v>
      </c>
      <c r="H4305">
        <v>36634</v>
      </c>
      <c r="I4305">
        <v>1.61</v>
      </c>
      <c r="J4305">
        <v>21.48</v>
      </c>
      <c r="K4305" t="s">
        <v>111</v>
      </c>
    </row>
    <row r="4306" spans="1:11">
      <c r="A4306" t="str">
        <f>"603696"</f>
        <v>603696</v>
      </c>
      <c r="B4306" t="s">
        <v>4662</v>
      </c>
      <c r="C4306">
        <v>53.98</v>
      </c>
      <c r="D4306">
        <v>6.13</v>
      </c>
      <c r="E4306">
        <v>5.8</v>
      </c>
      <c r="F4306">
        <v>2.35</v>
      </c>
      <c r="G4306">
        <v>2.35</v>
      </c>
      <c r="H4306">
        <v>23084</v>
      </c>
      <c r="I4306">
        <v>9.3</v>
      </c>
      <c r="J4306">
        <v>174.37</v>
      </c>
      <c r="K4306" t="s">
        <v>1281</v>
      </c>
    </row>
    <row r="4307" spans="1:11">
      <c r="A4307" t="str">
        <f>"603697"</f>
        <v>603697</v>
      </c>
      <c r="B4307" t="s">
        <v>4663</v>
      </c>
      <c r="C4307">
        <v>54.96</v>
      </c>
      <c r="D4307">
        <v>23.23</v>
      </c>
      <c r="E4307">
        <v>17.6</v>
      </c>
      <c r="F4307">
        <v>4.28</v>
      </c>
      <c r="G4307">
        <v>4.28</v>
      </c>
      <c r="H4307">
        <v>23575</v>
      </c>
      <c r="I4307">
        <v>3.12</v>
      </c>
      <c r="J4307">
        <v>23.72</v>
      </c>
      <c r="K4307" t="s">
        <v>1340</v>
      </c>
    </row>
    <row r="4308" spans="1:11">
      <c r="A4308" t="str">
        <f>"603698"</f>
        <v>603698</v>
      </c>
      <c r="B4308" t="s">
        <v>4664</v>
      </c>
      <c r="C4308">
        <v>210.11</v>
      </c>
      <c r="D4308">
        <v>83.16</v>
      </c>
      <c r="E4308">
        <v>34.52</v>
      </c>
      <c r="F4308">
        <v>5.36</v>
      </c>
      <c r="G4308">
        <v>5.36</v>
      </c>
      <c r="H4308">
        <v>23167</v>
      </c>
      <c r="I4308">
        <v>6.09</v>
      </c>
      <c r="J4308">
        <v>117.17</v>
      </c>
      <c r="K4308" t="s">
        <v>491</v>
      </c>
    </row>
    <row r="4309" spans="1:11">
      <c r="A4309" t="str">
        <f>"603699"</f>
        <v>603699</v>
      </c>
      <c r="B4309" t="s">
        <v>4665</v>
      </c>
      <c r="C4309">
        <v>383.24</v>
      </c>
      <c r="D4309">
        <v>102.09</v>
      </c>
      <c r="E4309">
        <v>41.76</v>
      </c>
      <c r="F4309">
        <v>7.76</v>
      </c>
      <c r="G4309">
        <v>7.58</v>
      </c>
      <c r="H4309">
        <v>13794</v>
      </c>
      <c r="I4309">
        <v>9.39</v>
      </c>
      <c r="J4309">
        <v>26.4</v>
      </c>
      <c r="K4309" t="s">
        <v>424</v>
      </c>
    </row>
    <row r="4310" spans="1:11">
      <c r="A4310" t="str">
        <f>"603700"</f>
        <v>603700</v>
      </c>
      <c r="B4310" t="s">
        <v>4666</v>
      </c>
      <c r="C4310">
        <v>27.55</v>
      </c>
      <c r="D4310">
        <v>23.95</v>
      </c>
      <c r="E4310">
        <v>16.29</v>
      </c>
      <c r="F4310">
        <v>2</v>
      </c>
      <c r="G4310">
        <v>2</v>
      </c>
      <c r="H4310">
        <v>14878</v>
      </c>
      <c r="I4310">
        <v>1.71</v>
      </c>
      <c r="J4310">
        <v>27.42</v>
      </c>
      <c r="K4310" t="s">
        <v>952</v>
      </c>
    </row>
    <row r="4311" spans="1:11">
      <c r="A4311" t="str">
        <f>"603701"</f>
        <v>603701</v>
      </c>
      <c r="B4311" t="s">
        <v>4667</v>
      </c>
      <c r="C4311">
        <v>52.53</v>
      </c>
      <c r="D4311">
        <v>14.34</v>
      </c>
      <c r="E4311">
        <v>8.03</v>
      </c>
      <c r="F4311">
        <v>2.61</v>
      </c>
      <c r="G4311">
        <v>2.61</v>
      </c>
      <c r="H4311">
        <v>9992</v>
      </c>
      <c r="I4311">
        <v>6.55</v>
      </c>
      <c r="J4311">
        <v>356.18</v>
      </c>
      <c r="K4311" t="s">
        <v>51</v>
      </c>
    </row>
    <row r="4312" spans="1:11">
      <c r="A4312" t="str">
        <f>"603703"</f>
        <v>603703</v>
      </c>
      <c r="B4312" t="s">
        <v>4668</v>
      </c>
      <c r="C4312">
        <v>73.66</v>
      </c>
      <c r="D4312">
        <v>19.57</v>
      </c>
      <c r="E4312">
        <v>8.27</v>
      </c>
      <c r="F4312">
        <v>4.15</v>
      </c>
      <c r="G4312">
        <v>4.15</v>
      </c>
      <c r="H4312">
        <v>24281</v>
      </c>
      <c r="I4312">
        <v>8.9</v>
      </c>
      <c r="J4312">
        <v>774.32</v>
      </c>
      <c r="K4312" t="s">
        <v>39</v>
      </c>
    </row>
    <row r="4313" spans="1:11">
      <c r="A4313" t="str">
        <f>"603706"</f>
        <v>603706</v>
      </c>
      <c r="B4313" t="s">
        <v>4669</v>
      </c>
      <c r="C4313">
        <v>37.8</v>
      </c>
      <c r="D4313">
        <v>25.89</v>
      </c>
      <c r="E4313">
        <v>16.6</v>
      </c>
      <c r="F4313">
        <v>1.89</v>
      </c>
      <c r="G4313">
        <v>1.89</v>
      </c>
      <c r="H4313">
        <v>12183</v>
      </c>
      <c r="I4313">
        <v>2.28</v>
      </c>
      <c r="J4313">
        <v>20.51</v>
      </c>
      <c r="K4313" t="s">
        <v>136</v>
      </c>
    </row>
    <row r="4314" spans="1:11">
      <c r="A4314" t="str">
        <f>"603707"</f>
        <v>603707</v>
      </c>
      <c r="B4314" t="s">
        <v>4670</v>
      </c>
      <c r="C4314">
        <v>153.65</v>
      </c>
      <c r="D4314">
        <v>103.07</v>
      </c>
      <c r="E4314">
        <v>67.55</v>
      </c>
      <c r="F4314">
        <v>16.16</v>
      </c>
      <c r="G4314">
        <v>16.16</v>
      </c>
      <c r="H4314">
        <v>38029</v>
      </c>
      <c r="I4314">
        <v>2.29</v>
      </c>
      <c r="J4314">
        <v>26.83</v>
      </c>
      <c r="K4314" t="s">
        <v>210</v>
      </c>
    </row>
    <row r="4315" spans="1:11">
      <c r="A4315" t="str">
        <f>"603708"</f>
        <v>603708</v>
      </c>
      <c r="B4315" t="s">
        <v>4671</v>
      </c>
      <c r="C4315">
        <v>85.15</v>
      </c>
      <c r="D4315">
        <v>135.33</v>
      </c>
      <c r="E4315">
        <v>24.5</v>
      </c>
      <c r="F4315">
        <v>6.38</v>
      </c>
      <c r="G4315">
        <v>6.38</v>
      </c>
      <c r="H4315">
        <v>21782</v>
      </c>
      <c r="I4315">
        <v>3.61</v>
      </c>
      <c r="J4315">
        <v>31.05</v>
      </c>
      <c r="K4315" t="s">
        <v>415</v>
      </c>
    </row>
    <row r="4316" spans="1:11">
      <c r="A4316" t="str">
        <f>"603709"</f>
        <v>603709</v>
      </c>
      <c r="B4316" t="s">
        <v>4672</v>
      </c>
      <c r="C4316">
        <v>22.37</v>
      </c>
      <c r="D4316">
        <v>12.73</v>
      </c>
      <c r="E4316">
        <v>5.18</v>
      </c>
      <c r="F4316">
        <v>1.26</v>
      </c>
      <c r="G4316">
        <v>1.25</v>
      </c>
      <c r="H4316">
        <v>10066</v>
      </c>
      <c r="I4316">
        <v>4.35</v>
      </c>
      <c r="J4316" t="s">
        <v>14</v>
      </c>
      <c r="K4316" t="s">
        <v>540</v>
      </c>
    </row>
    <row r="4317" spans="1:11">
      <c r="A4317" t="str">
        <f>"603711"</f>
        <v>603711</v>
      </c>
      <c r="B4317" t="s">
        <v>4673</v>
      </c>
      <c r="C4317">
        <v>56.07</v>
      </c>
      <c r="D4317">
        <v>47.23</v>
      </c>
      <c r="E4317">
        <v>33.03</v>
      </c>
      <c r="F4317">
        <v>4.13</v>
      </c>
      <c r="G4317">
        <v>4.13</v>
      </c>
      <c r="H4317">
        <v>20481</v>
      </c>
      <c r="I4317">
        <v>1.7</v>
      </c>
      <c r="J4317" t="s">
        <v>14</v>
      </c>
      <c r="K4317" t="s">
        <v>488</v>
      </c>
    </row>
    <row r="4318" spans="1:11">
      <c r="A4318" t="str">
        <f>"603712"</f>
        <v>603712</v>
      </c>
      <c r="B4318" t="s">
        <v>4674</v>
      </c>
      <c r="C4318">
        <v>181.96</v>
      </c>
      <c r="D4318">
        <v>89.73</v>
      </c>
      <c r="E4318">
        <v>41.74</v>
      </c>
      <c r="F4318">
        <v>7.72</v>
      </c>
      <c r="G4318">
        <v>7.72</v>
      </c>
      <c r="H4318">
        <v>49436</v>
      </c>
      <c r="I4318">
        <v>4.36</v>
      </c>
      <c r="J4318" t="s">
        <v>14</v>
      </c>
      <c r="K4318" t="s">
        <v>223</v>
      </c>
    </row>
    <row r="4319" spans="1:11">
      <c r="A4319" t="str">
        <f>"603713"</f>
        <v>603713</v>
      </c>
      <c r="B4319" t="s">
        <v>4675</v>
      </c>
      <c r="C4319">
        <v>91.73</v>
      </c>
      <c r="D4319">
        <v>197.21</v>
      </c>
      <c r="E4319">
        <v>46.83</v>
      </c>
      <c r="F4319">
        <v>1.58</v>
      </c>
      <c r="G4319">
        <v>1.58</v>
      </c>
      <c r="H4319">
        <v>11267</v>
      </c>
      <c r="I4319">
        <v>1.97</v>
      </c>
      <c r="J4319">
        <v>13.11</v>
      </c>
      <c r="K4319" t="s">
        <v>1277</v>
      </c>
    </row>
    <row r="4320" spans="1:11">
      <c r="A4320" t="str">
        <f>"603716"</f>
        <v>603716</v>
      </c>
      <c r="B4320" t="s">
        <v>4676</v>
      </c>
      <c r="C4320">
        <v>58.69</v>
      </c>
      <c r="D4320">
        <v>20.9</v>
      </c>
      <c r="E4320">
        <v>10.91</v>
      </c>
      <c r="F4320">
        <v>2.1</v>
      </c>
      <c r="G4320">
        <v>2.1</v>
      </c>
      <c r="H4320">
        <v>66905</v>
      </c>
      <c r="I4320">
        <v>5.54</v>
      </c>
      <c r="J4320" t="s">
        <v>14</v>
      </c>
      <c r="K4320" t="s">
        <v>48</v>
      </c>
    </row>
    <row r="4321" spans="1:11">
      <c r="A4321" t="str">
        <f>"603717"</f>
        <v>603717</v>
      </c>
      <c r="B4321" t="s">
        <v>4677</v>
      </c>
      <c r="C4321">
        <v>22.81</v>
      </c>
      <c r="D4321">
        <v>29.94</v>
      </c>
      <c r="E4321">
        <v>5.18</v>
      </c>
      <c r="F4321">
        <v>2.9</v>
      </c>
      <c r="G4321">
        <v>2.9</v>
      </c>
      <c r="H4321">
        <v>21713</v>
      </c>
      <c r="I4321">
        <v>4.41</v>
      </c>
      <c r="J4321" t="s">
        <v>14</v>
      </c>
      <c r="K4321" t="s">
        <v>68</v>
      </c>
    </row>
    <row r="4322" spans="1:11">
      <c r="A4322" t="str">
        <f>"603718"</f>
        <v>603718</v>
      </c>
      <c r="B4322" t="s">
        <v>4678</v>
      </c>
      <c r="C4322">
        <v>42.51</v>
      </c>
      <c r="D4322">
        <v>18.03</v>
      </c>
      <c r="E4322">
        <v>15.34</v>
      </c>
      <c r="F4322">
        <v>6.52</v>
      </c>
      <c r="G4322">
        <v>6.49</v>
      </c>
      <c r="H4322">
        <v>33808</v>
      </c>
      <c r="I4322">
        <v>2.8</v>
      </c>
      <c r="J4322">
        <v>157.53</v>
      </c>
      <c r="K4322" t="s">
        <v>912</v>
      </c>
    </row>
    <row r="4323" spans="1:11">
      <c r="A4323" t="str">
        <f>"603719"</f>
        <v>603719</v>
      </c>
      <c r="B4323" t="s">
        <v>4679</v>
      </c>
      <c r="C4323">
        <v>48.28</v>
      </c>
      <c r="D4323">
        <v>37.14</v>
      </c>
      <c r="E4323">
        <v>20.21</v>
      </c>
      <c r="F4323">
        <v>4.01</v>
      </c>
      <c r="G4323">
        <v>4.01</v>
      </c>
      <c r="H4323">
        <v>36084</v>
      </c>
      <c r="I4323">
        <v>2.39</v>
      </c>
      <c r="J4323" t="s">
        <v>14</v>
      </c>
      <c r="K4323" t="s">
        <v>1340</v>
      </c>
    </row>
    <row r="4324" spans="1:11">
      <c r="A4324" t="str">
        <f>"603721"</f>
        <v>603721</v>
      </c>
      <c r="B4324" t="s">
        <v>4680</v>
      </c>
      <c r="C4324">
        <v>27.17</v>
      </c>
      <c r="D4324">
        <v>8.35</v>
      </c>
      <c r="E4324">
        <v>4.6</v>
      </c>
      <c r="F4324">
        <v>1.3</v>
      </c>
      <c r="G4324">
        <v>1.3</v>
      </c>
      <c r="H4324">
        <v>12214</v>
      </c>
      <c r="I4324">
        <v>5.91</v>
      </c>
      <c r="J4324" t="s">
        <v>14</v>
      </c>
      <c r="K4324" t="s">
        <v>452</v>
      </c>
    </row>
    <row r="4325" spans="1:11">
      <c r="A4325" t="str">
        <f>"603722"</f>
        <v>603722</v>
      </c>
      <c r="B4325" t="s">
        <v>4681</v>
      </c>
      <c r="C4325">
        <v>39.57</v>
      </c>
      <c r="D4325">
        <v>12.19</v>
      </c>
      <c r="E4325">
        <v>9.55</v>
      </c>
      <c r="F4325">
        <v>0.98</v>
      </c>
      <c r="G4325">
        <v>0.96</v>
      </c>
      <c r="H4325">
        <v>8766</v>
      </c>
      <c r="I4325">
        <v>4.23</v>
      </c>
      <c r="J4325" t="s">
        <v>14</v>
      </c>
      <c r="K4325" t="s">
        <v>1201</v>
      </c>
    </row>
    <row r="4326" spans="1:11">
      <c r="A4326" t="str">
        <f>"603725"</f>
        <v>603725</v>
      </c>
      <c r="B4326" t="s">
        <v>4682</v>
      </c>
      <c r="C4326">
        <v>27.78</v>
      </c>
      <c r="D4326">
        <v>30.34</v>
      </c>
      <c r="E4326">
        <v>8.27</v>
      </c>
      <c r="F4326">
        <v>3.05</v>
      </c>
      <c r="G4326">
        <v>2.87</v>
      </c>
      <c r="H4326">
        <v>17102</v>
      </c>
      <c r="I4326">
        <v>3.57</v>
      </c>
      <c r="J4326">
        <v>22.71</v>
      </c>
      <c r="K4326" t="s">
        <v>1113</v>
      </c>
    </row>
    <row r="4327" spans="1:11">
      <c r="A4327" t="str">
        <f>"603726"</f>
        <v>603726</v>
      </c>
      <c r="B4327" t="s">
        <v>4683</v>
      </c>
      <c r="C4327">
        <v>45.27</v>
      </c>
      <c r="D4327">
        <v>26.76</v>
      </c>
      <c r="E4327">
        <v>14.05</v>
      </c>
      <c r="F4327">
        <v>1.86</v>
      </c>
      <c r="G4327">
        <v>1.85</v>
      </c>
      <c r="H4327">
        <v>24151</v>
      </c>
      <c r="I4327">
        <v>3.24</v>
      </c>
      <c r="J4327">
        <v>19.41</v>
      </c>
      <c r="K4327" t="s">
        <v>134</v>
      </c>
    </row>
    <row r="4328" spans="1:11">
      <c r="A4328" t="str">
        <f>"603727"</f>
        <v>603727</v>
      </c>
      <c r="B4328" t="s">
        <v>4684</v>
      </c>
      <c r="C4328">
        <v>42.99</v>
      </c>
      <c r="D4328">
        <v>44.5</v>
      </c>
      <c r="E4328">
        <v>31.77</v>
      </c>
      <c r="F4328">
        <v>2.82</v>
      </c>
      <c r="G4328">
        <v>2.82</v>
      </c>
      <c r="H4328">
        <v>16497</v>
      </c>
      <c r="I4328">
        <v>1.35</v>
      </c>
      <c r="J4328">
        <v>137.73</v>
      </c>
      <c r="K4328" t="s">
        <v>1336</v>
      </c>
    </row>
    <row r="4329" spans="1:11">
      <c r="A4329" t="str">
        <f>"603728"</f>
        <v>603728</v>
      </c>
      <c r="B4329" t="s">
        <v>4685</v>
      </c>
      <c r="C4329">
        <v>301.05</v>
      </c>
      <c r="D4329">
        <v>44.22</v>
      </c>
      <c r="E4329">
        <v>29.64</v>
      </c>
      <c r="F4329">
        <v>4.19</v>
      </c>
      <c r="G4329">
        <v>4.19</v>
      </c>
      <c r="H4329">
        <v>63339</v>
      </c>
      <c r="I4329">
        <v>10.16</v>
      </c>
      <c r="J4329">
        <v>453.05</v>
      </c>
      <c r="K4329" t="s">
        <v>552</v>
      </c>
    </row>
    <row r="4330" spans="1:11">
      <c r="A4330" t="str">
        <f>"603729"</f>
        <v>603729</v>
      </c>
      <c r="B4330" t="s">
        <v>4686</v>
      </c>
      <c r="C4330">
        <v>16.82</v>
      </c>
      <c r="D4330">
        <v>7.24</v>
      </c>
      <c r="E4330">
        <v>3.06</v>
      </c>
      <c r="F4330">
        <v>0.93</v>
      </c>
      <c r="G4330">
        <v>0.93</v>
      </c>
      <c r="H4330">
        <v>14730</v>
      </c>
      <c r="I4330">
        <v>5.51</v>
      </c>
      <c r="J4330" t="s">
        <v>14</v>
      </c>
      <c r="K4330" t="s">
        <v>283</v>
      </c>
    </row>
    <row r="4331" spans="1:11">
      <c r="A4331" t="str">
        <f>"603730"</f>
        <v>603730</v>
      </c>
      <c r="B4331" t="s">
        <v>4687</v>
      </c>
      <c r="C4331">
        <v>187.79</v>
      </c>
      <c r="D4331">
        <v>72.74</v>
      </c>
      <c r="E4331">
        <v>46.13</v>
      </c>
      <c r="F4331">
        <v>21.49</v>
      </c>
      <c r="G4331">
        <v>21.49</v>
      </c>
      <c r="H4331">
        <v>26671</v>
      </c>
      <c r="I4331">
        <v>4.11</v>
      </c>
      <c r="J4331">
        <v>31.67</v>
      </c>
      <c r="K4331" t="s">
        <v>356</v>
      </c>
    </row>
    <row r="4332" spans="1:11">
      <c r="A4332" t="str">
        <f>"603733"</f>
        <v>603733</v>
      </c>
      <c r="B4332" t="s">
        <v>4688</v>
      </c>
      <c r="C4332">
        <v>164.48</v>
      </c>
      <c r="D4332">
        <v>255.5</v>
      </c>
      <c r="E4332">
        <v>85.13</v>
      </c>
      <c r="F4332">
        <v>7.08</v>
      </c>
      <c r="G4332">
        <v>7.08</v>
      </c>
      <c r="H4332">
        <v>13802</v>
      </c>
      <c r="I4332">
        <v>1.99</v>
      </c>
      <c r="J4332">
        <v>15.86</v>
      </c>
      <c r="K4332" t="s">
        <v>765</v>
      </c>
    </row>
    <row r="4333" spans="1:11">
      <c r="A4333" t="str">
        <f>"603737"</f>
        <v>603737</v>
      </c>
      <c r="B4333" t="s">
        <v>4689</v>
      </c>
      <c r="C4333">
        <v>319.7</v>
      </c>
      <c r="D4333">
        <v>141.95</v>
      </c>
      <c r="E4333">
        <v>32.48</v>
      </c>
      <c r="F4333">
        <v>7.38</v>
      </c>
      <c r="G4333">
        <v>7.38</v>
      </c>
      <c r="H4333">
        <v>14230</v>
      </c>
      <c r="I4333">
        <v>9.84</v>
      </c>
      <c r="J4333">
        <v>32.24</v>
      </c>
      <c r="K4333" t="s">
        <v>4520</v>
      </c>
    </row>
    <row r="4334" spans="1:11">
      <c r="A4334" t="str">
        <f>"603738"</f>
        <v>603738</v>
      </c>
      <c r="B4334" t="s">
        <v>4690</v>
      </c>
      <c r="C4334">
        <v>63.98</v>
      </c>
      <c r="D4334">
        <v>21.34</v>
      </c>
      <c r="E4334">
        <v>17.62</v>
      </c>
      <c r="F4334">
        <v>3.86</v>
      </c>
      <c r="G4334">
        <v>3.86</v>
      </c>
      <c r="H4334">
        <v>41603</v>
      </c>
      <c r="I4334">
        <v>3.66</v>
      </c>
      <c r="J4334">
        <v>137.01</v>
      </c>
      <c r="K4334" t="s">
        <v>310</v>
      </c>
    </row>
    <row r="4335" spans="1:11">
      <c r="A4335" t="str">
        <f>"603739"</f>
        <v>603739</v>
      </c>
      <c r="B4335" t="s">
        <v>4691</v>
      </c>
      <c r="C4335">
        <v>42.28</v>
      </c>
      <c r="D4335">
        <v>30.42</v>
      </c>
      <c r="E4335">
        <v>17.74</v>
      </c>
      <c r="F4335">
        <v>2.53</v>
      </c>
      <c r="G4335">
        <v>2.53</v>
      </c>
      <c r="H4335">
        <v>17002</v>
      </c>
      <c r="I4335">
        <v>2.38</v>
      </c>
      <c r="J4335">
        <v>51.33</v>
      </c>
      <c r="K4335" t="s">
        <v>912</v>
      </c>
    </row>
    <row r="4336" spans="1:11">
      <c r="A4336" t="str">
        <f>"603755"</f>
        <v>603755</v>
      </c>
      <c r="B4336" t="s">
        <v>4692</v>
      </c>
      <c r="C4336">
        <v>37.46</v>
      </c>
      <c r="D4336">
        <v>10.99</v>
      </c>
      <c r="E4336">
        <v>7.49</v>
      </c>
      <c r="F4336">
        <v>0.99</v>
      </c>
      <c r="G4336">
        <v>0.99</v>
      </c>
      <c r="H4336">
        <v>6554</v>
      </c>
      <c r="I4336">
        <v>5</v>
      </c>
      <c r="J4336">
        <v>43.69</v>
      </c>
      <c r="K4336" t="s">
        <v>1281</v>
      </c>
    </row>
    <row r="4337" spans="1:11">
      <c r="A4337" t="str">
        <f>"603757"</f>
        <v>603757</v>
      </c>
      <c r="B4337" t="s">
        <v>4693</v>
      </c>
      <c r="C4337">
        <v>79.94</v>
      </c>
      <c r="D4337">
        <v>29.48</v>
      </c>
      <c r="E4337">
        <v>21.06</v>
      </c>
      <c r="F4337">
        <v>1.87</v>
      </c>
      <c r="G4337">
        <v>1.87</v>
      </c>
      <c r="H4337">
        <v>46792</v>
      </c>
      <c r="I4337">
        <v>3.8</v>
      </c>
      <c r="J4337">
        <v>42.81</v>
      </c>
      <c r="K4337" t="s">
        <v>424</v>
      </c>
    </row>
    <row r="4338" spans="1:11">
      <c r="A4338" t="str">
        <f>"603758"</f>
        <v>603758</v>
      </c>
      <c r="B4338" t="s">
        <v>4694</v>
      </c>
      <c r="C4338">
        <v>71.48</v>
      </c>
      <c r="D4338">
        <v>28.55</v>
      </c>
      <c r="E4338">
        <v>25.34</v>
      </c>
      <c r="F4338">
        <v>4.39</v>
      </c>
      <c r="G4338">
        <v>4.39</v>
      </c>
      <c r="H4338">
        <v>14275</v>
      </c>
      <c r="I4338">
        <v>2.82</v>
      </c>
      <c r="J4338">
        <v>40.85</v>
      </c>
      <c r="K4338" t="s">
        <v>51</v>
      </c>
    </row>
    <row r="4339" spans="1:11">
      <c r="A4339" t="str">
        <f>"603759"</f>
        <v>603759</v>
      </c>
      <c r="B4339" t="s">
        <v>4695</v>
      </c>
      <c r="C4339">
        <v>51.44</v>
      </c>
      <c r="D4339">
        <v>89.39</v>
      </c>
      <c r="E4339">
        <v>28.47</v>
      </c>
      <c r="F4339">
        <v>4.62</v>
      </c>
      <c r="G4339">
        <v>4.62</v>
      </c>
      <c r="H4339">
        <v>32874</v>
      </c>
      <c r="I4339">
        <v>1.81</v>
      </c>
      <c r="J4339">
        <v>37.12</v>
      </c>
      <c r="K4339" t="s">
        <v>274</v>
      </c>
    </row>
    <row r="4340" spans="1:11">
      <c r="A4340" t="str">
        <f>"603766"</f>
        <v>603766</v>
      </c>
      <c r="B4340" t="s">
        <v>4696</v>
      </c>
      <c r="C4340">
        <v>296.74</v>
      </c>
      <c r="D4340">
        <v>176.74</v>
      </c>
      <c r="E4340">
        <v>99.35</v>
      </c>
      <c r="F4340">
        <v>20.54</v>
      </c>
      <c r="G4340">
        <v>20.54</v>
      </c>
      <c r="H4340">
        <v>35386</v>
      </c>
      <c r="I4340">
        <v>2.99</v>
      </c>
      <c r="J4340">
        <v>14.11</v>
      </c>
      <c r="K4340" t="s">
        <v>544</v>
      </c>
    </row>
    <row r="4341" spans="1:11">
      <c r="A4341" t="str">
        <f>"603767"</f>
        <v>603767</v>
      </c>
      <c r="B4341" t="s">
        <v>4697</v>
      </c>
      <c r="C4341">
        <v>74.04</v>
      </c>
      <c r="D4341">
        <v>16.81</v>
      </c>
      <c r="E4341">
        <v>13.9</v>
      </c>
      <c r="F4341">
        <v>3.09</v>
      </c>
      <c r="G4341">
        <v>3.09</v>
      </c>
      <c r="H4341">
        <v>55109</v>
      </c>
      <c r="I4341">
        <v>5.33</v>
      </c>
      <c r="J4341">
        <v>219.64</v>
      </c>
      <c r="K4341" t="s">
        <v>51</v>
      </c>
    </row>
    <row r="4342" spans="1:11">
      <c r="A4342" t="str">
        <f>"603768"</f>
        <v>603768</v>
      </c>
      <c r="B4342" t="s">
        <v>4698</v>
      </c>
      <c r="C4342">
        <v>28.13</v>
      </c>
      <c r="D4342">
        <v>62.56</v>
      </c>
      <c r="E4342">
        <v>23.5</v>
      </c>
      <c r="F4342">
        <v>2.38</v>
      </c>
      <c r="G4342">
        <v>2.38</v>
      </c>
      <c r="H4342">
        <v>16228</v>
      </c>
      <c r="I4342">
        <v>1.2</v>
      </c>
      <c r="J4342" t="s">
        <v>14</v>
      </c>
      <c r="K4342" t="s">
        <v>356</v>
      </c>
    </row>
    <row r="4343" spans="1:11">
      <c r="A4343" t="str">
        <f>"603773"</f>
        <v>603773</v>
      </c>
      <c r="B4343" t="s">
        <v>4699</v>
      </c>
      <c r="C4343">
        <v>76.36</v>
      </c>
      <c r="D4343">
        <v>43.63</v>
      </c>
      <c r="E4343">
        <v>11.66</v>
      </c>
      <c r="F4343">
        <v>2.25</v>
      </c>
      <c r="G4343">
        <v>2.25</v>
      </c>
      <c r="H4343">
        <v>23083</v>
      </c>
      <c r="I4343">
        <v>6.55</v>
      </c>
      <c r="J4343" t="s">
        <v>14</v>
      </c>
      <c r="K4343" t="s">
        <v>66</v>
      </c>
    </row>
    <row r="4344" spans="1:11">
      <c r="A4344" t="str">
        <f>"603776"</f>
        <v>603776</v>
      </c>
      <c r="B4344" t="s">
        <v>4700</v>
      </c>
      <c r="C4344">
        <v>52.7</v>
      </c>
      <c r="D4344">
        <v>42.89</v>
      </c>
      <c r="E4344">
        <v>35.65</v>
      </c>
      <c r="F4344">
        <v>2.81</v>
      </c>
      <c r="G4344">
        <v>2.81</v>
      </c>
      <c r="H4344">
        <v>15237</v>
      </c>
      <c r="I4344">
        <v>1.48</v>
      </c>
      <c r="J4344" t="s">
        <v>14</v>
      </c>
      <c r="K4344" t="s">
        <v>870</v>
      </c>
    </row>
    <row r="4345" spans="1:11">
      <c r="A4345" t="str">
        <f>"603777"</f>
        <v>603777</v>
      </c>
      <c r="B4345" t="s">
        <v>4701</v>
      </c>
      <c r="C4345">
        <v>46.42</v>
      </c>
      <c r="D4345">
        <v>30.4</v>
      </c>
      <c r="E4345">
        <v>15.85</v>
      </c>
      <c r="F4345">
        <v>3.34</v>
      </c>
      <c r="G4345">
        <v>3.34</v>
      </c>
      <c r="H4345">
        <v>37601</v>
      </c>
      <c r="I4345">
        <v>2.93</v>
      </c>
      <c r="J4345" t="s">
        <v>14</v>
      </c>
      <c r="K4345" t="s">
        <v>1340</v>
      </c>
    </row>
    <row r="4346" spans="1:11">
      <c r="A4346" t="str">
        <f>"603778"</f>
        <v>603778</v>
      </c>
      <c r="B4346" t="s">
        <v>4702</v>
      </c>
      <c r="C4346">
        <v>178.2</v>
      </c>
      <c r="D4346">
        <v>36</v>
      </c>
      <c r="E4346">
        <v>7.27</v>
      </c>
      <c r="F4346">
        <v>6.57</v>
      </c>
      <c r="G4346">
        <v>6.43</v>
      </c>
      <c r="H4346">
        <v>39665</v>
      </c>
      <c r="I4346">
        <v>25.02</v>
      </c>
      <c r="J4346" t="s">
        <v>14</v>
      </c>
      <c r="K4346" t="s">
        <v>815</v>
      </c>
    </row>
    <row r="4347" spans="1:11">
      <c r="A4347" t="str">
        <f>"603779"</f>
        <v>603779</v>
      </c>
      <c r="B4347" t="s">
        <v>4703</v>
      </c>
      <c r="C4347">
        <v>21.85</v>
      </c>
      <c r="D4347">
        <v>10.49</v>
      </c>
      <c r="E4347">
        <v>5.47</v>
      </c>
      <c r="F4347">
        <v>3.32</v>
      </c>
      <c r="G4347">
        <v>3.32</v>
      </c>
      <c r="H4347">
        <v>24202</v>
      </c>
      <c r="I4347">
        <v>4</v>
      </c>
      <c r="J4347" t="s">
        <v>14</v>
      </c>
      <c r="K4347" t="s">
        <v>503</v>
      </c>
    </row>
    <row r="4348" spans="1:11">
      <c r="A4348" t="str">
        <f>"603786"</f>
        <v>603786</v>
      </c>
      <c r="B4348" t="s">
        <v>4704</v>
      </c>
      <c r="C4348">
        <v>322.96</v>
      </c>
      <c r="D4348">
        <v>81.53</v>
      </c>
      <c r="E4348">
        <v>54.47</v>
      </c>
      <c r="F4348">
        <v>4.04</v>
      </c>
      <c r="G4348">
        <v>4.04</v>
      </c>
      <c r="H4348">
        <v>13271</v>
      </c>
      <c r="I4348">
        <v>5.93</v>
      </c>
      <c r="J4348">
        <v>37.48</v>
      </c>
      <c r="K4348" t="s">
        <v>530</v>
      </c>
    </row>
    <row r="4349" spans="1:11">
      <c r="A4349" t="str">
        <f>"603787"</f>
        <v>603787</v>
      </c>
      <c r="B4349" t="s">
        <v>4705</v>
      </c>
      <c r="C4349">
        <v>31.44</v>
      </c>
      <c r="D4349">
        <v>40.25</v>
      </c>
      <c r="E4349">
        <v>15.9</v>
      </c>
      <c r="F4349">
        <v>2.3</v>
      </c>
      <c r="G4349">
        <v>2.3</v>
      </c>
      <c r="H4349">
        <v>16046</v>
      </c>
      <c r="I4349">
        <v>1.98</v>
      </c>
      <c r="J4349">
        <v>20.37</v>
      </c>
      <c r="K4349" t="s">
        <v>544</v>
      </c>
    </row>
    <row r="4350" spans="1:11">
      <c r="A4350" t="str">
        <f>"603788"</f>
        <v>603788</v>
      </c>
      <c r="B4350" t="s">
        <v>4706</v>
      </c>
      <c r="C4350">
        <v>36.58</v>
      </c>
      <c r="D4350">
        <v>26.32</v>
      </c>
      <c r="E4350">
        <v>20.66</v>
      </c>
      <c r="F4350">
        <v>2.23</v>
      </c>
      <c r="G4350">
        <v>2.23</v>
      </c>
      <c r="H4350">
        <v>17503</v>
      </c>
      <c r="I4350">
        <v>1.77</v>
      </c>
      <c r="J4350">
        <v>17.62</v>
      </c>
      <c r="K4350" t="s">
        <v>51</v>
      </c>
    </row>
    <row r="4351" spans="1:11">
      <c r="A4351" t="str">
        <f>"603789"</f>
        <v>603789</v>
      </c>
      <c r="B4351" t="s">
        <v>4707</v>
      </c>
      <c r="C4351">
        <v>14.3</v>
      </c>
      <c r="D4351">
        <v>12.44</v>
      </c>
      <c r="E4351">
        <v>1.73</v>
      </c>
      <c r="F4351">
        <v>2.7</v>
      </c>
      <c r="G4351">
        <v>2.6</v>
      </c>
      <c r="H4351">
        <v>16102</v>
      </c>
      <c r="I4351">
        <v>8.61</v>
      </c>
      <c r="J4351" t="s">
        <v>14</v>
      </c>
      <c r="K4351" t="s">
        <v>1556</v>
      </c>
    </row>
    <row r="4352" spans="1:11">
      <c r="A4352" t="str">
        <f>"603790"</f>
        <v>603790</v>
      </c>
      <c r="B4352" t="s">
        <v>4708</v>
      </c>
      <c r="C4352">
        <v>37.16</v>
      </c>
      <c r="D4352">
        <v>17.95</v>
      </c>
      <c r="E4352">
        <v>12.6</v>
      </c>
      <c r="F4352">
        <v>1.91</v>
      </c>
      <c r="G4352">
        <v>1.91</v>
      </c>
      <c r="H4352">
        <v>7422</v>
      </c>
      <c r="I4352">
        <v>2.95</v>
      </c>
      <c r="J4352">
        <v>42.52</v>
      </c>
      <c r="K4352" t="s">
        <v>812</v>
      </c>
    </row>
    <row r="4353" spans="1:11">
      <c r="A4353" t="str">
        <f>"603797"</f>
        <v>603797</v>
      </c>
      <c r="B4353" t="s">
        <v>4709</v>
      </c>
      <c r="C4353">
        <v>28.31</v>
      </c>
      <c r="D4353">
        <v>99.72</v>
      </c>
      <c r="E4353">
        <v>32.88</v>
      </c>
      <c r="F4353">
        <v>5.77</v>
      </c>
      <c r="G4353">
        <v>5.77</v>
      </c>
      <c r="H4353">
        <v>17089</v>
      </c>
      <c r="I4353">
        <v>0.87</v>
      </c>
      <c r="J4353">
        <v>18.68</v>
      </c>
      <c r="K4353" t="s">
        <v>90</v>
      </c>
    </row>
    <row r="4354" spans="1:11">
      <c r="A4354" t="str">
        <f>"603798"</f>
        <v>603798</v>
      </c>
      <c r="B4354" t="s">
        <v>4710</v>
      </c>
      <c r="C4354">
        <v>42.13</v>
      </c>
      <c r="D4354">
        <v>13.75</v>
      </c>
      <c r="E4354">
        <v>11.56</v>
      </c>
      <c r="F4354">
        <v>2.56</v>
      </c>
      <c r="G4354">
        <v>2.56</v>
      </c>
      <c r="H4354">
        <v>10700</v>
      </c>
      <c r="I4354">
        <v>3.65</v>
      </c>
      <c r="J4354">
        <v>57.71</v>
      </c>
      <c r="K4354" t="s">
        <v>312</v>
      </c>
    </row>
    <row r="4355" spans="1:11">
      <c r="A4355" t="str">
        <f>"603799"</f>
        <v>603799</v>
      </c>
      <c r="B4355" t="s">
        <v>4711</v>
      </c>
      <c r="C4355">
        <v>1393.84</v>
      </c>
      <c r="D4355">
        <v>1488.55</v>
      </c>
      <c r="E4355">
        <v>476.99</v>
      </c>
      <c r="F4355">
        <v>18.97</v>
      </c>
      <c r="G4355">
        <v>18.84</v>
      </c>
      <c r="H4355">
        <v>257101</v>
      </c>
      <c r="I4355">
        <v>2.95</v>
      </c>
      <c r="J4355">
        <v>24.96</v>
      </c>
      <c r="K4355" t="s">
        <v>2399</v>
      </c>
    </row>
    <row r="4356" spans="1:11">
      <c r="A4356" t="str">
        <f>"603800"</f>
        <v>603800</v>
      </c>
      <c r="B4356" t="s">
        <v>4712</v>
      </c>
      <c r="C4356">
        <v>100.78</v>
      </c>
      <c r="D4356">
        <v>27.35</v>
      </c>
      <c r="E4356">
        <v>8.62</v>
      </c>
      <c r="F4356">
        <v>2.08</v>
      </c>
      <c r="G4356">
        <v>2.08</v>
      </c>
      <c r="H4356">
        <v>20312</v>
      </c>
      <c r="I4356">
        <v>11.69</v>
      </c>
      <c r="J4356">
        <v>121.04</v>
      </c>
      <c r="K4356" t="s">
        <v>491</v>
      </c>
    </row>
    <row r="4357" spans="1:11">
      <c r="A4357" t="str">
        <f>"603801"</f>
        <v>603801</v>
      </c>
      <c r="B4357" t="s">
        <v>4713</v>
      </c>
      <c r="C4357">
        <v>40.57</v>
      </c>
      <c r="D4357">
        <v>63.94</v>
      </c>
      <c r="E4357">
        <v>34.07</v>
      </c>
      <c r="F4357">
        <v>4.34</v>
      </c>
      <c r="G4357">
        <v>4.34</v>
      </c>
      <c r="H4357">
        <v>25345</v>
      </c>
      <c r="I4357">
        <v>1.22</v>
      </c>
      <c r="J4357">
        <v>17.57</v>
      </c>
      <c r="K4357" t="s">
        <v>540</v>
      </c>
    </row>
    <row r="4358" spans="1:11">
      <c r="A4358" t="str">
        <f>"603803"</f>
        <v>603803</v>
      </c>
      <c r="B4358" t="s">
        <v>4714</v>
      </c>
      <c r="C4358">
        <v>45.89</v>
      </c>
      <c r="D4358">
        <v>24.73</v>
      </c>
      <c r="E4358">
        <v>15.71</v>
      </c>
      <c r="F4358">
        <v>4.25</v>
      </c>
      <c r="G4358">
        <v>4.25</v>
      </c>
      <c r="H4358">
        <v>33828</v>
      </c>
      <c r="I4358">
        <v>2.92</v>
      </c>
      <c r="J4358" t="s">
        <v>14</v>
      </c>
      <c r="K4358" t="s">
        <v>770</v>
      </c>
    </row>
    <row r="4359" spans="1:11">
      <c r="A4359" t="str">
        <f>"603806"</f>
        <v>603806</v>
      </c>
      <c r="B4359" t="s">
        <v>4715</v>
      </c>
      <c r="C4359">
        <v>364.7</v>
      </c>
      <c r="D4359">
        <v>206.84</v>
      </c>
      <c r="E4359">
        <v>164.17</v>
      </c>
      <c r="F4359">
        <v>26.09</v>
      </c>
      <c r="G4359">
        <v>26.09</v>
      </c>
      <c r="H4359">
        <v>64880</v>
      </c>
      <c r="I4359">
        <v>2.29</v>
      </c>
      <c r="J4359">
        <v>39.78</v>
      </c>
      <c r="K4359" t="s">
        <v>667</v>
      </c>
    </row>
    <row r="4360" spans="1:11">
      <c r="A4360" t="str">
        <f>"603808"</f>
        <v>603808</v>
      </c>
      <c r="B4360" t="s">
        <v>4716</v>
      </c>
      <c r="C4360">
        <v>34.18</v>
      </c>
      <c r="D4360">
        <v>40.82</v>
      </c>
      <c r="E4360">
        <v>26.04</v>
      </c>
      <c r="F4360">
        <v>3.69</v>
      </c>
      <c r="G4360">
        <v>3.69</v>
      </c>
      <c r="H4360">
        <v>14626</v>
      </c>
      <c r="I4360">
        <v>1.31</v>
      </c>
      <c r="J4360">
        <v>22.58</v>
      </c>
      <c r="K4360" t="s">
        <v>622</v>
      </c>
    </row>
    <row r="4361" spans="1:11">
      <c r="A4361" t="str">
        <f>"603809"</f>
        <v>603809</v>
      </c>
      <c r="B4361" t="s">
        <v>4717</v>
      </c>
      <c r="C4361">
        <v>130.31</v>
      </c>
      <c r="D4361">
        <v>68.36</v>
      </c>
      <c r="E4361">
        <v>36.53</v>
      </c>
      <c r="F4361">
        <v>9.2</v>
      </c>
      <c r="G4361">
        <v>9.2</v>
      </c>
      <c r="H4361">
        <v>50919</v>
      </c>
      <c r="I4361">
        <v>3.57</v>
      </c>
      <c r="J4361">
        <v>36.81</v>
      </c>
      <c r="K4361" t="s">
        <v>51</v>
      </c>
    </row>
    <row r="4362" spans="1:11">
      <c r="A4362" t="str">
        <f>"603810"</f>
        <v>603810</v>
      </c>
      <c r="B4362" t="s">
        <v>4718</v>
      </c>
      <c r="C4362">
        <v>26.12</v>
      </c>
      <c r="D4362">
        <v>27.42</v>
      </c>
      <c r="E4362">
        <v>16.19</v>
      </c>
      <c r="F4362">
        <v>1.65</v>
      </c>
      <c r="G4362">
        <v>1.65</v>
      </c>
      <c r="H4362">
        <v>13751</v>
      </c>
      <c r="I4362">
        <v>1.7</v>
      </c>
      <c r="J4362">
        <v>46.26</v>
      </c>
      <c r="K4362" t="s">
        <v>196</v>
      </c>
    </row>
    <row r="4363" spans="1:11">
      <c r="A4363" t="str">
        <f>"603811"</f>
        <v>603811</v>
      </c>
      <c r="B4363" t="s">
        <v>4719</v>
      </c>
      <c r="C4363">
        <v>40.19</v>
      </c>
      <c r="D4363">
        <v>16.92</v>
      </c>
      <c r="E4363">
        <v>13.22</v>
      </c>
      <c r="F4363">
        <v>3.27</v>
      </c>
      <c r="G4363">
        <v>3.27</v>
      </c>
      <c r="H4363">
        <v>23916</v>
      </c>
      <c r="I4363">
        <v>3.04</v>
      </c>
      <c r="J4363">
        <v>21.12</v>
      </c>
      <c r="K4363" t="s">
        <v>109</v>
      </c>
    </row>
    <row r="4364" spans="1:11">
      <c r="A4364" t="str">
        <f>"603813"</f>
        <v>603813</v>
      </c>
      <c r="B4364" t="s">
        <v>4720</v>
      </c>
      <c r="C4364">
        <v>48.63</v>
      </c>
      <c r="D4364">
        <v>13.54</v>
      </c>
      <c r="E4364">
        <v>5.45</v>
      </c>
      <c r="F4364">
        <v>1.05</v>
      </c>
      <c r="G4364">
        <v>1.05</v>
      </c>
      <c r="H4364">
        <v>3011</v>
      </c>
      <c r="I4364">
        <v>8.92</v>
      </c>
      <c r="J4364" t="s">
        <v>14</v>
      </c>
      <c r="K4364" t="s">
        <v>4406</v>
      </c>
    </row>
    <row r="4365" spans="1:11">
      <c r="A4365" t="str">
        <f>"603815"</f>
        <v>603815</v>
      </c>
      <c r="B4365" t="s">
        <v>4721</v>
      </c>
      <c r="C4365">
        <v>48.9</v>
      </c>
      <c r="D4365">
        <v>100.16</v>
      </c>
      <c r="E4365">
        <v>24.17</v>
      </c>
      <c r="F4365">
        <v>6.19</v>
      </c>
      <c r="G4365">
        <v>6.19</v>
      </c>
      <c r="H4365">
        <v>19179</v>
      </c>
      <c r="I4365">
        <v>2.02</v>
      </c>
      <c r="J4365">
        <v>26.76</v>
      </c>
      <c r="K4365" t="s">
        <v>100</v>
      </c>
    </row>
    <row r="4366" spans="1:11">
      <c r="A4366" t="str">
        <f>"603816"</f>
        <v>603816</v>
      </c>
      <c r="B4366" t="s">
        <v>4722</v>
      </c>
      <c r="C4366">
        <v>253.31</v>
      </c>
      <c r="D4366">
        <v>176.64</v>
      </c>
      <c r="E4366">
        <v>103.27</v>
      </c>
      <c r="F4366">
        <v>8.21</v>
      </c>
      <c r="G4366">
        <v>8.12</v>
      </c>
      <c r="H4366">
        <v>18169</v>
      </c>
      <c r="I4366">
        <v>2.48</v>
      </c>
      <c r="J4366">
        <v>12.49</v>
      </c>
      <c r="K4366" t="s">
        <v>540</v>
      </c>
    </row>
    <row r="4367" spans="1:11">
      <c r="A4367" t="str">
        <f>"603817"</f>
        <v>603817</v>
      </c>
      <c r="B4367" t="s">
        <v>4723</v>
      </c>
      <c r="C4367">
        <v>39.62</v>
      </c>
      <c r="D4367">
        <v>70.02</v>
      </c>
      <c r="E4367">
        <v>31.82</v>
      </c>
      <c r="F4367">
        <v>5.7</v>
      </c>
      <c r="G4367">
        <v>5.7</v>
      </c>
      <c r="H4367">
        <v>29331</v>
      </c>
      <c r="I4367">
        <v>1.25</v>
      </c>
      <c r="J4367">
        <v>15.44</v>
      </c>
      <c r="K4367" t="s">
        <v>90</v>
      </c>
    </row>
    <row r="4368" spans="1:11">
      <c r="A4368" t="str">
        <f>"603818"</f>
        <v>603818</v>
      </c>
      <c r="B4368" t="s">
        <v>4724</v>
      </c>
      <c r="C4368">
        <v>25.2</v>
      </c>
      <c r="D4368">
        <v>67.19</v>
      </c>
      <c r="E4368">
        <v>21.76</v>
      </c>
      <c r="F4368">
        <v>6.87</v>
      </c>
      <c r="G4368">
        <v>6.87</v>
      </c>
      <c r="H4368">
        <v>24983</v>
      </c>
      <c r="I4368">
        <v>1.16</v>
      </c>
      <c r="J4368" t="s">
        <v>14</v>
      </c>
      <c r="K4368" t="s">
        <v>540</v>
      </c>
    </row>
    <row r="4369" spans="1:11">
      <c r="A4369" t="str">
        <f>"603819"</f>
        <v>603819</v>
      </c>
      <c r="B4369" t="s">
        <v>4725</v>
      </c>
      <c r="C4369">
        <v>26.63</v>
      </c>
      <c r="D4369">
        <v>15.79</v>
      </c>
      <c r="E4369">
        <v>8.03</v>
      </c>
      <c r="F4369">
        <v>2.18</v>
      </c>
      <c r="G4369">
        <v>2.18</v>
      </c>
      <c r="H4369">
        <v>15938</v>
      </c>
      <c r="I4369">
        <v>3.32</v>
      </c>
      <c r="J4369">
        <v>116.53</v>
      </c>
      <c r="K4369" t="s">
        <v>552</v>
      </c>
    </row>
    <row r="4370" spans="1:11">
      <c r="A4370" t="str">
        <f>"603822"</f>
        <v>603822</v>
      </c>
      <c r="B4370" t="s">
        <v>4726</v>
      </c>
      <c r="C4370">
        <v>84.37</v>
      </c>
      <c r="D4370">
        <v>70.03</v>
      </c>
      <c r="E4370">
        <v>4.47</v>
      </c>
      <c r="F4370">
        <v>0.77</v>
      </c>
      <c r="G4370">
        <v>0.77</v>
      </c>
      <c r="H4370">
        <v>7106</v>
      </c>
      <c r="I4370">
        <v>18.89</v>
      </c>
      <c r="J4370" t="s">
        <v>14</v>
      </c>
      <c r="K4370" t="s">
        <v>1529</v>
      </c>
    </row>
    <row r="4371" spans="1:11">
      <c r="A4371" t="str">
        <f>"603823"</f>
        <v>603823</v>
      </c>
      <c r="B4371" t="s">
        <v>4727</v>
      </c>
      <c r="C4371">
        <v>69.67</v>
      </c>
      <c r="D4371">
        <v>33.43</v>
      </c>
      <c r="E4371">
        <v>24.3</v>
      </c>
      <c r="F4371">
        <v>4.16</v>
      </c>
      <c r="G4371">
        <v>4.11</v>
      </c>
      <c r="H4371">
        <v>18843</v>
      </c>
      <c r="I4371">
        <v>2.9</v>
      </c>
      <c r="J4371">
        <v>39.08</v>
      </c>
      <c r="K4371" t="s">
        <v>246</v>
      </c>
    </row>
    <row r="4372" spans="1:11">
      <c r="A4372" t="str">
        <f>"603825"</f>
        <v>603825</v>
      </c>
      <c r="B4372" t="s">
        <v>4728</v>
      </c>
      <c r="C4372">
        <v>25.13</v>
      </c>
      <c r="D4372">
        <v>23.61</v>
      </c>
      <c r="E4372">
        <v>1.64</v>
      </c>
      <c r="F4372">
        <v>2.53</v>
      </c>
      <c r="G4372">
        <v>2.53</v>
      </c>
      <c r="H4372">
        <v>24439</v>
      </c>
      <c r="I4372">
        <v>15.29</v>
      </c>
      <c r="J4372" t="s">
        <v>14</v>
      </c>
      <c r="K4372" t="s">
        <v>333</v>
      </c>
    </row>
    <row r="4373" spans="1:11">
      <c r="A4373" t="str">
        <f>"603826"</f>
        <v>603826</v>
      </c>
      <c r="B4373" t="s">
        <v>4729</v>
      </c>
      <c r="C4373">
        <v>115.64</v>
      </c>
      <c r="D4373">
        <v>49.79</v>
      </c>
      <c r="E4373">
        <v>19.51</v>
      </c>
      <c r="F4373">
        <v>6.55</v>
      </c>
      <c r="G4373">
        <v>6.55</v>
      </c>
      <c r="H4373">
        <v>21600</v>
      </c>
      <c r="I4373">
        <v>5.93</v>
      </c>
      <c r="J4373">
        <v>142.01</v>
      </c>
      <c r="K4373" t="s">
        <v>682</v>
      </c>
    </row>
    <row r="4374" spans="1:11">
      <c r="A4374" t="str">
        <f>"603828"</f>
        <v>603828</v>
      </c>
      <c r="B4374" t="s">
        <v>4730</v>
      </c>
      <c r="C4374">
        <v>57.81</v>
      </c>
      <c r="D4374">
        <v>40.42</v>
      </c>
      <c r="E4374">
        <v>6.44</v>
      </c>
      <c r="F4374">
        <v>5.96</v>
      </c>
      <c r="G4374">
        <v>5.96</v>
      </c>
      <c r="H4374">
        <v>7531</v>
      </c>
      <c r="I4374">
        <v>8.97</v>
      </c>
      <c r="J4374" t="s">
        <v>14</v>
      </c>
      <c r="K4374" t="s">
        <v>804</v>
      </c>
    </row>
    <row r="4375" spans="1:11">
      <c r="A4375" t="str">
        <f>"603829"</f>
        <v>603829</v>
      </c>
      <c r="B4375" t="s">
        <v>4731</v>
      </c>
      <c r="C4375">
        <v>49.34</v>
      </c>
      <c r="D4375">
        <v>31.17</v>
      </c>
      <c r="E4375">
        <v>11.29</v>
      </c>
      <c r="F4375">
        <v>1.86</v>
      </c>
      <c r="G4375">
        <v>1.86</v>
      </c>
      <c r="H4375">
        <v>10357</v>
      </c>
      <c r="I4375">
        <v>3.86</v>
      </c>
      <c r="J4375">
        <v>51.81</v>
      </c>
      <c r="K4375" t="s">
        <v>943</v>
      </c>
    </row>
    <row r="4376" spans="1:11">
      <c r="A4376" t="str">
        <f>"603833"</f>
        <v>603833</v>
      </c>
      <c r="B4376" t="s">
        <v>4732</v>
      </c>
      <c r="C4376">
        <v>329.06</v>
      </c>
      <c r="D4376">
        <v>353.65</v>
      </c>
      <c r="E4376">
        <v>193.68</v>
      </c>
      <c r="F4376">
        <v>6.09</v>
      </c>
      <c r="G4376">
        <v>6.09</v>
      </c>
      <c r="H4376">
        <v>20732</v>
      </c>
      <c r="I4376">
        <v>1.74</v>
      </c>
      <c r="J4376">
        <v>13.47</v>
      </c>
      <c r="K4376" t="s">
        <v>540</v>
      </c>
    </row>
    <row r="4377" spans="1:11">
      <c r="A4377" t="str">
        <f>"603836"</f>
        <v>603836</v>
      </c>
      <c r="B4377" t="s">
        <v>4733</v>
      </c>
      <c r="C4377">
        <v>29.29</v>
      </c>
      <c r="D4377">
        <v>34.79</v>
      </c>
      <c r="E4377">
        <v>17.71</v>
      </c>
      <c r="F4377">
        <v>2.05</v>
      </c>
      <c r="G4377">
        <v>2.05</v>
      </c>
      <c r="H4377">
        <v>13805</v>
      </c>
      <c r="I4377">
        <v>1.65</v>
      </c>
      <c r="J4377">
        <v>65.52</v>
      </c>
      <c r="K4377" t="s">
        <v>740</v>
      </c>
    </row>
    <row r="4378" spans="1:11">
      <c r="A4378" t="str">
        <f>"603838"</f>
        <v>603838</v>
      </c>
      <c r="B4378" t="s">
        <v>4734</v>
      </c>
      <c r="C4378">
        <v>23.43</v>
      </c>
      <c r="D4378">
        <v>10.15</v>
      </c>
      <c r="E4378">
        <v>9.36</v>
      </c>
      <c r="F4378">
        <v>3.2</v>
      </c>
      <c r="G4378">
        <v>3.2</v>
      </c>
      <c r="H4378">
        <v>7291</v>
      </c>
      <c r="I4378">
        <v>2.5</v>
      </c>
      <c r="J4378" t="s">
        <v>14</v>
      </c>
      <c r="K4378" t="s">
        <v>625</v>
      </c>
    </row>
    <row r="4379" spans="1:11">
      <c r="A4379" t="str">
        <f>"603839"</f>
        <v>603839</v>
      </c>
      <c r="B4379" t="s">
        <v>4735</v>
      </c>
      <c r="C4379">
        <v>32.29</v>
      </c>
      <c r="D4379">
        <v>27.21</v>
      </c>
      <c r="E4379">
        <v>18.12</v>
      </c>
      <c r="F4379">
        <v>3.89</v>
      </c>
      <c r="G4379">
        <v>3.89</v>
      </c>
      <c r="H4379">
        <v>18418</v>
      </c>
      <c r="I4379">
        <v>1.78</v>
      </c>
      <c r="J4379" t="s">
        <v>14</v>
      </c>
      <c r="K4379" t="s">
        <v>622</v>
      </c>
    </row>
    <row r="4380" spans="1:11">
      <c r="A4380" t="str">
        <f>"603843"</f>
        <v>603843</v>
      </c>
      <c r="B4380" t="s">
        <v>4736</v>
      </c>
      <c r="C4380">
        <v>40.86</v>
      </c>
      <c r="D4380">
        <v>74.14</v>
      </c>
      <c r="E4380">
        <v>2.8</v>
      </c>
      <c r="F4380">
        <v>7</v>
      </c>
      <c r="G4380">
        <v>7</v>
      </c>
      <c r="H4380">
        <v>35887</v>
      </c>
      <c r="I4380">
        <v>14.6</v>
      </c>
      <c r="J4380" t="s">
        <v>14</v>
      </c>
      <c r="K4380" t="s">
        <v>100</v>
      </c>
    </row>
    <row r="4381" spans="1:11">
      <c r="A4381" t="str">
        <f>"603848"</f>
        <v>603848</v>
      </c>
      <c r="B4381" t="s">
        <v>4737</v>
      </c>
      <c r="C4381">
        <v>76.01</v>
      </c>
      <c r="D4381">
        <v>34.53</v>
      </c>
      <c r="E4381">
        <v>25.04</v>
      </c>
      <c r="F4381">
        <v>4.02</v>
      </c>
      <c r="G4381">
        <v>4.02</v>
      </c>
      <c r="H4381">
        <v>12663</v>
      </c>
      <c r="I4381">
        <v>3.04</v>
      </c>
      <c r="J4381">
        <v>39.81</v>
      </c>
      <c r="K4381" t="s">
        <v>625</v>
      </c>
    </row>
    <row r="4382" spans="1:11">
      <c r="A4382" t="str">
        <f>"603855"</f>
        <v>603855</v>
      </c>
      <c r="B4382" t="s">
        <v>4738</v>
      </c>
      <c r="C4382">
        <v>66.13</v>
      </c>
      <c r="D4382">
        <v>48.73</v>
      </c>
      <c r="E4382">
        <v>20.93</v>
      </c>
      <c r="F4382">
        <v>3.38</v>
      </c>
      <c r="G4382">
        <v>3.36</v>
      </c>
      <c r="H4382">
        <v>18389</v>
      </c>
      <c r="I4382">
        <v>3.18</v>
      </c>
      <c r="J4382">
        <v>16.66</v>
      </c>
      <c r="K4382" t="s">
        <v>493</v>
      </c>
    </row>
    <row r="4383" spans="1:11">
      <c r="A4383" t="str">
        <f>"603856"</f>
        <v>603856</v>
      </c>
      <c r="B4383" t="s">
        <v>4739</v>
      </c>
      <c r="C4383">
        <v>37.65</v>
      </c>
      <c r="D4383">
        <v>36.39</v>
      </c>
      <c r="E4383">
        <v>27.04</v>
      </c>
      <c r="F4383">
        <v>2.82</v>
      </c>
      <c r="G4383">
        <v>2.82</v>
      </c>
      <c r="H4383">
        <v>15241</v>
      </c>
      <c r="I4383">
        <v>1.39</v>
      </c>
      <c r="J4383">
        <v>16.23</v>
      </c>
      <c r="K4383" t="s">
        <v>874</v>
      </c>
    </row>
    <row r="4384" spans="1:11">
      <c r="A4384" t="str">
        <f>"603858"</f>
        <v>603858</v>
      </c>
      <c r="B4384" t="s">
        <v>4740</v>
      </c>
      <c r="C4384">
        <v>176.64</v>
      </c>
      <c r="D4384">
        <v>195.7</v>
      </c>
      <c r="E4384">
        <v>105.73</v>
      </c>
      <c r="F4384">
        <v>10.55</v>
      </c>
      <c r="G4384">
        <v>10.55</v>
      </c>
      <c r="H4384">
        <v>51090</v>
      </c>
      <c r="I4384">
        <v>1.67</v>
      </c>
      <c r="J4384">
        <v>15.26</v>
      </c>
      <c r="K4384" t="s">
        <v>155</v>
      </c>
    </row>
    <row r="4385" spans="1:11">
      <c r="A4385" t="str">
        <f>"603859"</f>
        <v>603859</v>
      </c>
      <c r="B4385" t="s">
        <v>4741</v>
      </c>
      <c r="C4385">
        <v>143.37</v>
      </c>
      <c r="D4385">
        <v>47.38</v>
      </c>
      <c r="E4385">
        <v>30.5</v>
      </c>
      <c r="F4385">
        <v>2.45</v>
      </c>
      <c r="G4385">
        <v>2.45</v>
      </c>
      <c r="H4385">
        <v>35451</v>
      </c>
      <c r="I4385">
        <v>4.7</v>
      </c>
      <c r="J4385">
        <v>65.14</v>
      </c>
      <c r="K4385" t="s">
        <v>117</v>
      </c>
    </row>
    <row r="4386" spans="1:11">
      <c r="A4386" t="str">
        <f>"603860"</f>
        <v>603860</v>
      </c>
      <c r="B4386" t="s">
        <v>4742</v>
      </c>
      <c r="C4386">
        <v>20.88</v>
      </c>
      <c r="D4386">
        <v>9.18</v>
      </c>
      <c r="E4386">
        <v>7.99</v>
      </c>
      <c r="F4386">
        <v>0.67</v>
      </c>
      <c r="G4386">
        <v>0.67</v>
      </c>
      <c r="H4386">
        <v>7930</v>
      </c>
      <c r="I4386">
        <v>2.61</v>
      </c>
      <c r="J4386">
        <v>322.69</v>
      </c>
      <c r="K4386" t="s">
        <v>428</v>
      </c>
    </row>
    <row r="4387" spans="1:11">
      <c r="A4387" t="str">
        <f>"603861"</f>
        <v>603861</v>
      </c>
      <c r="B4387" t="s">
        <v>4743</v>
      </c>
      <c r="C4387">
        <v>74</v>
      </c>
      <c r="D4387">
        <v>106.57</v>
      </c>
      <c r="E4387">
        <v>39.84</v>
      </c>
      <c r="F4387">
        <v>5.41</v>
      </c>
      <c r="G4387">
        <v>5.29</v>
      </c>
      <c r="H4387">
        <v>34109</v>
      </c>
      <c r="I4387">
        <v>1.9</v>
      </c>
      <c r="J4387">
        <v>38.2</v>
      </c>
      <c r="K4387" t="s">
        <v>943</v>
      </c>
    </row>
    <row r="4388" spans="1:11">
      <c r="A4388" t="str">
        <f>"603863"</f>
        <v>603863</v>
      </c>
      <c r="B4388" t="s">
        <v>4744</v>
      </c>
      <c r="C4388">
        <v>39.46</v>
      </c>
      <c r="D4388">
        <v>11.43</v>
      </c>
      <c r="E4388">
        <v>3.64</v>
      </c>
      <c r="F4388">
        <v>2.05</v>
      </c>
      <c r="G4388">
        <v>2.05</v>
      </c>
      <c r="H4388">
        <v>16870</v>
      </c>
      <c r="I4388">
        <v>10.84</v>
      </c>
      <c r="J4388" t="s">
        <v>14</v>
      </c>
      <c r="K4388" t="s">
        <v>165</v>
      </c>
    </row>
    <row r="4389" spans="1:11">
      <c r="A4389" t="str">
        <f>"603866"</f>
        <v>603866</v>
      </c>
      <c r="B4389" t="s">
        <v>4745</v>
      </c>
      <c r="C4389">
        <v>85.43</v>
      </c>
      <c r="D4389">
        <v>73.14</v>
      </c>
      <c r="E4389">
        <v>52.23</v>
      </c>
      <c r="F4389">
        <v>16</v>
      </c>
      <c r="G4389">
        <v>16</v>
      </c>
      <c r="H4389">
        <v>62476</v>
      </c>
      <c r="I4389">
        <v>1.64</v>
      </c>
      <c r="J4389">
        <v>21.49</v>
      </c>
      <c r="K4389" t="s">
        <v>634</v>
      </c>
    </row>
    <row r="4390" spans="1:11">
      <c r="A4390" t="str">
        <f>"603867"</f>
        <v>603867</v>
      </c>
      <c r="B4390" t="s">
        <v>4746</v>
      </c>
      <c r="C4390">
        <v>55.43</v>
      </c>
      <c r="D4390">
        <v>44.86</v>
      </c>
      <c r="E4390">
        <v>25.2</v>
      </c>
      <c r="F4390">
        <v>2.17</v>
      </c>
      <c r="G4390">
        <v>2.16</v>
      </c>
      <c r="H4390">
        <v>11355</v>
      </c>
      <c r="I4390">
        <v>2.03</v>
      </c>
      <c r="J4390">
        <v>22.66</v>
      </c>
      <c r="K4390" t="s">
        <v>1201</v>
      </c>
    </row>
    <row r="4391" spans="1:11">
      <c r="A4391" t="str">
        <f>"603868"</f>
        <v>603868</v>
      </c>
      <c r="B4391" t="s">
        <v>4747</v>
      </c>
      <c r="C4391">
        <v>172.41</v>
      </c>
      <c r="D4391">
        <v>38.96</v>
      </c>
      <c r="E4391">
        <v>32.72</v>
      </c>
      <c r="F4391">
        <v>4.36</v>
      </c>
      <c r="G4391">
        <v>4.36</v>
      </c>
      <c r="H4391">
        <v>12072</v>
      </c>
      <c r="I4391">
        <v>5.27</v>
      </c>
      <c r="J4391">
        <v>28.29</v>
      </c>
      <c r="K4391" t="s">
        <v>1399</v>
      </c>
    </row>
    <row r="4392" spans="1:11">
      <c r="A4392" t="str">
        <f>"603869"</f>
        <v>603869</v>
      </c>
      <c r="B4392" t="s">
        <v>4748</v>
      </c>
      <c r="C4392">
        <v>51.98</v>
      </c>
      <c r="D4392">
        <v>46.96</v>
      </c>
      <c r="E4392">
        <v>37.44</v>
      </c>
      <c r="F4392">
        <v>4.94</v>
      </c>
      <c r="G4392">
        <v>4.94</v>
      </c>
      <c r="H4392">
        <v>12187</v>
      </c>
      <c r="I4392">
        <v>1.39</v>
      </c>
      <c r="J4392">
        <v>105.49</v>
      </c>
      <c r="K4392" t="s">
        <v>117</v>
      </c>
    </row>
    <row r="4393" spans="1:11">
      <c r="A4393" t="str">
        <f>"603871"</f>
        <v>603871</v>
      </c>
      <c r="B4393" t="s">
        <v>4749</v>
      </c>
      <c r="C4393">
        <v>190.97</v>
      </c>
      <c r="D4393">
        <v>79.97</v>
      </c>
      <c r="E4393">
        <v>57.72</v>
      </c>
      <c r="F4393">
        <v>13.68</v>
      </c>
      <c r="G4393">
        <v>13.68</v>
      </c>
      <c r="H4393">
        <v>22926</v>
      </c>
      <c r="I4393">
        <v>3.31</v>
      </c>
      <c r="J4393">
        <v>16.39</v>
      </c>
      <c r="K4393" t="s">
        <v>740</v>
      </c>
    </row>
    <row r="4394" spans="1:11">
      <c r="A4394" t="str">
        <f>"603876"</f>
        <v>603876</v>
      </c>
      <c r="B4394" t="s">
        <v>4750</v>
      </c>
      <c r="C4394">
        <v>144.87</v>
      </c>
      <c r="D4394">
        <v>250.11</v>
      </c>
      <c r="E4394">
        <v>73.12</v>
      </c>
      <c r="F4394">
        <v>9.29</v>
      </c>
      <c r="G4394">
        <v>9.29</v>
      </c>
      <c r="H4394">
        <v>42800</v>
      </c>
      <c r="I4394">
        <v>1.98</v>
      </c>
      <c r="J4394">
        <v>35.42</v>
      </c>
      <c r="K4394" t="s">
        <v>288</v>
      </c>
    </row>
    <row r="4395" spans="1:11">
      <c r="A4395" t="str">
        <f>"603877"</f>
        <v>603877</v>
      </c>
      <c r="B4395" t="s">
        <v>4751</v>
      </c>
      <c r="C4395">
        <v>78.8</v>
      </c>
      <c r="D4395">
        <v>75.69</v>
      </c>
      <c r="E4395">
        <v>43.43</v>
      </c>
      <c r="F4395">
        <v>4.71</v>
      </c>
      <c r="G4395">
        <v>4.69</v>
      </c>
      <c r="H4395">
        <v>11868</v>
      </c>
      <c r="I4395">
        <v>1.85</v>
      </c>
      <c r="J4395">
        <v>209.92</v>
      </c>
      <c r="K4395" t="s">
        <v>622</v>
      </c>
    </row>
    <row r="4396" spans="1:11">
      <c r="A4396" t="str">
        <f>"603878"</f>
        <v>603878</v>
      </c>
      <c r="B4396" t="s">
        <v>4752</v>
      </c>
      <c r="C4396">
        <v>45.9</v>
      </c>
      <c r="D4396">
        <v>41.85</v>
      </c>
      <c r="E4396">
        <v>26.34</v>
      </c>
      <c r="F4396">
        <v>5.61</v>
      </c>
      <c r="G4396">
        <v>5.61</v>
      </c>
      <c r="H4396">
        <v>24257</v>
      </c>
      <c r="I4396">
        <v>1.76</v>
      </c>
      <c r="J4396">
        <v>39.67</v>
      </c>
      <c r="K4396" t="s">
        <v>426</v>
      </c>
    </row>
    <row r="4397" spans="1:11">
      <c r="A4397" t="str">
        <f>"603879"</f>
        <v>603879</v>
      </c>
      <c r="B4397" t="s">
        <v>4753</v>
      </c>
      <c r="C4397">
        <v>24.83</v>
      </c>
      <c r="D4397">
        <v>2.91</v>
      </c>
      <c r="E4397">
        <v>2.56</v>
      </c>
      <c r="F4397">
        <v>3.59</v>
      </c>
      <c r="G4397">
        <v>3.59</v>
      </c>
      <c r="H4397">
        <v>14082</v>
      </c>
      <c r="I4397">
        <v>9.68</v>
      </c>
      <c r="J4397" t="s">
        <v>14</v>
      </c>
      <c r="K4397" t="s">
        <v>601</v>
      </c>
    </row>
    <row r="4398" spans="1:11">
      <c r="A4398" t="str">
        <f>"603880"</f>
        <v>603880</v>
      </c>
      <c r="B4398" t="s">
        <v>4754</v>
      </c>
      <c r="C4398">
        <v>18.12</v>
      </c>
      <c r="D4398">
        <v>9.93</v>
      </c>
      <c r="E4398">
        <v>2.54</v>
      </c>
      <c r="F4398">
        <v>2.89</v>
      </c>
      <c r="G4398">
        <v>2.89</v>
      </c>
      <c r="H4398">
        <v>12047</v>
      </c>
      <c r="I4398">
        <v>7.13</v>
      </c>
      <c r="J4398" t="s">
        <v>14</v>
      </c>
      <c r="K4398" t="s">
        <v>1173</v>
      </c>
    </row>
    <row r="4399" spans="1:11">
      <c r="A4399" t="str">
        <f>"603881"</f>
        <v>603881</v>
      </c>
      <c r="B4399" t="s">
        <v>4755</v>
      </c>
      <c r="C4399">
        <v>276.72</v>
      </c>
      <c r="D4399">
        <v>80.17</v>
      </c>
      <c r="E4399">
        <v>33.01</v>
      </c>
      <c r="F4399">
        <v>7.18</v>
      </c>
      <c r="G4399">
        <v>7.18</v>
      </c>
      <c r="H4399">
        <v>160550</v>
      </c>
      <c r="I4399">
        <v>8.38</v>
      </c>
      <c r="J4399">
        <v>173.16</v>
      </c>
      <c r="K4399" t="s">
        <v>463</v>
      </c>
    </row>
    <row r="4400" spans="1:11">
      <c r="A4400" t="str">
        <f>"603882"</f>
        <v>603882</v>
      </c>
      <c r="B4400" t="s">
        <v>4756</v>
      </c>
      <c r="C4400">
        <v>170.2</v>
      </c>
      <c r="D4400">
        <v>97.14</v>
      </c>
      <c r="E4400">
        <v>68.28</v>
      </c>
      <c r="F4400">
        <v>4.63</v>
      </c>
      <c r="G4400">
        <v>4.6</v>
      </c>
      <c r="H4400">
        <v>41671</v>
      </c>
      <c r="I4400">
        <v>2.51</v>
      </c>
      <c r="J4400" t="s">
        <v>14</v>
      </c>
      <c r="K4400" t="s">
        <v>368</v>
      </c>
    </row>
    <row r="4401" spans="1:11">
      <c r="A4401" t="str">
        <f>"603883"</f>
        <v>603883</v>
      </c>
      <c r="B4401" t="s">
        <v>4757</v>
      </c>
      <c r="C4401">
        <v>121.65</v>
      </c>
      <c r="D4401">
        <v>203.35</v>
      </c>
      <c r="E4401">
        <v>68.03</v>
      </c>
      <c r="F4401">
        <v>7.59</v>
      </c>
      <c r="G4401">
        <v>7.59</v>
      </c>
      <c r="H4401">
        <v>63655</v>
      </c>
      <c r="I4401">
        <v>1.79</v>
      </c>
      <c r="J4401">
        <v>17.26</v>
      </c>
      <c r="K4401" t="s">
        <v>1507</v>
      </c>
    </row>
    <row r="4402" spans="1:11">
      <c r="A4402" t="str">
        <f>"603885"</f>
        <v>603885</v>
      </c>
      <c r="B4402" t="s">
        <v>4758</v>
      </c>
      <c r="C4402">
        <v>321.7</v>
      </c>
      <c r="D4402">
        <v>498.94</v>
      </c>
      <c r="E4402">
        <v>98.29</v>
      </c>
      <c r="F4402">
        <v>21.84</v>
      </c>
      <c r="G4402">
        <v>21.84</v>
      </c>
      <c r="H4402">
        <v>24234</v>
      </c>
      <c r="I4402">
        <v>3.27</v>
      </c>
      <c r="J4402">
        <v>22.15</v>
      </c>
      <c r="K4402" t="s">
        <v>104</v>
      </c>
    </row>
    <row r="4403" spans="1:11">
      <c r="A4403" t="str">
        <f>"603886"</f>
        <v>603886</v>
      </c>
      <c r="B4403" t="s">
        <v>4759</v>
      </c>
      <c r="C4403">
        <v>34.44</v>
      </c>
      <c r="D4403">
        <v>33.17</v>
      </c>
      <c r="E4403">
        <v>15.52</v>
      </c>
      <c r="F4403">
        <v>2.4</v>
      </c>
      <c r="G4403">
        <v>2.4</v>
      </c>
      <c r="H4403">
        <v>21187</v>
      </c>
      <c r="I4403">
        <v>2.22</v>
      </c>
      <c r="J4403">
        <v>19.71</v>
      </c>
      <c r="K4403" t="s">
        <v>634</v>
      </c>
    </row>
    <row r="4404" spans="1:11">
      <c r="A4404" t="str">
        <f>"603887"</f>
        <v>603887</v>
      </c>
      <c r="B4404" t="s">
        <v>4760</v>
      </c>
      <c r="C4404">
        <v>90.48</v>
      </c>
      <c r="D4404">
        <v>132.11</v>
      </c>
      <c r="E4404">
        <v>35.7</v>
      </c>
      <c r="F4404">
        <v>6.02</v>
      </c>
      <c r="G4404">
        <v>5.95</v>
      </c>
      <c r="H4404">
        <v>53602</v>
      </c>
      <c r="I4404">
        <v>2.59</v>
      </c>
      <c r="J4404">
        <v>2405.59</v>
      </c>
      <c r="K4404" t="s">
        <v>463</v>
      </c>
    </row>
    <row r="4405" spans="1:11">
      <c r="A4405" t="str">
        <f>"603888"</f>
        <v>603888</v>
      </c>
      <c r="B4405" t="s">
        <v>4761</v>
      </c>
      <c r="C4405">
        <v>199.72</v>
      </c>
      <c r="D4405">
        <v>49.26</v>
      </c>
      <c r="E4405">
        <v>36.79</v>
      </c>
      <c r="F4405">
        <v>6.75</v>
      </c>
      <c r="G4405">
        <v>6.75</v>
      </c>
      <c r="H4405">
        <v>45692</v>
      </c>
      <c r="I4405">
        <v>5.43</v>
      </c>
      <c r="J4405">
        <v>73.63</v>
      </c>
      <c r="K4405" t="s">
        <v>339</v>
      </c>
    </row>
    <row r="4406" spans="1:11">
      <c r="A4406" t="str">
        <f>"603889"</f>
        <v>603889</v>
      </c>
      <c r="B4406" t="s">
        <v>4762</v>
      </c>
      <c r="C4406">
        <v>65.66</v>
      </c>
      <c r="D4406">
        <v>65.75</v>
      </c>
      <c r="E4406">
        <v>35.97</v>
      </c>
      <c r="F4406">
        <v>7.3</v>
      </c>
      <c r="G4406">
        <v>7.25</v>
      </c>
      <c r="H4406">
        <v>16027</v>
      </c>
      <c r="I4406">
        <v>1.84</v>
      </c>
      <c r="J4406">
        <v>13.15</v>
      </c>
      <c r="K4406" t="s">
        <v>577</v>
      </c>
    </row>
    <row r="4407" spans="1:11">
      <c r="A4407" t="str">
        <f>"603890"</f>
        <v>603890</v>
      </c>
      <c r="B4407" t="s">
        <v>4763</v>
      </c>
      <c r="C4407">
        <v>71.99</v>
      </c>
      <c r="D4407">
        <v>61.82</v>
      </c>
      <c r="E4407">
        <v>31.17</v>
      </c>
      <c r="F4407">
        <v>4.56</v>
      </c>
      <c r="G4407">
        <v>4.56</v>
      </c>
      <c r="H4407">
        <v>40950</v>
      </c>
      <c r="I4407">
        <v>2.31</v>
      </c>
      <c r="J4407">
        <v>23.37</v>
      </c>
      <c r="K4407" t="s">
        <v>41</v>
      </c>
    </row>
    <row r="4408" spans="1:11">
      <c r="A4408" t="str">
        <f>"603893"</f>
        <v>603893</v>
      </c>
      <c r="B4408" t="s">
        <v>4764</v>
      </c>
      <c r="C4408">
        <v>807.11</v>
      </c>
      <c r="D4408">
        <v>51.12</v>
      </c>
      <c r="E4408">
        <v>42.39</v>
      </c>
      <c r="F4408">
        <v>4.21</v>
      </c>
      <c r="G4408">
        <v>4.21</v>
      </c>
      <c r="H4408">
        <v>87460</v>
      </c>
      <c r="I4408">
        <v>19.05</v>
      </c>
      <c r="J4408">
        <v>77.67</v>
      </c>
      <c r="K4408" t="s">
        <v>691</v>
      </c>
    </row>
    <row r="4409" spans="1:11">
      <c r="A4409" t="str">
        <f>"603895"</f>
        <v>603895</v>
      </c>
      <c r="B4409" t="s">
        <v>4765</v>
      </c>
      <c r="C4409">
        <v>34.59</v>
      </c>
      <c r="D4409">
        <v>11.21</v>
      </c>
      <c r="E4409">
        <v>1.94</v>
      </c>
      <c r="F4409">
        <v>1.08</v>
      </c>
      <c r="G4409">
        <v>1.08</v>
      </c>
      <c r="H4409">
        <v>8781</v>
      </c>
      <c r="I4409">
        <v>17.85</v>
      </c>
      <c r="J4409">
        <v>213.65</v>
      </c>
      <c r="K4409" t="s">
        <v>493</v>
      </c>
    </row>
    <row r="4410" spans="1:11">
      <c r="A4410" t="str">
        <f>"603896"</f>
        <v>603896</v>
      </c>
      <c r="B4410" t="s">
        <v>4766</v>
      </c>
      <c r="C4410">
        <v>40.92</v>
      </c>
      <c r="D4410">
        <v>31.55</v>
      </c>
      <c r="E4410">
        <v>23.12</v>
      </c>
      <c r="F4410">
        <v>1.98</v>
      </c>
      <c r="G4410">
        <v>1.98</v>
      </c>
      <c r="H4410">
        <v>22715</v>
      </c>
      <c r="I4410">
        <v>1.83</v>
      </c>
      <c r="J4410">
        <v>40.2</v>
      </c>
      <c r="K4410" t="s">
        <v>155</v>
      </c>
    </row>
    <row r="4411" spans="1:11">
      <c r="A4411" t="str">
        <f>"603897"</f>
        <v>603897</v>
      </c>
      <c r="B4411" t="s">
        <v>4767</v>
      </c>
      <c r="C4411">
        <v>54.66</v>
      </c>
      <c r="D4411">
        <v>68.62</v>
      </c>
      <c r="E4411">
        <v>24.05</v>
      </c>
      <c r="F4411">
        <v>2.06</v>
      </c>
      <c r="G4411">
        <v>2.06</v>
      </c>
      <c r="H4411">
        <v>27802</v>
      </c>
      <c r="I4411">
        <v>2.27</v>
      </c>
      <c r="J4411">
        <v>19.08</v>
      </c>
      <c r="K4411" t="s">
        <v>383</v>
      </c>
    </row>
    <row r="4412" spans="1:11">
      <c r="A4412" t="str">
        <f>"603898"</f>
        <v>603898</v>
      </c>
      <c r="B4412" t="s">
        <v>4768</v>
      </c>
      <c r="C4412">
        <v>44.65</v>
      </c>
      <c r="D4412">
        <v>38.53</v>
      </c>
      <c r="E4412">
        <v>31.48</v>
      </c>
      <c r="F4412">
        <v>3.11</v>
      </c>
      <c r="G4412">
        <v>3.11</v>
      </c>
      <c r="H4412">
        <v>9123</v>
      </c>
      <c r="I4412">
        <v>1.42</v>
      </c>
      <c r="J4412">
        <v>106.79</v>
      </c>
      <c r="K4412" t="s">
        <v>540</v>
      </c>
    </row>
    <row r="4413" spans="1:11">
      <c r="A4413" t="str">
        <f>"603899"</f>
        <v>603899</v>
      </c>
      <c r="B4413" t="s">
        <v>4769</v>
      </c>
      <c r="C4413">
        <v>254.19</v>
      </c>
      <c r="D4413">
        <v>166.17</v>
      </c>
      <c r="E4413">
        <v>89.25</v>
      </c>
      <c r="F4413">
        <v>9.21</v>
      </c>
      <c r="G4413">
        <v>9.21</v>
      </c>
      <c r="H4413">
        <v>40037</v>
      </c>
      <c r="I4413">
        <v>2.85</v>
      </c>
      <c r="J4413">
        <v>20.1</v>
      </c>
      <c r="K4413" t="s">
        <v>867</v>
      </c>
    </row>
    <row r="4414" spans="1:11">
      <c r="A4414" t="str">
        <f>"603900"</f>
        <v>603900</v>
      </c>
      <c r="B4414" t="s">
        <v>4770</v>
      </c>
      <c r="C4414">
        <v>31.99</v>
      </c>
      <c r="D4414">
        <v>22.64</v>
      </c>
      <c r="E4414">
        <v>19.8</v>
      </c>
      <c r="F4414">
        <v>3.43</v>
      </c>
      <c r="G4414">
        <v>3.42</v>
      </c>
      <c r="H4414">
        <v>35369</v>
      </c>
      <c r="I4414">
        <v>1.62</v>
      </c>
      <c r="J4414">
        <v>34.85</v>
      </c>
      <c r="K4414" t="s">
        <v>35</v>
      </c>
    </row>
    <row r="4415" spans="1:11">
      <c r="A4415" t="str">
        <f>"603901"</f>
        <v>603901</v>
      </c>
      <c r="B4415" t="s">
        <v>4771</v>
      </c>
      <c r="C4415">
        <v>73.44</v>
      </c>
      <c r="D4415">
        <v>83.05</v>
      </c>
      <c r="E4415">
        <v>25.99</v>
      </c>
      <c r="F4415">
        <v>4.98</v>
      </c>
      <c r="G4415">
        <v>4.88</v>
      </c>
      <c r="H4415">
        <v>29159</v>
      </c>
      <c r="I4415">
        <v>3</v>
      </c>
      <c r="J4415">
        <v>44.34</v>
      </c>
      <c r="K4415" t="s">
        <v>657</v>
      </c>
    </row>
    <row r="4416" spans="1:11">
      <c r="A4416" t="str">
        <f>"603903"</f>
        <v>603903</v>
      </c>
      <c r="B4416" t="s">
        <v>4772</v>
      </c>
      <c r="C4416">
        <v>32.45</v>
      </c>
      <c r="D4416">
        <v>42.26</v>
      </c>
      <c r="E4416">
        <v>15.63</v>
      </c>
      <c r="F4416">
        <v>2.55</v>
      </c>
      <c r="G4416">
        <v>2.55</v>
      </c>
      <c r="H4416">
        <v>12537</v>
      </c>
      <c r="I4416">
        <v>2.08</v>
      </c>
      <c r="J4416">
        <v>51.13</v>
      </c>
      <c r="K4416" t="s">
        <v>90</v>
      </c>
    </row>
    <row r="4417" spans="1:11">
      <c r="A4417" t="str">
        <f>"603906"</f>
        <v>603906</v>
      </c>
      <c r="B4417" t="s">
        <v>4773</v>
      </c>
      <c r="C4417">
        <v>111.38</v>
      </c>
      <c r="D4417">
        <v>184.38</v>
      </c>
      <c r="E4417">
        <v>29.92</v>
      </c>
      <c r="F4417">
        <v>6.85</v>
      </c>
      <c r="G4417">
        <v>5.65</v>
      </c>
      <c r="H4417">
        <v>85759</v>
      </c>
      <c r="I4417">
        <v>4.51</v>
      </c>
      <c r="J4417" t="s">
        <v>14</v>
      </c>
      <c r="K4417" t="s">
        <v>24</v>
      </c>
    </row>
    <row r="4418" spans="1:11">
      <c r="A4418" t="str">
        <f>"603908"</f>
        <v>603908</v>
      </c>
      <c r="B4418" t="s">
        <v>4774</v>
      </c>
      <c r="C4418">
        <v>22.77</v>
      </c>
      <c r="D4418">
        <v>11.21</v>
      </c>
      <c r="E4418">
        <v>5.37</v>
      </c>
      <c r="F4418">
        <v>0.93</v>
      </c>
      <c r="G4418">
        <v>0.93</v>
      </c>
      <c r="H4418">
        <v>12281</v>
      </c>
      <c r="I4418">
        <v>4.25</v>
      </c>
      <c r="J4418">
        <v>46.6</v>
      </c>
      <c r="K4418" t="s">
        <v>1418</v>
      </c>
    </row>
    <row r="4419" spans="1:11">
      <c r="A4419" t="str">
        <f>"603909"</f>
        <v>603909</v>
      </c>
      <c r="B4419" t="s">
        <v>4775</v>
      </c>
      <c r="C4419">
        <v>30.03</v>
      </c>
      <c r="D4419">
        <v>55.57</v>
      </c>
      <c r="E4419">
        <v>11.24</v>
      </c>
      <c r="F4419">
        <v>2.61</v>
      </c>
      <c r="G4419">
        <v>2.61</v>
      </c>
      <c r="H4419">
        <v>9250</v>
      </c>
      <c r="I4419">
        <v>2.67</v>
      </c>
      <c r="J4419">
        <v>29.33</v>
      </c>
      <c r="K4419" t="s">
        <v>428</v>
      </c>
    </row>
    <row r="4420" spans="1:11">
      <c r="A4420" t="str">
        <f>"603912"</f>
        <v>603912</v>
      </c>
      <c r="B4420" t="s">
        <v>4776</v>
      </c>
      <c r="C4420">
        <v>48.12</v>
      </c>
      <c r="D4420">
        <v>35.35</v>
      </c>
      <c r="E4420">
        <v>17.98</v>
      </c>
      <c r="F4420">
        <v>5.42</v>
      </c>
      <c r="G4420">
        <v>5.42</v>
      </c>
      <c r="H4420">
        <v>44911</v>
      </c>
      <c r="I4420">
        <v>2.75</v>
      </c>
      <c r="J4420" t="s">
        <v>14</v>
      </c>
      <c r="K4420" t="s">
        <v>493</v>
      </c>
    </row>
    <row r="4421" spans="1:11">
      <c r="A4421" t="str">
        <f>"603915"</f>
        <v>603915</v>
      </c>
      <c r="B4421" t="s">
        <v>4777</v>
      </c>
      <c r="C4421">
        <v>115.76</v>
      </c>
      <c r="D4421">
        <v>53.64</v>
      </c>
      <c r="E4421">
        <v>36.88</v>
      </c>
      <c r="F4421">
        <v>6.57</v>
      </c>
      <c r="G4421">
        <v>6.57</v>
      </c>
      <c r="H4421">
        <v>31724</v>
      </c>
      <c r="I4421">
        <v>3.14</v>
      </c>
      <c r="J4421">
        <v>46.84</v>
      </c>
      <c r="K4421" t="s">
        <v>424</v>
      </c>
    </row>
    <row r="4422" spans="1:11">
      <c r="A4422" t="str">
        <f>"603916"</f>
        <v>603916</v>
      </c>
      <c r="B4422" t="s">
        <v>4778</v>
      </c>
      <c r="C4422">
        <v>47.75</v>
      </c>
      <c r="D4422">
        <v>87.59</v>
      </c>
      <c r="E4422">
        <v>43.22</v>
      </c>
      <c r="F4422">
        <v>4.26</v>
      </c>
      <c r="G4422">
        <v>4.2</v>
      </c>
      <c r="H4422">
        <v>25077</v>
      </c>
      <c r="I4422">
        <v>1.15</v>
      </c>
      <c r="J4422">
        <v>38.59</v>
      </c>
      <c r="K4422" t="s">
        <v>511</v>
      </c>
    </row>
    <row r="4423" spans="1:11">
      <c r="A4423" t="str">
        <f>"603917"</f>
        <v>603917</v>
      </c>
      <c r="B4423" t="s">
        <v>4779</v>
      </c>
      <c r="C4423">
        <v>29.72</v>
      </c>
      <c r="D4423">
        <v>20.7</v>
      </c>
      <c r="E4423">
        <v>16.79</v>
      </c>
      <c r="F4423">
        <v>2.04</v>
      </c>
      <c r="G4423">
        <v>2.04</v>
      </c>
      <c r="H4423">
        <v>20027</v>
      </c>
      <c r="I4423">
        <v>1.77</v>
      </c>
      <c r="J4423">
        <v>90.42</v>
      </c>
      <c r="K4423" t="s">
        <v>517</v>
      </c>
    </row>
    <row r="4424" spans="1:11">
      <c r="A4424" t="str">
        <f>"603918"</f>
        <v>603918</v>
      </c>
      <c r="B4424" t="s">
        <v>4780</v>
      </c>
      <c r="C4424">
        <v>80.94</v>
      </c>
      <c r="D4424">
        <v>14.44</v>
      </c>
      <c r="E4424">
        <v>10.02</v>
      </c>
      <c r="F4424">
        <v>3.65</v>
      </c>
      <c r="G4424">
        <v>3.65</v>
      </c>
      <c r="H4424">
        <v>66165</v>
      </c>
      <c r="I4424">
        <v>8.08</v>
      </c>
      <c r="J4424" t="s">
        <v>14</v>
      </c>
      <c r="K4424" t="s">
        <v>117</v>
      </c>
    </row>
    <row r="4425" spans="1:11">
      <c r="A4425" t="str">
        <f>"603919"</f>
        <v>603919</v>
      </c>
      <c r="B4425" t="s">
        <v>4781</v>
      </c>
      <c r="C4425">
        <v>104.7</v>
      </c>
      <c r="D4425">
        <v>49.28</v>
      </c>
      <c r="E4425">
        <v>33.99</v>
      </c>
      <c r="F4425">
        <v>5.07</v>
      </c>
      <c r="G4425">
        <v>5.07</v>
      </c>
      <c r="H4425">
        <v>41809</v>
      </c>
      <c r="I4425">
        <v>3.08</v>
      </c>
      <c r="J4425">
        <v>24.25</v>
      </c>
      <c r="K4425" t="s">
        <v>251</v>
      </c>
    </row>
    <row r="4426" spans="1:11">
      <c r="A4426" t="str">
        <f>"603920"</f>
        <v>603920</v>
      </c>
      <c r="B4426" t="s">
        <v>4782</v>
      </c>
      <c r="C4426">
        <v>390.56</v>
      </c>
      <c r="D4426">
        <v>98.79</v>
      </c>
      <c r="E4426">
        <v>66.76</v>
      </c>
      <c r="F4426">
        <v>7.21</v>
      </c>
      <c r="G4426">
        <v>7.21</v>
      </c>
      <c r="H4426">
        <v>67255</v>
      </c>
      <c r="I4426">
        <v>5.85</v>
      </c>
      <c r="J4426">
        <v>46.86</v>
      </c>
      <c r="K4426" t="s">
        <v>472</v>
      </c>
    </row>
    <row r="4427" spans="1:11">
      <c r="A4427" t="str">
        <f>"603922"</f>
        <v>603922</v>
      </c>
      <c r="B4427" t="s">
        <v>4783</v>
      </c>
      <c r="C4427">
        <v>32.49</v>
      </c>
      <c r="D4427">
        <v>13.45</v>
      </c>
      <c r="E4427">
        <v>10.39</v>
      </c>
      <c r="F4427">
        <v>1.79</v>
      </c>
      <c r="G4427">
        <v>1.79</v>
      </c>
      <c r="H4427">
        <v>11376</v>
      </c>
      <c r="I4427">
        <v>3.13</v>
      </c>
      <c r="J4427">
        <v>155.12</v>
      </c>
      <c r="K4427" t="s">
        <v>356</v>
      </c>
    </row>
    <row r="4428" spans="1:11">
      <c r="A4428" t="str">
        <f>"603926"</f>
        <v>603926</v>
      </c>
      <c r="B4428" t="s">
        <v>4784</v>
      </c>
      <c r="C4428">
        <v>42.59</v>
      </c>
      <c r="D4428">
        <v>31.01</v>
      </c>
      <c r="E4428">
        <v>17.27</v>
      </c>
      <c r="F4428">
        <v>2.35</v>
      </c>
      <c r="G4428">
        <v>2.31</v>
      </c>
      <c r="H4428">
        <v>10846</v>
      </c>
      <c r="I4428">
        <v>2.51</v>
      </c>
      <c r="J4428">
        <v>42.52</v>
      </c>
      <c r="K4428" t="s">
        <v>51</v>
      </c>
    </row>
    <row r="4429" spans="1:11">
      <c r="A4429" t="str">
        <f>"603927"</f>
        <v>603927</v>
      </c>
      <c r="B4429" t="s">
        <v>4785</v>
      </c>
      <c r="C4429">
        <v>178.51</v>
      </c>
      <c r="D4429">
        <v>71.35</v>
      </c>
      <c r="E4429">
        <v>31.42</v>
      </c>
      <c r="F4429">
        <v>8.31</v>
      </c>
      <c r="G4429">
        <v>8.31</v>
      </c>
      <c r="H4429">
        <v>65855</v>
      </c>
      <c r="I4429">
        <v>5.68</v>
      </c>
      <c r="J4429">
        <v>77.23</v>
      </c>
      <c r="K4429" t="s">
        <v>117</v>
      </c>
    </row>
    <row r="4430" spans="1:11">
      <c r="A4430" t="str">
        <f>"603928"</f>
        <v>603928</v>
      </c>
      <c r="B4430" t="s">
        <v>4786</v>
      </c>
      <c r="C4430">
        <v>44.71</v>
      </c>
      <c r="D4430">
        <v>17.97</v>
      </c>
      <c r="E4430">
        <v>15.5</v>
      </c>
      <c r="F4430">
        <v>2.62</v>
      </c>
      <c r="G4430">
        <v>2.62</v>
      </c>
      <c r="H4430">
        <v>29032</v>
      </c>
      <c r="I4430">
        <v>2.88</v>
      </c>
      <c r="J4430">
        <v>45.28</v>
      </c>
      <c r="K4430" t="s">
        <v>601</v>
      </c>
    </row>
    <row r="4431" spans="1:11">
      <c r="A4431" t="str">
        <f>"603929"</f>
        <v>603929</v>
      </c>
      <c r="B4431" t="s">
        <v>4787</v>
      </c>
      <c r="C4431">
        <v>296.1</v>
      </c>
      <c r="D4431">
        <v>49.88</v>
      </c>
      <c r="E4431">
        <v>18.67</v>
      </c>
      <c r="F4431">
        <v>2.13</v>
      </c>
      <c r="G4431">
        <v>2.13</v>
      </c>
      <c r="H4431">
        <v>19134</v>
      </c>
      <c r="I4431">
        <v>15.86</v>
      </c>
      <c r="J4431">
        <v>50.19</v>
      </c>
      <c r="K4431" t="s">
        <v>55</v>
      </c>
    </row>
    <row r="4432" spans="1:11">
      <c r="A4432" t="str">
        <f>"603931"</f>
        <v>603931</v>
      </c>
      <c r="B4432" t="s">
        <v>4788</v>
      </c>
      <c r="C4432">
        <v>68.43</v>
      </c>
      <c r="D4432">
        <v>17.61</v>
      </c>
      <c r="E4432">
        <v>16.13</v>
      </c>
      <c r="F4432">
        <v>2</v>
      </c>
      <c r="G4432">
        <v>2</v>
      </c>
      <c r="H4432">
        <v>17428</v>
      </c>
      <c r="I4432">
        <v>4.24</v>
      </c>
      <c r="J4432">
        <v>55.61</v>
      </c>
      <c r="K4432" t="s">
        <v>884</v>
      </c>
    </row>
    <row r="4433" spans="1:11">
      <c r="A4433" t="str">
        <f>"603933"</f>
        <v>603933</v>
      </c>
      <c r="B4433" t="s">
        <v>4789</v>
      </c>
      <c r="C4433">
        <v>48.52</v>
      </c>
      <c r="D4433">
        <v>24.93</v>
      </c>
      <c r="E4433">
        <v>13.2</v>
      </c>
      <c r="F4433">
        <v>2.08</v>
      </c>
      <c r="G4433">
        <v>2.08</v>
      </c>
      <c r="H4433">
        <v>19470</v>
      </c>
      <c r="I4433">
        <v>3.68</v>
      </c>
      <c r="J4433">
        <v>89.31</v>
      </c>
      <c r="K4433" t="s">
        <v>82</v>
      </c>
    </row>
    <row r="4434" spans="1:11">
      <c r="A4434" t="str">
        <f>"603936"</f>
        <v>603936</v>
      </c>
      <c r="B4434" t="s">
        <v>4790</v>
      </c>
      <c r="C4434">
        <v>77.29</v>
      </c>
      <c r="D4434">
        <v>99.21</v>
      </c>
      <c r="E4434">
        <v>43.74</v>
      </c>
      <c r="F4434">
        <v>6.3</v>
      </c>
      <c r="G4434">
        <v>6.3</v>
      </c>
      <c r="H4434">
        <v>59213</v>
      </c>
      <c r="I4434">
        <v>1.77</v>
      </c>
      <c r="J4434">
        <v>144.45</v>
      </c>
      <c r="K4434" t="s">
        <v>472</v>
      </c>
    </row>
    <row r="4435" spans="1:11">
      <c r="A4435" t="str">
        <f>"603937"</f>
        <v>603937</v>
      </c>
      <c r="B4435" t="s">
        <v>4791</v>
      </c>
      <c r="C4435">
        <v>25.28</v>
      </c>
      <c r="D4435">
        <v>25.92</v>
      </c>
      <c r="E4435">
        <v>15.73</v>
      </c>
      <c r="F4435">
        <v>2.09</v>
      </c>
      <c r="G4435">
        <v>2.09</v>
      </c>
      <c r="H4435">
        <v>13594</v>
      </c>
      <c r="I4435">
        <v>1.64</v>
      </c>
      <c r="J4435" t="s">
        <v>14</v>
      </c>
      <c r="K4435" t="s">
        <v>288</v>
      </c>
    </row>
    <row r="4436" spans="1:11">
      <c r="A4436" t="str">
        <f>"603938"</f>
        <v>603938</v>
      </c>
      <c r="B4436" t="s">
        <v>4792</v>
      </c>
      <c r="C4436">
        <v>89.5</v>
      </c>
      <c r="D4436">
        <v>32.9</v>
      </c>
      <c r="E4436">
        <v>24.84</v>
      </c>
      <c r="F4436">
        <v>3.83</v>
      </c>
      <c r="G4436">
        <v>3.83</v>
      </c>
      <c r="H4436">
        <v>22294</v>
      </c>
      <c r="I4436">
        <v>3.6</v>
      </c>
      <c r="J4436">
        <v>104.66</v>
      </c>
      <c r="K4436" t="s">
        <v>348</v>
      </c>
    </row>
    <row r="4437" spans="1:11">
      <c r="A4437" t="str">
        <f>"603939"</f>
        <v>603939</v>
      </c>
      <c r="B4437" t="s">
        <v>4793</v>
      </c>
      <c r="C4437">
        <v>276.43</v>
      </c>
      <c r="D4437">
        <v>260.71</v>
      </c>
      <c r="E4437">
        <v>111.78</v>
      </c>
      <c r="F4437">
        <v>12.12</v>
      </c>
      <c r="G4437">
        <v>12.12</v>
      </c>
      <c r="H4437">
        <v>20230</v>
      </c>
      <c r="I4437">
        <v>2.52</v>
      </c>
      <c r="J4437">
        <v>16.93</v>
      </c>
      <c r="K4437" t="s">
        <v>1507</v>
      </c>
    </row>
    <row r="4438" spans="1:11">
      <c r="A4438" t="str">
        <f>"603948"</f>
        <v>603948</v>
      </c>
      <c r="B4438" t="s">
        <v>4794</v>
      </c>
      <c r="C4438">
        <v>45.09</v>
      </c>
      <c r="D4438">
        <v>25.65</v>
      </c>
      <c r="E4438">
        <v>20.99</v>
      </c>
      <c r="F4438">
        <v>1.62</v>
      </c>
      <c r="G4438">
        <v>1.62</v>
      </c>
      <c r="H4438">
        <v>15181</v>
      </c>
      <c r="I4438">
        <v>2.15</v>
      </c>
      <c r="J4438">
        <v>19.25</v>
      </c>
      <c r="K4438" t="s">
        <v>1201</v>
      </c>
    </row>
    <row r="4439" spans="1:11">
      <c r="A4439" t="str">
        <f>"603949"</f>
        <v>603949</v>
      </c>
      <c r="B4439" t="s">
        <v>4795</v>
      </c>
      <c r="C4439">
        <v>41.94</v>
      </c>
      <c r="D4439">
        <v>11.47</v>
      </c>
      <c r="E4439">
        <v>10.59</v>
      </c>
      <c r="F4439">
        <v>2.11</v>
      </c>
      <c r="G4439">
        <v>2.1</v>
      </c>
      <c r="H4439">
        <v>20467</v>
      </c>
      <c r="I4439">
        <v>3.98</v>
      </c>
      <c r="J4439">
        <v>51.66</v>
      </c>
      <c r="K4439" t="s">
        <v>51</v>
      </c>
    </row>
    <row r="4440" spans="1:11">
      <c r="A4440" t="str">
        <f>"603950"</f>
        <v>603950</v>
      </c>
      <c r="B4440" t="s">
        <v>4796</v>
      </c>
      <c r="C4440">
        <v>100.93</v>
      </c>
      <c r="D4440">
        <v>57.8</v>
      </c>
      <c r="E4440">
        <v>28.96</v>
      </c>
      <c r="F4440">
        <v>3.24</v>
      </c>
      <c r="G4440">
        <v>3.24</v>
      </c>
      <c r="H4440">
        <v>12217</v>
      </c>
      <c r="I4440">
        <v>3.49</v>
      </c>
      <c r="J4440">
        <v>27.67</v>
      </c>
      <c r="K4440" t="s">
        <v>51</v>
      </c>
    </row>
    <row r="4441" spans="1:11">
      <c r="A4441" t="str">
        <f>"603955"</f>
        <v>603955</v>
      </c>
      <c r="B4441" t="s">
        <v>4797</v>
      </c>
      <c r="C4441">
        <v>41.27</v>
      </c>
      <c r="D4441">
        <v>26.65</v>
      </c>
      <c r="E4441">
        <v>15.27</v>
      </c>
      <c r="F4441">
        <v>1.36</v>
      </c>
      <c r="G4441">
        <v>1.36</v>
      </c>
      <c r="H4441">
        <v>12851</v>
      </c>
      <c r="I4441">
        <v>2.7</v>
      </c>
      <c r="J4441" t="s">
        <v>14</v>
      </c>
      <c r="K4441" t="s">
        <v>26</v>
      </c>
    </row>
    <row r="4442" spans="1:11">
      <c r="A4442" t="str">
        <f>"603956"</f>
        <v>603956</v>
      </c>
      <c r="B4442" t="s">
        <v>4798</v>
      </c>
      <c r="C4442">
        <v>40.18</v>
      </c>
      <c r="D4442">
        <v>31.54</v>
      </c>
      <c r="E4442">
        <v>19.78</v>
      </c>
      <c r="F4442">
        <v>5.7</v>
      </c>
      <c r="G4442">
        <v>5.7</v>
      </c>
      <c r="H4442">
        <v>48731</v>
      </c>
      <c r="I4442">
        <v>2.03</v>
      </c>
      <c r="J4442" t="s">
        <v>14</v>
      </c>
      <c r="K4442" t="s">
        <v>493</v>
      </c>
    </row>
    <row r="4443" spans="1:11">
      <c r="A4443" t="str">
        <f>"603958"</f>
        <v>603958</v>
      </c>
      <c r="B4443" t="s">
        <v>4799</v>
      </c>
      <c r="C4443">
        <v>29.24</v>
      </c>
      <c r="D4443">
        <v>19.31</v>
      </c>
      <c r="E4443">
        <v>6.89</v>
      </c>
      <c r="F4443">
        <v>2.19</v>
      </c>
      <c r="G4443">
        <v>2.19</v>
      </c>
      <c r="H4443">
        <v>15435</v>
      </c>
      <c r="I4443">
        <v>4.25</v>
      </c>
      <c r="J4443" t="s">
        <v>14</v>
      </c>
      <c r="K4443" t="s">
        <v>1418</v>
      </c>
    </row>
    <row r="4444" spans="1:11">
      <c r="A4444" t="str">
        <f>"603959"</f>
        <v>603959</v>
      </c>
      <c r="B4444" t="s">
        <v>4800</v>
      </c>
      <c r="C4444">
        <v>28.49</v>
      </c>
      <c r="D4444">
        <v>24.9</v>
      </c>
      <c r="E4444">
        <v>0.24</v>
      </c>
      <c r="F4444">
        <v>4.9</v>
      </c>
      <c r="G4444">
        <v>4.9</v>
      </c>
      <c r="H4444">
        <v>45076</v>
      </c>
      <c r="I4444">
        <v>121.04</v>
      </c>
      <c r="J4444" t="s">
        <v>14</v>
      </c>
      <c r="K4444" t="s">
        <v>910</v>
      </c>
    </row>
    <row r="4445" spans="1:11">
      <c r="A4445" t="str">
        <f>"603960"</f>
        <v>603960</v>
      </c>
      <c r="B4445" t="s">
        <v>4801</v>
      </c>
      <c r="C4445">
        <v>52.96</v>
      </c>
      <c r="D4445">
        <v>12.43</v>
      </c>
      <c r="E4445">
        <v>11.18</v>
      </c>
      <c r="F4445">
        <v>2.62</v>
      </c>
      <c r="G4445">
        <v>2.62</v>
      </c>
      <c r="H4445">
        <v>42971</v>
      </c>
      <c r="I4445">
        <v>4.74</v>
      </c>
      <c r="J4445">
        <v>174.05</v>
      </c>
      <c r="K4445" t="s">
        <v>530</v>
      </c>
    </row>
    <row r="4446" spans="1:11">
      <c r="A4446" t="str">
        <f>"603966"</f>
        <v>603966</v>
      </c>
      <c r="B4446" t="s">
        <v>4802</v>
      </c>
      <c r="C4446">
        <v>54.09</v>
      </c>
      <c r="D4446">
        <v>43.66</v>
      </c>
      <c r="E4446">
        <v>20.18</v>
      </c>
      <c r="F4446">
        <v>3.99</v>
      </c>
      <c r="G4446">
        <v>3.98</v>
      </c>
      <c r="H4446">
        <v>23669</v>
      </c>
      <c r="I4446">
        <v>2.69</v>
      </c>
      <c r="J4446">
        <v>23.79</v>
      </c>
      <c r="K4446" t="s">
        <v>491</v>
      </c>
    </row>
    <row r="4447" spans="1:11">
      <c r="A4447" t="str">
        <f>"603967"</f>
        <v>603967</v>
      </c>
      <c r="B4447" t="s">
        <v>4803</v>
      </c>
      <c r="C4447">
        <v>44.55</v>
      </c>
      <c r="D4447">
        <v>41.05</v>
      </c>
      <c r="E4447">
        <v>23.39</v>
      </c>
      <c r="F4447">
        <v>3.47</v>
      </c>
      <c r="G4447">
        <v>3.47</v>
      </c>
      <c r="H4447">
        <v>17324</v>
      </c>
      <c r="I4447">
        <v>1.9</v>
      </c>
      <c r="J4447">
        <v>16.17</v>
      </c>
      <c r="K4447" t="s">
        <v>740</v>
      </c>
    </row>
    <row r="4448" spans="1:11">
      <c r="A4448" t="str">
        <f>"603968"</f>
        <v>603968</v>
      </c>
      <c r="B4448" t="s">
        <v>4804</v>
      </c>
      <c r="C4448">
        <v>23.19</v>
      </c>
      <c r="D4448">
        <v>34.13</v>
      </c>
      <c r="E4448">
        <v>18.06</v>
      </c>
      <c r="F4448">
        <v>2.04</v>
      </c>
      <c r="G4448">
        <v>2.04</v>
      </c>
      <c r="H4448">
        <v>11554</v>
      </c>
      <c r="I4448">
        <v>1.28</v>
      </c>
      <c r="J4448" t="s">
        <v>14</v>
      </c>
      <c r="K4448" t="s">
        <v>752</v>
      </c>
    </row>
    <row r="4449" spans="1:11">
      <c r="A4449" t="str">
        <f>"603969"</f>
        <v>603969</v>
      </c>
      <c r="B4449" t="s">
        <v>4805</v>
      </c>
      <c r="C4449">
        <v>90.12</v>
      </c>
      <c r="D4449">
        <v>45.19</v>
      </c>
      <c r="E4449">
        <v>26.68</v>
      </c>
      <c r="F4449">
        <v>8.57</v>
      </c>
      <c r="G4449">
        <v>8.44</v>
      </c>
      <c r="H4449">
        <v>27285</v>
      </c>
      <c r="I4449">
        <v>3.43</v>
      </c>
      <c r="J4449">
        <v>25.15</v>
      </c>
      <c r="K4449" t="s">
        <v>63</v>
      </c>
    </row>
    <row r="4450" spans="1:11">
      <c r="A4450" t="str">
        <f>"603970"</f>
        <v>603970</v>
      </c>
      <c r="B4450" t="s">
        <v>4806</v>
      </c>
      <c r="C4450">
        <v>35.21</v>
      </c>
      <c r="D4450">
        <v>65.64</v>
      </c>
      <c r="E4450">
        <v>15.49</v>
      </c>
      <c r="F4450">
        <v>2.69</v>
      </c>
      <c r="G4450">
        <v>2.69</v>
      </c>
      <c r="H4450">
        <v>13867</v>
      </c>
      <c r="I4450">
        <v>2.27</v>
      </c>
      <c r="J4450">
        <v>17.46</v>
      </c>
      <c r="K4450" t="s">
        <v>196</v>
      </c>
    </row>
    <row r="4451" spans="1:11">
      <c r="A4451" t="str">
        <f>"603976"</f>
        <v>603976</v>
      </c>
      <c r="B4451" t="s">
        <v>4807</v>
      </c>
      <c r="C4451">
        <v>30.83</v>
      </c>
      <c r="D4451">
        <v>18.92</v>
      </c>
      <c r="E4451">
        <v>12.03</v>
      </c>
      <c r="F4451">
        <v>1.51</v>
      </c>
      <c r="G4451">
        <v>1.51</v>
      </c>
      <c r="H4451">
        <v>18630</v>
      </c>
      <c r="I4451">
        <v>2.62</v>
      </c>
      <c r="J4451">
        <v>141.52</v>
      </c>
      <c r="K4451" t="s">
        <v>1173</v>
      </c>
    </row>
    <row r="4452" spans="1:11">
      <c r="A4452" t="str">
        <f>"603977"</f>
        <v>603977</v>
      </c>
      <c r="B4452" t="s">
        <v>4808</v>
      </c>
      <c r="C4452">
        <v>94.74</v>
      </c>
      <c r="D4452">
        <v>62.1</v>
      </c>
      <c r="E4452">
        <v>33.47</v>
      </c>
      <c r="F4452">
        <v>6.21</v>
      </c>
      <c r="G4452">
        <v>6.21</v>
      </c>
      <c r="H4452">
        <v>25670</v>
      </c>
      <c r="I4452">
        <v>2.83</v>
      </c>
      <c r="J4452">
        <v>37.4</v>
      </c>
      <c r="K4452" t="s">
        <v>793</v>
      </c>
    </row>
    <row r="4453" spans="1:11">
      <c r="A4453" t="str">
        <f>"603978"</f>
        <v>603978</v>
      </c>
      <c r="B4453" t="s">
        <v>4809</v>
      </c>
      <c r="C4453">
        <v>56.38</v>
      </c>
      <c r="D4453">
        <v>42.11</v>
      </c>
      <c r="E4453">
        <v>15.13</v>
      </c>
      <c r="F4453">
        <v>2.11</v>
      </c>
      <c r="G4453">
        <v>2.11</v>
      </c>
      <c r="H4453">
        <v>16453</v>
      </c>
      <c r="I4453">
        <v>3.73</v>
      </c>
      <c r="J4453" t="s">
        <v>14</v>
      </c>
      <c r="K4453" t="s">
        <v>307</v>
      </c>
    </row>
    <row r="4454" spans="1:11">
      <c r="A4454" t="str">
        <f>"603979"</f>
        <v>603979</v>
      </c>
      <c r="B4454" t="s">
        <v>4810</v>
      </c>
      <c r="C4454">
        <v>477.01</v>
      </c>
      <c r="D4454">
        <v>196.23</v>
      </c>
      <c r="E4454">
        <v>105.55</v>
      </c>
      <c r="F4454">
        <v>6.24</v>
      </c>
      <c r="G4454">
        <v>6.24</v>
      </c>
      <c r="H4454">
        <v>22060</v>
      </c>
      <c r="I4454">
        <v>4.57</v>
      </c>
      <c r="J4454">
        <v>20.41</v>
      </c>
      <c r="K4454" t="s">
        <v>303</v>
      </c>
    </row>
    <row r="4455" spans="1:11">
      <c r="A4455" t="str">
        <f>"603980"</f>
        <v>603980</v>
      </c>
      <c r="B4455" t="s">
        <v>4811</v>
      </c>
      <c r="C4455">
        <v>35.67</v>
      </c>
      <c r="D4455">
        <v>44.83</v>
      </c>
      <c r="E4455">
        <v>38.83</v>
      </c>
      <c r="F4455">
        <v>6.77</v>
      </c>
      <c r="G4455">
        <v>6.77</v>
      </c>
      <c r="H4455">
        <v>33809</v>
      </c>
      <c r="I4455">
        <v>0.92</v>
      </c>
      <c r="J4455">
        <v>185.27</v>
      </c>
      <c r="K4455" t="s">
        <v>812</v>
      </c>
    </row>
    <row r="4456" spans="1:11">
      <c r="A4456" t="str">
        <f>"603982"</f>
        <v>603982</v>
      </c>
      <c r="B4456" t="s">
        <v>4812</v>
      </c>
      <c r="C4456">
        <v>29.2</v>
      </c>
      <c r="D4456">
        <v>69.63</v>
      </c>
      <c r="E4456">
        <v>21.52</v>
      </c>
      <c r="F4456">
        <v>3.65</v>
      </c>
      <c r="G4456">
        <v>3.4</v>
      </c>
      <c r="H4456">
        <v>29266</v>
      </c>
      <c r="I4456">
        <v>1.36</v>
      </c>
      <c r="J4456" t="s">
        <v>14</v>
      </c>
      <c r="K4456" t="s">
        <v>51</v>
      </c>
    </row>
    <row r="4457" spans="1:11">
      <c r="A4457" t="str">
        <f>"603983"</f>
        <v>603983</v>
      </c>
      <c r="B4457" t="s">
        <v>4813</v>
      </c>
      <c r="C4457">
        <v>138.22</v>
      </c>
      <c r="D4457">
        <v>48.47</v>
      </c>
      <c r="E4457">
        <v>33.23</v>
      </c>
      <c r="F4457">
        <v>4.01</v>
      </c>
      <c r="G4457">
        <v>4.01</v>
      </c>
      <c r="H4457">
        <v>18910</v>
      </c>
      <c r="I4457">
        <v>4.16</v>
      </c>
      <c r="J4457">
        <v>42.51</v>
      </c>
      <c r="K4457" t="s">
        <v>856</v>
      </c>
    </row>
    <row r="4458" spans="1:11">
      <c r="A4458" t="str">
        <f>"603985"</f>
        <v>603985</v>
      </c>
      <c r="B4458" t="s">
        <v>4814</v>
      </c>
      <c r="C4458">
        <v>71.07</v>
      </c>
      <c r="D4458">
        <v>55.65</v>
      </c>
      <c r="E4458">
        <v>32.21</v>
      </c>
      <c r="F4458">
        <v>4.41</v>
      </c>
      <c r="G4458">
        <v>4.41</v>
      </c>
      <c r="H4458">
        <v>50268</v>
      </c>
      <c r="I4458">
        <v>2.21</v>
      </c>
      <c r="J4458">
        <v>82.88</v>
      </c>
      <c r="K4458" t="s">
        <v>456</v>
      </c>
    </row>
    <row r="4459" spans="1:11">
      <c r="A4459" t="str">
        <f>"603986"</f>
        <v>603986</v>
      </c>
      <c r="B4459" t="s">
        <v>4815</v>
      </c>
      <c r="C4459">
        <v>1689.65</v>
      </c>
      <c r="D4459">
        <v>207.56</v>
      </c>
      <c r="E4459">
        <v>181.95</v>
      </c>
      <c r="F4459">
        <v>6.97</v>
      </c>
      <c r="G4459">
        <v>6.68</v>
      </c>
      <c r="H4459">
        <v>157465</v>
      </c>
      <c r="I4459">
        <v>9.28</v>
      </c>
      <c r="J4459">
        <v>122.05</v>
      </c>
      <c r="K4459" t="s">
        <v>691</v>
      </c>
    </row>
    <row r="4460" spans="1:11">
      <c r="A4460" t="str">
        <f>"603987"</f>
        <v>603987</v>
      </c>
      <c r="B4460" t="s">
        <v>4816</v>
      </c>
      <c r="C4460">
        <v>39.92</v>
      </c>
      <c r="D4460">
        <v>42.42</v>
      </c>
      <c r="E4460">
        <v>26.68</v>
      </c>
      <c r="F4460">
        <v>4.37</v>
      </c>
      <c r="G4460">
        <v>4.37</v>
      </c>
      <c r="H4460">
        <v>34055</v>
      </c>
      <c r="I4460">
        <v>1.5</v>
      </c>
      <c r="J4460">
        <v>15.47</v>
      </c>
      <c r="K4460" t="s">
        <v>1173</v>
      </c>
    </row>
    <row r="4461" spans="1:11">
      <c r="A4461" t="str">
        <f>"603988"</f>
        <v>603988</v>
      </c>
      <c r="B4461" t="s">
        <v>4817</v>
      </c>
      <c r="C4461">
        <v>65.17</v>
      </c>
      <c r="D4461">
        <v>11.07</v>
      </c>
      <c r="E4461">
        <v>6.71</v>
      </c>
      <c r="F4461">
        <v>2.35</v>
      </c>
      <c r="G4461">
        <v>2.35</v>
      </c>
      <c r="H4461">
        <v>19368</v>
      </c>
      <c r="I4461">
        <v>9.71</v>
      </c>
      <c r="J4461">
        <v>124.65</v>
      </c>
      <c r="K4461" t="s">
        <v>552</v>
      </c>
    </row>
    <row r="4462" spans="1:11">
      <c r="A4462" t="str">
        <f>"603989"</f>
        <v>603989</v>
      </c>
      <c r="B4462" t="s">
        <v>4818</v>
      </c>
      <c r="C4462">
        <v>68.35</v>
      </c>
      <c r="D4462">
        <v>58.58</v>
      </c>
      <c r="E4462">
        <v>38.44</v>
      </c>
      <c r="F4462">
        <v>3.99</v>
      </c>
      <c r="G4462">
        <v>3.99</v>
      </c>
      <c r="H4462">
        <v>25685</v>
      </c>
      <c r="I4462">
        <v>1.79</v>
      </c>
      <c r="J4462">
        <v>23.17</v>
      </c>
      <c r="K4462" t="s">
        <v>310</v>
      </c>
    </row>
    <row r="4463" spans="1:11">
      <c r="A4463" t="str">
        <f>"603990"</f>
        <v>603990</v>
      </c>
      <c r="B4463" t="s">
        <v>4819</v>
      </c>
      <c r="C4463">
        <v>50.29</v>
      </c>
      <c r="D4463">
        <v>12.48</v>
      </c>
      <c r="E4463">
        <v>8.34</v>
      </c>
      <c r="F4463">
        <v>3.06</v>
      </c>
      <c r="G4463">
        <v>3.06</v>
      </c>
      <c r="H4463">
        <v>38943</v>
      </c>
      <c r="I4463">
        <v>6.03</v>
      </c>
      <c r="J4463">
        <v>110.06</v>
      </c>
      <c r="K4463" t="s">
        <v>117</v>
      </c>
    </row>
    <row r="4464" spans="1:11">
      <c r="A4464" t="str">
        <f>"603991"</f>
        <v>603991</v>
      </c>
      <c r="B4464" t="s">
        <v>4820</v>
      </c>
      <c r="C4464">
        <v>55.5</v>
      </c>
      <c r="D4464">
        <v>5.69</v>
      </c>
      <c r="E4464">
        <v>1.98</v>
      </c>
      <c r="F4464">
        <v>1.53</v>
      </c>
      <c r="G4464">
        <v>0.75</v>
      </c>
      <c r="H4464">
        <v>13898</v>
      </c>
      <c r="I4464">
        <v>28</v>
      </c>
      <c r="J4464" t="s">
        <v>14</v>
      </c>
      <c r="K4464" t="s">
        <v>884</v>
      </c>
    </row>
    <row r="4465" spans="1:11">
      <c r="A4465" t="str">
        <f>"603992"</f>
        <v>603992</v>
      </c>
      <c r="B4465" t="s">
        <v>4821</v>
      </c>
      <c r="C4465">
        <v>190.44</v>
      </c>
      <c r="D4465">
        <v>43.77</v>
      </c>
      <c r="E4465">
        <v>32.58</v>
      </c>
      <c r="F4465">
        <v>4.33</v>
      </c>
      <c r="G4465">
        <v>4.28</v>
      </c>
      <c r="H4465">
        <v>9084</v>
      </c>
      <c r="I4465">
        <v>5.94</v>
      </c>
      <c r="J4465">
        <v>91.16</v>
      </c>
      <c r="K4465" t="s">
        <v>625</v>
      </c>
    </row>
    <row r="4466" spans="1:11">
      <c r="A4466" t="str">
        <f>"603993"</f>
        <v>603993</v>
      </c>
      <c r="B4466" t="s">
        <v>4822</v>
      </c>
      <c r="C4466">
        <v>4068.38</v>
      </c>
      <c r="D4466">
        <v>1841.91</v>
      </c>
      <c r="E4466">
        <v>786.87</v>
      </c>
      <c r="F4466">
        <v>213.94</v>
      </c>
      <c r="G4466">
        <v>174.61</v>
      </c>
      <c r="H4466">
        <v>304226</v>
      </c>
      <c r="I4466">
        <v>6.42</v>
      </c>
      <c r="J4466">
        <v>26.18</v>
      </c>
      <c r="K4466" t="s">
        <v>322</v>
      </c>
    </row>
    <row r="4467" spans="1:11">
      <c r="A4467" t="str">
        <f>"603995"</f>
        <v>603995</v>
      </c>
      <c r="B4467" t="s">
        <v>4823</v>
      </c>
      <c r="C4467">
        <v>68.04</v>
      </c>
      <c r="D4467">
        <v>159.64</v>
      </c>
      <c r="E4467">
        <v>58.63</v>
      </c>
      <c r="F4467">
        <v>3.66</v>
      </c>
      <c r="G4467">
        <v>3.66</v>
      </c>
      <c r="H4467">
        <v>19250</v>
      </c>
      <c r="I4467">
        <v>1.19</v>
      </c>
      <c r="J4467">
        <v>11.34</v>
      </c>
      <c r="K4467" t="s">
        <v>364</v>
      </c>
    </row>
    <row r="4468" spans="1:11">
      <c r="A4468" t="str">
        <f>"603997"</f>
        <v>603997</v>
      </c>
      <c r="B4468" t="s">
        <v>4824</v>
      </c>
      <c r="C4468">
        <v>175.19</v>
      </c>
      <c r="D4468">
        <v>222.2</v>
      </c>
      <c r="E4468">
        <v>51.49</v>
      </c>
      <c r="F4468">
        <v>12.72</v>
      </c>
      <c r="G4468">
        <v>12.72</v>
      </c>
      <c r="H4468">
        <v>19133</v>
      </c>
      <c r="I4468">
        <v>3.39</v>
      </c>
      <c r="J4468">
        <v>52.33</v>
      </c>
      <c r="K4468" t="s">
        <v>356</v>
      </c>
    </row>
    <row r="4469" spans="1:11">
      <c r="A4469" t="str">
        <f>"603998"</f>
        <v>603998</v>
      </c>
      <c r="B4469" t="s">
        <v>4825</v>
      </c>
      <c r="C4469">
        <v>51.94</v>
      </c>
      <c r="D4469">
        <v>30.32</v>
      </c>
      <c r="E4469">
        <v>16.72</v>
      </c>
      <c r="F4469">
        <v>4.39</v>
      </c>
      <c r="G4469">
        <v>4.39</v>
      </c>
      <c r="H4469">
        <v>30993</v>
      </c>
      <c r="I4469">
        <v>3.11</v>
      </c>
      <c r="J4469">
        <v>14.52</v>
      </c>
      <c r="K4469" t="s">
        <v>155</v>
      </c>
    </row>
    <row r="4470" spans="1:11">
      <c r="A4470" t="str">
        <f>"603999"</f>
        <v>603999</v>
      </c>
      <c r="B4470" t="s">
        <v>4826</v>
      </c>
      <c r="C4470">
        <v>45.1</v>
      </c>
      <c r="D4470">
        <v>26.18</v>
      </c>
      <c r="E4470">
        <v>20.46</v>
      </c>
      <c r="F4470">
        <v>5.76</v>
      </c>
      <c r="G4470">
        <v>5.76</v>
      </c>
      <c r="H4470">
        <v>27098</v>
      </c>
      <c r="I4470">
        <v>2.2</v>
      </c>
      <c r="J4470">
        <v>42.44</v>
      </c>
      <c r="K4470" t="s">
        <v>381</v>
      </c>
    </row>
    <row r="4471" spans="1:11">
      <c r="A4471" t="str">
        <f>"605001"</f>
        <v>605001</v>
      </c>
      <c r="B4471" t="s">
        <v>4827</v>
      </c>
      <c r="C4471">
        <v>30.49</v>
      </c>
      <c r="D4471">
        <v>51.6</v>
      </c>
      <c r="E4471">
        <v>26.85</v>
      </c>
      <c r="F4471">
        <v>3.93</v>
      </c>
      <c r="G4471">
        <v>3.93</v>
      </c>
      <c r="H4471">
        <v>21803</v>
      </c>
      <c r="I4471">
        <v>1.14</v>
      </c>
      <c r="J4471">
        <v>36.42</v>
      </c>
      <c r="K4471" t="s">
        <v>22</v>
      </c>
    </row>
    <row r="4472" spans="1:11">
      <c r="A4472" t="str">
        <f>"605003"</f>
        <v>605003</v>
      </c>
      <c r="B4472" t="s">
        <v>4828</v>
      </c>
      <c r="C4472">
        <v>35.94</v>
      </c>
      <c r="D4472">
        <v>15.56</v>
      </c>
      <c r="E4472">
        <v>14.38</v>
      </c>
      <c r="F4472">
        <v>1.1</v>
      </c>
      <c r="G4472">
        <v>1.1</v>
      </c>
      <c r="H4472">
        <v>5674</v>
      </c>
      <c r="I4472">
        <v>2.5</v>
      </c>
      <c r="J4472">
        <v>51.44</v>
      </c>
      <c r="K4472" t="s">
        <v>846</v>
      </c>
    </row>
    <row r="4473" spans="1:11">
      <c r="A4473" t="str">
        <f>"605005"</f>
        <v>605005</v>
      </c>
      <c r="B4473" t="s">
        <v>4829</v>
      </c>
      <c r="C4473">
        <v>74.59</v>
      </c>
      <c r="D4473">
        <v>25.46</v>
      </c>
      <c r="E4473">
        <v>20.4</v>
      </c>
      <c r="F4473">
        <v>4.01</v>
      </c>
      <c r="G4473">
        <v>4.01</v>
      </c>
      <c r="H4473">
        <v>10382</v>
      </c>
      <c r="I4473">
        <v>3.66</v>
      </c>
      <c r="J4473">
        <v>36.65</v>
      </c>
      <c r="K4473" t="s">
        <v>530</v>
      </c>
    </row>
    <row r="4474" spans="1:11">
      <c r="A4474" t="str">
        <f>"605006"</f>
        <v>605006</v>
      </c>
      <c r="B4474" t="s">
        <v>4830</v>
      </c>
      <c r="C4474">
        <v>43.32</v>
      </c>
      <c r="D4474">
        <v>76.61</v>
      </c>
      <c r="E4474">
        <v>26.15</v>
      </c>
      <c r="F4474">
        <v>6.11</v>
      </c>
      <c r="G4474">
        <v>6</v>
      </c>
      <c r="H4474">
        <v>37665</v>
      </c>
      <c r="I4474">
        <v>1.76</v>
      </c>
      <c r="J4474" t="s">
        <v>14</v>
      </c>
      <c r="K4474" t="s">
        <v>842</v>
      </c>
    </row>
    <row r="4475" spans="1:11">
      <c r="A4475" t="str">
        <f>"605007"</f>
        <v>605007</v>
      </c>
      <c r="B4475" t="s">
        <v>4831</v>
      </c>
      <c r="C4475">
        <v>53.89</v>
      </c>
      <c r="D4475">
        <v>121.24</v>
      </c>
      <c r="E4475">
        <v>35.92</v>
      </c>
      <c r="F4475">
        <v>4.76</v>
      </c>
      <c r="G4475">
        <v>4.02</v>
      </c>
      <c r="H4475">
        <v>13568</v>
      </c>
      <c r="I4475">
        <v>1.86</v>
      </c>
      <c r="J4475">
        <v>26.46</v>
      </c>
      <c r="K4475" t="s">
        <v>765</v>
      </c>
    </row>
    <row r="4476" spans="1:11">
      <c r="A4476" t="str">
        <f>"605008"</f>
        <v>605008</v>
      </c>
      <c r="B4476" t="s">
        <v>4832</v>
      </c>
      <c r="C4476">
        <v>92.31</v>
      </c>
      <c r="D4476">
        <v>63.3</v>
      </c>
      <c r="E4476">
        <v>20.13</v>
      </c>
      <c r="F4476">
        <v>6.46</v>
      </c>
      <c r="G4476">
        <v>6.46</v>
      </c>
      <c r="H4476">
        <v>10000</v>
      </c>
      <c r="I4476">
        <v>4.59</v>
      </c>
      <c r="J4476">
        <v>431.08</v>
      </c>
      <c r="K4476" t="s">
        <v>705</v>
      </c>
    </row>
    <row r="4477" spans="1:11">
      <c r="A4477" t="str">
        <f>"605009"</f>
        <v>605009</v>
      </c>
      <c r="B4477" t="s">
        <v>4833</v>
      </c>
      <c r="C4477">
        <v>70.35</v>
      </c>
      <c r="D4477">
        <v>52.25</v>
      </c>
      <c r="E4477">
        <v>33.86</v>
      </c>
      <c r="F4477">
        <v>2.15</v>
      </c>
      <c r="G4477">
        <v>2.15</v>
      </c>
      <c r="H4477">
        <v>23367</v>
      </c>
      <c r="I4477">
        <v>2.08</v>
      </c>
      <c r="J4477">
        <v>26</v>
      </c>
      <c r="K4477" t="s">
        <v>617</v>
      </c>
    </row>
    <row r="4478" spans="1:11">
      <c r="A4478" t="str">
        <f>"605011"</f>
        <v>605011</v>
      </c>
      <c r="B4478" t="s">
        <v>4834</v>
      </c>
      <c r="C4478">
        <v>83.18</v>
      </c>
      <c r="D4478">
        <v>42.92</v>
      </c>
      <c r="E4478">
        <v>24.13</v>
      </c>
      <c r="F4478">
        <v>4</v>
      </c>
      <c r="G4478">
        <v>4</v>
      </c>
      <c r="H4478">
        <v>28942</v>
      </c>
      <c r="I4478">
        <v>3.45</v>
      </c>
      <c r="J4478">
        <v>42.98</v>
      </c>
      <c r="K4478" t="s">
        <v>350</v>
      </c>
    </row>
    <row r="4479" spans="1:11">
      <c r="A4479" t="str">
        <f>"605016"</f>
        <v>605016</v>
      </c>
      <c r="B4479" t="s">
        <v>4835</v>
      </c>
      <c r="C4479">
        <v>85.6</v>
      </c>
      <c r="D4479">
        <v>25.78</v>
      </c>
      <c r="E4479">
        <v>18.78</v>
      </c>
      <c r="F4479">
        <v>4.2</v>
      </c>
      <c r="G4479">
        <v>4.2</v>
      </c>
      <c r="H4479">
        <v>13100</v>
      </c>
      <c r="I4479">
        <v>4.56</v>
      </c>
      <c r="J4479">
        <v>24.26</v>
      </c>
      <c r="K4479" t="s">
        <v>752</v>
      </c>
    </row>
    <row r="4480" spans="1:11">
      <c r="A4480" t="str">
        <f>"605018"</f>
        <v>605018</v>
      </c>
      <c r="B4480" t="s">
        <v>4836</v>
      </c>
      <c r="C4480">
        <v>53.87</v>
      </c>
      <c r="D4480">
        <v>33.98</v>
      </c>
      <c r="E4480">
        <v>27.2</v>
      </c>
      <c r="F4480">
        <v>4.7</v>
      </c>
      <c r="G4480">
        <v>4.7</v>
      </c>
      <c r="H4480">
        <v>15142</v>
      </c>
      <c r="I4480">
        <v>1.99</v>
      </c>
      <c r="J4480">
        <v>66.31</v>
      </c>
      <c r="K4480" t="s">
        <v>517</v>
      </c>
    </row>
    <row r="4481" spans="1:11">
      <c r="A4481" t="str">
        <f>"605020"</f>
        <v>605020</v>
      </c>
      <c r="B4481" t="s">
        <v>4837</v>
      </c>
      <c r="C4481">
        <v>132.15</v>
      </c>
      <c r="D4481">
        <v>79.04</v>
      </c>
      <c r="E4481">
        <v>56.5</v>
      </c>
      <c r="F4481">
        <v>5.11</v>
      </c>
      <c r="G4481">
        <v>5.03</v>
      </c>
      <c r="H4481">
        <v>24047</v>
      </c>
      <c r="I4481">
        <v>2.38</v>
      </c>
      <c r="J4481">
        <v>21.45</v>
      </c>
      <c r="K4481" t="s">
        <v>1115</v>
      </c>
    </row>
    <row r="4482" spans="1:11">
      <c r="A4482" t="str">
        <f>"605028"</f>
        <v>605028</v>
      </c>
      <c r="B4482" t="s">
        <v>4838</v>
      </c>
      <c r="C4482">
        <v>55.92</v>
      </c>
      <c r="D4482">
        <v>15.44</v>
      </c>
      <c r="E4482">
        <v>13.64</v>
      </c>
      <c r="F4482">
        <v>1.6</v>
      </c>
      <c r="G4482">
        <v>1.6</v>
      </c>
      <c r="H4482">
        <v>9804</v>
      </c>
      <c r="I4482">
        <v>4.1</v>
      </c>
      <c r="J4482">
        <v>35.8</v>
      </c>
      <c r="K4482" t="s">
        <v>350</v>
      </c>
    </row>
    <row r="4483" spans="1:11">
      <c r="A4483" t="str">
        <f>"605033"</f>
        <v>605033</v>
      </c>
      <c r="B4483" t="s">
        <v>4839</v>
      </c>
      <c r="C4483">
        <v>27.31</v>
      </c>
      <c r="D4483">
        <v>19.05</v>
      </c>
      <c r="E4483">
        <v>11.47</v>
      </c>
      <c r="F4483">
        <v>1.35</v>
      </c>
      <c r="G4483">
        <v>1.35</v>
      </c>
      <c r="H4483">
        <v>12105</v>
      </c>
      <c r="I4483">
        <v>2.38</v>
      </c>
      <c r="J4483">
        <v>56.59</v>
      </c>
      <c r="K4483" t="s">
        <v>196</v>
      </c>
    </row>
    <row r="4484" spans="1:11">
      <c r="A4484" t="str">
        <f>"605050"</f>
        <v>605050</v>
      </c>
      <c r="B4484" t="s">
        <v>4840</v>
      </c>
      <c r="C4484">
        <v>66.68</v>
      </c>
      <c r="D4484">
        <v>91.36</v>
      </c>
      <c r="E4484">
        <v>43.55</v>
      </c>
      <c r="F4484">
        <v>4.93</v>
      </c>
      <c r="G4484">
        <v>4.93</v>
      </c>
      <c r="H4484">
        <v>13226</v>
      </c>
      <c r="I4484">
        <v>1.53</v>
      </c>
      <c r="J4484">
        <v>20.55</v>
      </c>
      <c r="K4484" t="s">
        <v>536</v>
      </c>
    </row>
    <row r="4485" spans="1:11">
      <c r="A4485" t="str">
        <f>"605055"</f>
        <v>605055</v>
      </c>
      <c r="B4485" t="s">
        <v>4841</v>
      </c>
      <c r="C4485">
        <v>42.77</v>
      </c>
      <c r="D4485">
        <v>28.78</v>
      </c>
      <c r="E4485">
        <v>10.44</v>
      </c>
      <c r="F4485">
        <v>4.4</v>
      </c>
      <c r="G4485">
        <v>4.4</v>
      </c>
      <c r="H4485">
        <v>20220</v>
      </c>
      <c r="I4485">
        <v>4.1</v>
      </c>
      <c r="J4485" t="s">
        <v>14</v>
      </c>
      <c r="K4485" t="s">
        <v>3560</v>
      </c>
    </row>
    <row r="4486" spans="1:11">
      <c r="A4486" t="str">
        <f>"605056"</f>
        <v>605056</v>
      </c>
      <c r="B4486" t="s">
        <v>4842</v>
      </c>
      <c r="C4486">
        <v>70.67</v>
      </c>
      <c r="D4486">
        <v>32.96</v>
      </c>
      <c r="E4486">
        <v>16.79</v>
      </c>
      <c r="F4486">
        <v>4.1</v>
      </c>
      <c r="G4486">
        <v>4.03</v>
      </c>
      <c r="H4486">
        <v>12328</v>
      </c>
      <c r="I4486">
        <v>4.28</v>
      </c>
      <c r="J4486">
        <v>42.05</v>
      </c>
      <c r="K4486" t="s">
        <v>952</v>
      </c>
    </row>
    <row r="4487" spans="1:11">
      <c r="A4487" t="str">
        <f>"605058"</f>
        <v>605058</v>
      </c>
      <c r="B4487" t="s">
        <v>4843</v>
      </c>
      <c r="C4487">
        <v>44.44</v>
      </c>
      <c r="D4487">
        <v>28.68</v>
      </c>
      <c r="E4487">
        <v>17.44</v>
      </c>
      <c r="F4487">
        <v>1.43</v>
      </c>
      <c r="G4487">
        <v>1.43</v>
      </c>
      <c r="H4487">
        <v>14570</v>
      </c>
      <c r="I4487">
        <v>2.55</v>
      </c>
      <c r="J4487">
        <v>31.17</v>
      </c>
      <c r="K4487" t="s">
        <v>472</v>
      </c>
    </row>
    <row r="4488" spans="1:11">
      <c r="A4488" t="str">
        <f>"605060"</f>
        <v>605060</v>
      </c>
      <c r="B4488" t="s">
        <v>4844</v>
      </c>
      <c r="C4488">
        <v>89.63</v>
      </c>
      <c r="D4488">
        <v>30.47</v>
      </c>
      <c r="E4488">
        <v>24.19</v>
      </c>
      <c r="F4488">
        <v>2.41</v>
      </c>
      <c r="G4488">
        <v>2.39</v>
      </c>
      <c r="H4488">
        <v>9667</v>
      </c>
      <c r="I4488">
        <v>3.73</v>
      </c>
      <c r="J4488">
        <v>38.07</v>
      </c>
      <c r="K4488" t="s">
        <v>424</v>
      </c>
    </row>
    <row r="4489" spans="1:11">
      <c r="A4489" t="str">
        <f>"605066"</f>
        <v>605066</v>
      </c>
      <c r="B4489" t="s">
        <v>4845</v>
      </c>
      <c r="C4489">
        <v>39.74</v>
      </c>
      <c r="D4489">
        <v>32.21</v>
      </c>
      <c r="E4489">
        <v>17.85</v>
      </c>
      <c r="F4489">
        <v>5.05</v>
      </c>
      <c r="G4489">
        <v>5.02</v>
      </c>
      <c r="H4489">
        <v>37340</v>
      </c>
      <c r="I4489">
        <v>2.24</v>
      </c>
      <c r="J4489">
        <v>28.47</v>
      </c>
      <c r="K4489" t="s">
        <v>943</v>
      </c>
    </row>
    <row r="4490" spans="1:11">
      <c r="A4490" t="str">
        <f>"605068"</f>
        <v>605068</v>
      </c>
      <c r="B4490" t="s">
        <v>4846</v>
      </c>
      <c r="C4490">
        <v>41.65</v>
      </c>
      <c r="D4490">
        <v>37.87</v>
      </c>
      <c r="E4490">
        <v>16.47</v>
      </c>
      <c r="F4490">
        <v>1.62</v>
      </c>
      <c r="G4490">
        <v>1.62</v>
      </c>
      <c r="H4490">
        <v>8673</v>
      </c>
      <c r="I4490">
        <v>2.77</v>
      </c>
      <c r="J4490" t="s">
        <v>14</v>
      </c>
      <c r="K4490" t="s">
        <v>356</v>
      </c>
    </row>
    <row r="4491" spans="1:11">
      <c r="A4491" t="str">
        <f>"605069"</f>
        <v>605069</v>
      </c>
      <c r="B4491" t="s">
        <v>4847</v>
      </c>
      <c r="C4491">
        <v>12.96</v>
      </c>
      <c r="D4491">
        <v>32.23</v>
      </c>
      <c r="E4491">
        <v>8.51</v>
      </c>
      <c r="F4491">
        <v>2.12</v>
      </c>
      <c r="G4491">
        <v>0.84</v>
      </c>
      <c r="H4491">
        <v>17166</v>
      </c>
      <c r="I4491">
        <v>3.83</v>
      </c>
      <c r="J4491" t="s">
        <v>14</v>
      </c>
      <c r="K4491" t="s">
        <v>370</v>
      </c>
    </row>
    <row r="4492" spans="1:11">
      <c r="A4492" t="str">
        <f>"605077"</f>
        <v>605077</v>
      </c>
      <c r="B4492" t="s">
        <v>4848</v>
      </c>
      <c r="C4492">
        <v>45.69</v>
      </c>
      <c r="D4492">
        <v>77.61</v>
      </c>
      <c r="E4492">
        <v>32.06</v>
      </c>
      <c r="F4492">
        <v>3.03</v>
      </c>
      <c r="G4492">
        <v>2.99</v>
      </c>
      <c r="H4492">
        <v>14122</v>
      </c>
      <c r="I4492">
        <v>1.54</v>
      </c>
      <c r="J4492">
        <v>20.6</v>
      </c>
      <c r="K4492" t="s">
        <v>192</v>
      </c>
    </row>
    <row r="4493" spans="1:11">
      <c r="A4493" t="str">
        <f>"605080"</f>
        <v>605080</v>
      </c>
      <c r="B4493" t="s">
        <v>4849</v>
      </c>
      <c r="C4493">
        <v>34.4</v>
      </c>
      <c r="D4493">
        <v>24.74</v>
      </c>
      <c r="E4493">
        <v>22</v>
      </c>
      <c r="F4493">
        <v>1.42</v>
      </c>
      <c r="G4493">
        <v>1.4</v>
      </c>
      <c r="H4493">
        <v>11031</v>
      </c>
      <c r="I4493">
        <v>1.58</v>
      </c>
      <c r="J4493">
        <v>14.26</v>
      </c>
      <c r="K4493" t="s">
        <v>637</v>
      </c>
    </row>
    <row r="4494" spans="1:11">
      <c r="A4494" t="str">
        <f>"605081"</f>
        <v>605081</v>
      </c>
      <c r="B4494" t="s">
        <v>4850</v>
      </c>
      <c r="C4494">
        <v>12.02</v>
      </c>
      <c r="D4494">
        <v>13.1</v>
      </c>
      <c r="E4494">
        <v>8.92</v>
      </c>
      <c r="F4494">
        <v>1.13</v>
      </c>
      <c r="G4494">
        <v>1.13</v>
      </c>
      <c r="H4494">
        <v>7254</v>
      </c>
      <c r="I4494">
        <v>1.35</v>
      </c>
      <c r="J4494" t="s">
        <v>14</v>
      </c>
      <c r="K4494" t="s">
        <v>370</v>
      </c>
    </row>
    <row r="4495" spans="1:11">
      <c r="A4495" t="str">
        <f>"605086"</f>
        <v>605086</v>
      </c>
      <c r="B4495" t="s">
        <v>4851</v>
      </c>
      <c r="C4495">
        <v>78.87</v>
      </c>
      <c r="D4495">
        <v>13.48</v>
      </c>
      <c r="E4495">
        <v>12.78</v>
      </c>
      <c r="F4495">
        <v>1.79</v>
      </c>
      <c r="G4495">
        <v>1.79</v>
      </c>
      <c r="H4495">
        <v>10904</v>
      </c>
      <c r="I4495">
        <v>6.17</v>
      </c>
      <c r="J4495">
        <v>73.97</v>
      </c>
      <c r="K4495" t="s">
        <v>682</v>
      </c>
    </row>
    <row r="4496" spans="1:11">
      <c r="A4496" t="str">
        <f>"605088"</f>
        <v>605088</v>
      </c>
      <c r="B4496" t="s">
        <v>4852</v>
      </c>
      <c r="C4496">
        <v>72.5</v>
      </c>
      <c r="D4496">
        <v>68.47</v>
      </c>
      <c r="E4496">
        <v>28.73</v>
      </c>
      <c r="F4496">
        <v>2.03</v>
      </c>
      <c r="G4496">
        <v>2</v>
      </c>
      <c r="H4496">
        <v>16647</v>
      </c>
      <c r="I4496">
        <v>2.56</v>
      </c>
      <c r="J4496">
        <v>24.55</v>
      </c>
      <c r="K4496" t="s">
        <v>51</v>
      </c>
    </row>
    <row r="4497" spans="1:11">
      <c r="A4497" t="str">
        <f>"605089"</f>
        <v>605089</v>
      </c>
      <c r="B4497" t="s">
        <v>4853</v>
      </c>
      <c r="C4497">
        <v>35.88</v>
      </c>
      <c r="D4497">
        <v>13.93</v>
      </c>
      <c r="E4497">
        <v>12.27</v>
      </c>
      <c r="F4497">
        <v>1.38</v>
      </c>
      <c r="G4497">
        <v>1.38</v>
      </c>
      <c r="H4497">
        <v>13745</v>
      </c>
      <c r="I4497">
        <v>2.92</v>
      </c>
      <c r="J4497">
        <v>50.87</v>
      </c>
      <c r="K4497" t="s">
        <v>629</v>
      </c>
    </row>
    <row r="4498" spans="1:11">
      <c r="A4498" t="str">
        <f>"605090"</f>
        <v>605090</v>
      </c>
      <c r="B4498" t="s">
        <v>4854</v>
      </c>
      <c r="C4498">
        <v>334.88</v>
      </c>
      <c r="D4498">
        <v>161.06</v>
      </c>
      <c r="E4498">
        <v>105.32</v>
      </c>
      <c r="F4498">
        <v>7.04</v>
      </c>
      <c r="G4498">
        <v>7.03</v>
      </c>
      <c r="H4498">
        <v>19814</v>
      </c>
      <c r="I4498">
        <v>3.08</v>
      </c>
      <c r="J4498">
        <v>20.28</v>
      </c>
      <c r="K4498" t="s">
        <v>136</v>
      </c>
    </row>
    <row r="4499" spans="1:11">
      <c r="A4499" t="str">
        <f>"605098"</f>
        <v>605098</v>
      </c>
      <c r="B4499" t="s">
        <v>4855</v>
      </c>
      <c r="C4499">
        <v>53.48</v>
      </c>
      <c r="D4499">
        <v>21.77</v>
      </c>
      <c r="E4499">
        <v>9.65</v>
      </c>
      <c r="F4499">
        <v>1.19</v>
      </c>
      <c r="G4499">
        <v>1.19</v>
      </c>
      <c r="H4499">
        <v>7500</v>
      </c>
      <c r="I4499">
        <v>5.54</v>
      </c>
      <c r="J4499">
        <v>18.67</v>
      </c>
      <c r="K4499" t="s">
        <v>198</v>
      </c>
    </row>
    <row r="4500" spans="1:11">
      <c r="A4500" t="str">
        <f>"605099"</f>
        <v>605099</v>
      </c>
      <c r="B4500" t="s">
        <v>4856</v>
      </c>
      <c r="C4500">
        <v>161.34</v>
      </c>
      <c r="D4500">
        <v>39.47</v>
      </c>
      <c r="E4500">
        <v>30.05</v>
      </c>
      <c r="F4500">
        <v>4.03</v>
      </c>
      <c r="G4500">
        <v>4.01</v>
      </c>
      <c r="H4500">
        <v>9327</v>
      </c>
      <c r="I4500">
        <v>5.38</v>
      </c>
      <c r="J4500">
        <v>23.55</v>
      </c>
      <c r="K4500" t="s">
        <v>625</v>
      </c>
    </row>
    <row r="4501" spans="1:11">
      <c r="A4501" t="str">
        <f>"605100"</f>
        <v>605100</v>
      </c>
      <c r="B4501" t="s">
        <v>4857</v>
      </c>
      <c r="C4501">
        <v>81.23</v>
      </c>
      <c r="D4501">
        <v>22.38</v>
      </c>
      <c r="E4501">
        <v>17.86</v>
      </c>
      <c r="F4501">
        <v>1.71</v>
      </c>
      <c r="G4501">
        <v>1.7</v>
      </c>
      <c r="H4501">
        <v>14898</v>
      </c>
      <c r="I4501">
        <v>4.58</v>
      </c>
      <c r="J4501">
        <v>479.37</v>
      </c>
      <c r="K4501" t="s">
        <v>424</v>
      </c>
    </row>
    <row r="4502" spans="1:11">
      <c r="A4502" t="str">
        <f>"605108"</f>
        <v>605108</v>
      </c>
      <c r="B4502" t="s">
        <v>4858</v>
      </c>
      <c r="C4502">
        <v>51.82</v>
      </c>
      <c r="D4502">
        <v>59.41</v>
      </c>
      <c r="E4502">
        <v>22.34</v>
      </c>
      <c r="F4502">
        <v>2.6</v>
      </c>
      <c r="G4502">
        <v>2.6</v>
      </c>
      <c r="H4502">
        <v>15077</v>
      </c>
      <c r="I4502">
        <v>2.32</v>
      </c>
      <c r="J4502">
        <v>128.7</v>
      </c>
      <c r="K4502" t="s">
        <v>385</v>
      </c>
    </row>
    <row r="4503" spans="1:11">
      <c r="A4503" t="str">
        <f>"605111"</f>
        <v>605111</v>
      </c>
      <c r="B4503" t="s">
        <v>4859</v>
      </c>
      <c r="C4503">
        <v>150.31</v>
      </c>
      <c r="D4503">
        <v>47.97</v>
      </c>
      <c r="E4503">
        <v>42.62</v>
      </c>
      <c r="F4503">
        <v>4.15</v>
      </c>
      <c r="G4503">
        <v>4.15</v>
      </c>
      <c r="H4503">
        <v>75314</v>
      </c>
      <c r="I4503">
        <v>3.53</v>
      </c>
      <c r="J4503">
        <v>33.7</v>
      </c>
      <c r="K4503" t="s">
        <v>1852</v>
      </c>
    </row>
    <row r="4504" spans="1:11">
      <c r="A4504" t="str">
        <f>"605116"</f>
        <v>605116</v>
      </c>
      <c r="B4504" t="s">
        <v>4860</v>
      </c>
      <c r="C4504">
        <v>129.57</v>
      </c>
      <c r="D4504">
        <v>40.68</v>
      </c>
      <c r="E4504">
        <v>25.41</v>
      </c>
      <c r="F4504">
        <v>4.06</v>
      </c>
      <c r="G4504">
        <v>4.06</v>
      </c>
      <c r="H4504">
        <v>11515</v>
      </c>
      <c r="I4504">
        <v>5.14</v>
      </c>
      <c r="J4504">
        <v>27.49</v>
      </c>
      <c r="K4504" t="s">
        <v>404</v>
      </c>
    </row>
    <row r="4505" spans="1:11">
      <c r="A4505" t="str">
        <f>"605117"</f>
        <v>605117</v>
      </c>
      <c r="B4505" t="s">
        <v>4861</v>
      </c>
      <c r="C4505">
        <v>760.57</v>
      </c>
      <c r="D4505">
        <v>214.57</v>
      </c>
      <c r="E4505">
        <v>93.33</v>
      </c>
      <c r="F4505">
        <v>9.09</v>
      </c>
      <c r="G4505">
        <v>9.09</v>
      </c>
      <c r="H4505">
        <v>73354</v>
      </c>
      <c r="I4505">
        <v>8.14</v>
      </c>
      <c r="J4505">
        <v>24.31</v>
      </c>
      <c r="K4505" t="s">
        <v>2070</v>
      </c>
    </row>
    <row r="4506" spans="1:11">
      <c r="A4506" t="str">
        <f>"605118"</f>
        <v>605118</v>
      </c>
      <c r="B4506" t="s">
        <v>4862</v>
      </c>
      <c r="C4506">
        <v>147.25</v>
      </c>
      <c r="D4506">
        <v>17.58</v>
      </c>
      <c r="E4506">
        <v>14.84</v>
      </c>
      <c r="F4506">
        <v>4.11</v>
      </c>
      <c r="G4506">
        <v>4.07</v>
      </c>
      <c r="H4506">
        <v>14283</v>
      </c>
      <c r="I4506">
        <v>10.01</v>
      </c>
      <c r="J4506">
        <v>51.59</v>
      </c>
      <c r="K4506" t="s">
        <v>66</v>
      </c>
    </row>
    <row r="4507" spans="1:11">
      <c r="A4507" t="str">
        <f>"605122"</f>
        <v>605122</v>
      </c>
      <c r="B4507" t="s">
        <v>4863</v>
      </c>
      <c r="C4507">
        <v>22.1</v>
      </c>
      <c r="D4507">
        <v>35.14</v>
      </c>
      <c r="E4507">
        <v>20.06</v>
      </c>
      <c r="F4507">
        <v>1.72</v>
      </c>
      <c r="G4507">
        <v>1.72</v>
      </c>
      <c r="H4507">
        <v>17187</v>
      </c>
      <c r="I4507">
        <v>1.1</v>
      </c>
      <c r="J4507" t="s">
        <v>14</v>
      </c>
      <c r="K4507" t="s">
        <v>1089</v>
      </c>
    </row>
    <row r="4508" spans="1:11">
      <c r="A4508" t="str">
        <f>"605123"</f>
        <v>605123</v>
      </c>
      <c r="B4508" t="s">
        <v>4864</v>
      </c>
      <c r="C4508">
        <v>132.63</v>
      </c>
      <c r="D4508">
        <v>81.97</v>
      </c>
      <c r="E4508">
        <v>46.2</v>
      </c>
      <c r="F4508">
        <v>1.21</v>
      </c>
      <c r="G4508">
        <v>1.21</v>
      </c>
      <c r="H4508">
        <v>14866</v>
      </c>
      <c r="I4508">
        <v>2.87</v>
      </c>
      <c r="J4508">
        <v>41.89</v>
      </c>
      <c r="K4508" t="s">
        <v>353</v>
      </c>
    </row>
    <row r="4509" spans="1:11">
      <c r="A4509" t="str">
        <f>"605128"</f>
        <v>605128</v>
      </c>
      <c r="B4509" t="s">
        <v>4865</v>
      </c>
      <c r="C4509">
        <v>79.43</v>
      </c>
      <c r="D4509">
        <v>30.54</v>
      </c>
      <c r="E4509">
        <v>20.82</v>
      </c>
      <c r="F4509">
        <v>2.11</v>
      </c>
      <c r="G4509">
        <v>2.11</v>
      </c>
      <c r="H4509">
        <v>10698</v>
      </c>
      <c r="I4509">
        <v>3.82</v>
      </c>
      <c r="J4509">
        <v>47.07</v>
      </c>
      <c r="K4509" t="s">
        <v>356</v>
      </c>
    </row>
    <row r="4510" spans="1:11">
      <c r="A4510" t="str">
        <f>"605133"</f>
        <v>605133</v>
      </c>
      <c r="B4510" t="s">
        <v>4866</v>
      </c>
      <c r="C4510">
        <v>96.51</v>
      </c>
      <c r="D4510">
        <v>67.3</v>
      </c>
      <c r="E4510">
        <v>37.67</v>
      </c>
      <c r="F4510">
        <v>2.83</v>
      </c>
      <c r="G4510">
        <v>2.82</v>
      </c>
      <c r="H4510">
        <v>24410</v>
      </c>
      <c r="I4510">
        <v>2.57</v>
      </c>
      <c r="J4510">
        <v>48.96</v>
      </c>
      <c r="K4510" t="s">
        <v>51</v>
      </c>
    </row>
    <row r="4511" spans="1:11">
      <c r="A4511" t="str">
        <f>"605136"</f>
        <v>605136</v>
      </c>
      <c r="B4511" t="s">
        <v>4867</v>
      </c>
      <c r="C4511">
        <v>53.1</v>
      </c>
      <c r="D4511">
        <v>25.95</v>
      </c>
      <c r="E4511">
        <v>24.47</v>
      </c>
      <c r="F4511">
        <v>4</v>
      </c>
      <c r="G4511">
        <v>4</v>
      </c>
      <c r="H4511">
        <v>44239</v>
      </c>
      <c r="I4511">
        <v>2.17</v>
      </c>
      <c r="J4511" t="s">
        <v>14</v>
      </c>
      <c r="K4511" t="s">
        <v>1050</v>
      </c>
    </row>
    <row r="4512" spans="1:11">
      <c r="A4512" t="str">
        <f>"605138"</f>
        <v>605138</v>
      </c>
      <c r="B4512" t="s">
        <v>4868</v>
      </c>
      <c r="C4512">
        <v>39.28</v>
      </c>
      <c r="D4512">
        <v>68.07</v>
      </c>
      <c r="E4512">
        <v>24.86</v>
      </c>
      <c r="F4512">
        <v>5.56</v>
      </c>
      <c r="G4512">
        <v>5.56</v>
      </c>
      <c r="H4512">
        <v>15390</v>
      </c>
      <c r="I4512">
        <v>1.63</v>
      </c>
      <c r="J4512">
        <v>75.77</v>
      </c>
      <c r="K4512" t="s">
        <v>622</v>
      </c>
    </row>
    <row r="4513" spans="1:11">
      <c r="A4513" t="str">
        <f>"605151"</f>
        <v>605151</v>
      </c>
      <c r="B4513" t="s">
        <v>4869</v>
      </c>
      <c r="C4513">
        <v>25.35</v>
      </c>
      <c r="D4513">
        <v>28.85</v>
      </c>
      <c r="E4513">
        <v>13.63</v>
      </c>
      <c r="F4513">
        <v>1.35</v>
      </c>
      <c r="G4513">
        <v>1.35</v>
      </c>
      <c r="H4513">
        <v>10231</v>
      </c>
      <c r="I4513">
        <v>1.86</v>
      </c>
      <c r="J4513">
        <v>2210.5</v>
      </c>
      <c r="K4513" t="s">
        <v>356</v>
      </c>
    </row>
    <row r="4514" spans="1:11">
      <c r="A4514" t="str">
        <f>"605155"</f>
        <v>605155</v>
      </c>
      <c r="B4514" t="s">
        <v>4870</v>
      </c>
      <c r="C4514">
        <v>35.46</v>
      </c>
      <c r="D4514">
        <v>14.23</v>
      </c>
      <c r="E4514">
        <v>13.25</v>
      </c>
      <c r="F4514">
        <v>1.91</v>
      </c>
      <c r="G4514">
        <v>1.87</v>
      </c>
      <c r="H4514">
        <v>8052</v>
      </c>
      <c r="I4514">
        <v>2.74</v>
      </c>
      <c r="J4514">
        <v>30.97</v>
      </c>
      <c r="K4514" t="s">
        <v>625</v>
      </c>
    </row>
    <row r="4515" spans="1:11">
      <c r="A4515" t="str">
        <f>"605158"</f>
        <v>605158</v>
      </c>
      <c r="B4515" t="s">
        <v>4871</v>
      </c>
      <c r="C4515">
        <v>41.83</v>
      </c>
      <c r="D4515">
        <v>84.04</v>
      </c>
      <c r="E4515">
        <v>24.71</v>
      </c>
      <c r="F4515">
        <v>5.11</v>
      </c>
      <c r="G4515">
        <v>5.11</v>
      </c>
      <c r="H4515">
        <v>18090</v>
      </c>
      <c r="I4515">
        <v>1.69</v>
      </c>
      <c r="J4515">
        <v>46.71</v>
      </c>
      <c r="K4515" t="s">
        <v>366</v>
      </c>
    </row>
    <row r="4516" spans="1:11">
      <c r="A4516" t="str">
        <f>"605162"</f>
        <v>605162</v>
      </c>
      <c r="B4516" t="s">
        <v>4872</v>
      </c>
      <c r="C4516">
        <v>38.94</v>
      </c>
      <c r="D4516">
        <v>18.1</v>
      </c>
      <c r="E4516">
        <v>13.11</v>
      </c>
      <c r="F4516">
        <v>4.01</v>
      </c>
      <c r="G4516">
        <v>4.01</v>
      </c>
      <c r="H4516">
        <v>22894</v>
      </c>
      <c r="I4516">
        <v>3.06</v>
      </c>
      <c r="J4516">
        <v>31.8</v>
      </c>
      <c r="K4516" t="s">
        <v>350</v>
      </c>
    </row>
    <row r="4517" spans="1:11">
      <c r="A4517" t="str">
        <f>"605166"</f>
        <v>605166</v>
      </c>
      <c r="B4517" t="s">
        <v>4873</v>
      </c>
      <c r="C4517">
        <v>33.33</v>
      </c>
      <c r="D4517">
        <v>57.22</v>
      </c>
      <c r="E4517">
        <v>19.78</v>
      </c>
      <c r="F4517">
        <v>3.15</v>
      </c>
      <c r="G4517">
        <v>3.15</v>
      </c>
      <c r="H4517">
        <v>17896</v>
      </c>
      <c r="I4517">
        <v>1.71</v>
      </c>
      <c r="J4517">
        <v>17.91</v>
      </c>
      <c r="K4517" t="s">
        <v>430</v>
      </c>
    </row>
    <row r="4518" spans="1:11">
      <c r="A4518" t="str">
        <f>"605167"</f>
        <v>605167</v>
      </c>
      <c r="B4518" t="s">
        <v>4874</v>
      </c>
      <c r="C4518">
        <v>70.41</v>
      </c>
      <c r="D4518">
        <v>45.17</v>
      </c>
      <c r="E4518">
        <v>19.92</v>
      </c>
      <c r="F4518">
        <v>4.49</v>
      </c>
      <c r="G4518">
        <v>4.49</v>
      </c>
      <c r="H4518">
        <v>22645</v>
      </c>
      <c r="I4518">
        <v>3.56</v>
      </c>
      <c r="J4518">
        <v>29.67</v>
      </c>
      <c r="K4518" t="s">
        <v>910</v>
      </c>
    </row>
    <row r="4519" spans="1:11">
      <c r="A4519" t="str">
        <f>"605168"</f>
        <v>605168</v>
      </c>
      <c r="B4519" t="s">
        <v>4875</v>
      </c>
      <c r="C4519">
        <v>93.79</v>
      </c>
      <c r="D4519">
        <v>41.41</v>
      </c>
      <c r="E4519">
        <v>26.78</v>
      </c>
      <c r="F4519">
        <v>2.11</v>
      </c>
      <c r="G4519">
        <v>2.11</v>
      </c>
      <c r="H4519">
        <v>22594</v>
      </c>
      <c r="I4519">
        <v>3.5</v>
      </c>
      <c r="J4519">
        <v>48.7</v>
      </c>
      <c r="K4519" t="s">
        <v>333</v>
      </c>
    </row>
    <row r="4520" spans="1:11">
      <c r="A4520" t="str">
        <f>"605169"</f>
        <v>605169</v>
      </c>
      <c r="B4520" t="s">
        <v>4876</v>
      </c>
      <c r="C4520">
        <v>39.94</v>
      </c>
      <c r="D4520">
        <v>25.36</v>
      </c>
      <c r="E4520">
        <v>19.53</v>
      </c>
      <c r="F4520">
        <v>2.83</v>
      </c>
      <c r="G4520">
        <v>2.83</v>
      </c>
      <c r="H4520">
        <v>22424</v>
      </c>
      <c r="I4520">
        <v>2.05</v>
      </c>
      <c r="J4520">
        <v>32.42</v>
      </c>
      <c r="K4520" t="s">
        <v>136</v>
      </c>
    </row>
    <row r="4521" spans="1:11">
      <c r="A4521" t="str">
        <f>"605177"</f>
        <v>605177</v>
      </c>
      <c r="B4521" t="s">
        <v>4877</v>
      </c>
      <c r="C4521">
        <v>23.19</v>
      </c>
      <c r="D4521">
        <v>33.86</v>
      </c>
      <c r="E4521">
        <v>18.13</v>
      </c>
      <c r="F4521">
        <v>1.15</v>
      </c>
      <c r="G4521">
        <v>1.13</v>
      </c>
      <c r="H4521">
        <v>10607</v>
      </c>
      <c r="I4521">
        <v>1.39</v>
      </c>
      <c r="J4521" t="s">
        <v>14</v>
      </c>
      <c r="K4521" t="s">
        <v>404</v>
      </c>
    </row>
    <row r="4522" spans="1:11">
      <c r="A4522" t="str">
        <f>"605178"</f>
        <v>605178</v>
      </c>
      <c r="B4522" t="s">
        <v>4878</v>
      </c>
      <c r="C4522">
        <v>63.88</v>
      </c>
      <c r="D4522">
        <v>16.83</v>
      </c>
      <c r="E4522">
        <v>12.22</v>
      </c>
      <c r="F4522">
        <v>0.99</v>
      </c>
      <c r="G4522">
        <v>0.99</v>
      </c>
      <c r="H4522">
        <v>8924</v>
      </c>
      <c r="I4522">
        <v>5.23</v>
      </c>
      <c r="J4522" t="s">
        <v>14</v>
      </c>
      <c r="K4522" t="s">
        <v>804</v>
      </c>
    </row>
    <row r="4523" spans="1:11">
      <c r="A4523" t="str">
        <f>"605179"</f>
        <v>605179</v>
      </c>
      <c r="B4523" t="s">
        <v>4879</v>
      </c>
      <c r="C4523">
        <v>85.21</v>
      </c>
      <c r="D4523">
        <v>29.21</v>
      </c>
      <c r="E4523">
        <v>11.27</v>
      </c>
      <c r="F4523">
        <v>4.01</v>
      </c>
      <c r="G4523">
        <v>4.01</v>
      </c>
      <c r="H4523">
        <v>28666</v>
      </c>
      <c r="I4523">
        <v>7.56</v>
      </c>
      <c r="J4523">
        <v>137.71</v>
      </c>
      <c r="K4523" t="s">
        <v>699</v>
      </c>
    </row>
    <row r="4524" spans="1:11">
      <c r="A4524" t="str">
        <f>"605180"</f>
        <v>605180</v>
      </c>
      <c r="B4524" t="s">
        <v>4880</v>
      </c>
      <c r="C4524">
        <v>24.84</v>
      </c>
      <c r="D4524">
        <v>12.3</v>
      </c>
      <c r="E4524">
        <v>11.43</v>
      </c>
      <c r="F4524">
        <v>1.69</v>
      </c>
      <c r="G4524">
        <v>1.69</v>
      </c>
      <c r="H4524">
        <v>9292</v>
      </c>
      <c r="I4524">
        <v>2.17</v>
      </c>
      <c r="J4524">
        <v>76.05</v>
      </c>
      <c r="K4524" t="s">
        <v>577</v>
      </c>
    </row>
    <row r="4525" spans="1:11">
      <c r="A4525" t="str">
        <f>"605183"</f>
        <v>605183</v>
      </c>
      <c r="B4525" t="s">
        <v>4881</v>
      </c>
      <c r="C4525">
        <v>81.87</v>
      </c>
      <c r="D4525">
        <v>41.06</v>
      </c>
      <c r="E4525">
        <v>36.25</v>
      </c>
      <c r="F4525">
        <v>4.16</v>
      </c>
      <c r="G4525">
        <v>4.12</v>
      </c>
      <c r="H4525">
        <v>13044</v>
      </c>
      <c r="I4525">
        <v>2.28</v>
      </c>
      <c r="J4525">
        <v>15.58</v>
      </c>
      <c r="K4525" t="s">
        <v>619</v>
      </c>
    </row>
    <row r="4526" spans="1:11">
      <c r="A4526" t="str">
        <f>"605186"</f>
        <v>605186</v>
      </c>
      <c r="B4526" t="s">
        <v>4882</v>
      </c>
      <c r="C4526">
        <v>32.06</v>
      </c>
      <c r="D4526">
        <v>15.86</v>
      </c>
      <c r="E4526">
        <v>10.8</v>
      </c>
      <c r="F4526">
        <v>1.36</v>
      </c>
      <c r="G4526">
        <v>1.36</v>
      </c>
      <c r="H4526">
        <v>13455</v>
      </c>
      <c r="I4526">
        <v>2.97</v>
      </c>
      <c r="J4526">
        <v>284.45</v>
      </c>
      <c r="K4526" t="s">
        <v>3039</v>
      </c>
    </row>
    <row r="4527" spans="1:11">
      <c r="A4527" t="str">
        <f>"605188"</f>
        <v>605188</v>
      </c>
      <c r="B4527" t="s">
        <v>4883</v>
      </c>
      <c r="C4527">
        <v>102.68</v>
      </c>
      <c r="D4527">
        <v>27.93</v>
      </c>
      <c r="E4527">
        <v>11.8</v>
      </c>
      <c r="F4527">
        <v>5.02</v>
      </c>
      <c r="G4527">
        <v>5.02</v>
      </c>
      <c r="H4527">
        <v>40423</v>
      </c>
      <c r="I4527">
        <v>8.7</v>
      </c>
      <c r="J4527">
        <v>670.51</v>
      </c>
      <c r="K4527" t="s">
        <v>415</v>
      </c>
    </row>
    <row r="4528" spans="1:11">
      <c r="A4528" t="str">
        <f>"605189"</f>
        <v>605189</v>
      </c>
      <c r="B4528" t="s">
        <v>4884</v>
      </c>
      <c r="C4528">
        <v>30.04</v>
      </c>
      <c r="D4528">
        <v>51.34</v>
      </c>
      <c r="E4528">
        <v>18.51</v>
      </c>
      <c r="F4528">
        <v>1.94</v>
      </c>
      <c r="G4528">
        <v>1.94</v>
      </c>
      <c r="H4528">
        <v>8979</v>
      </c>
      <c r="I4528">
        <v>1.7</v>
      </c>
      <c r="J4528">
        <v>96.51</v>
      </c>
      <c r="K4528" t="s">
        <v>3560</v>
      </c>
    </row>
    <row r="4529" spans="1:11">
      <c r="A4529" t="str">
        <f>"605196"</f>
        <v>605196</v>
      </c>
      <c r="B4529" t="s">
        <v>4885</v>
      </c>
      <c r="C4529">
        <v>189.36</v>
      </c>
      <c r="D4529">
        <v>93.4</v>
      </c>
      <c r="E4529">
        <v>33.01</v>
      </c>
      <c r="F4529">
        <v>5.11</v>
      </c>
      <c r="G4529">
        <v>5.05</v>
      </c>
      <c r="H4529">
        <v>15935</v>
      </c>
      <c r="I4529">
        <v>5.8</v>
      </c>
      <c r="J4529">
        <v>55.85</v>
      </c>
      <c r="K4529" t="s">
        <v>383</v>
      </c>
    </row>
    <row r="4530" spans="1:11">
      <c r="A4530" t="str">
        <f>"605198"</f>
        <v>605198</v>
      </c>
      <c r="B4530" t="s">
        <v>4886</v>
      </c>
      <c r="C4530">
        <v>106.81</v>
      </c>
      <c r="D4530">
        <v>29.15</v>
      </c>
      <c r="E4530">
        <v>27.33</v>
      </c>
      <c r="F4530">
        <v>3.34</v>
      </c>
      <c r="G4530">
        <v>2.71</v>
      </c>
      <c r="H4530">
        <v>7021</v>
      </c>
      <c r="I4530">
        <v>4.93</v>
      </c>
      <c r="J4530">
        <v>34.88</v>
      </c>
      <c r="K4530" t="s">
        <v>488</v>
      </c>
    </row>
    <row r="4531" spans="1:11">
      <c r="A4531" t="str">
        <f>"605199"</f>
        <v>605199</v>
      </c>
      <c r="B4531" t="s">
        <v>4887</v>
      </c>
      <c r="C4531">
        <v>29.61</v>
      </c>
      <c r="D4531">
        <v>28</v>
      </c>
      <c r="E4531">
        <v>6.89</v>
      </c>
      <c r="F4531">
        <v>4</v>
      </c>
      <c r="G4531">
        <v>4</v>
      </c>
      <c r="H4531">
        <v>27294</v>
      </c>
      <c r="I4531">
        <v>4.29</v>
      </c>
      <c r="J4531" t="s">
        <v>14</v>
      </c>
      <c r="K4531" t="s">
        <v>155</v>
      </c>
    </row>
    <row r="4532" spans="1:11">
      <c r="A4532" t="str">
        <f>"605208"</f>
        <v>605208</v>
      </c>
      <c r="B4532" t="s">
        <v>4888</v>
      </c>
      <c r="C4532">
        <v>43.92</v>
      </c>
      <c r="D4532">
        <v>47.09</v>
      </c>
      <c r="E4532">
        <v>21.73</v>
      </c>
      <c r="F4532">
        <v>3.3</v>
      </c>
      <c r="G4532">
        <v>3.3</v>
      </c>
      <c r="H4532">
        <v>17600</v>
      </c>
      <c r="I4532">
        <v>2.02</v>
      </c>
      <c r="J4532">
        <v>65.64</v>
      </c>
      <c r="K4532" t="s">
        <v>288</v>
      </c>
    </row>
    <row r="4533" spans="1:11">
      <c r="A4533" t="str">
        <f>"605218"</f>
        <v>605218</v>
      </c>
      <c r="B4533" t="s">
        <v>4889</v>
      </c>
      <c r="C4533">
        <v>42.23</v>
      </c>
      <c r="D4533">
        <v>26.03</v>
      </c>
      <c r="E4533">
        <v>13.21</v>
      </c>
      <c r="F4533">
        <v>2.13</v>
      </c>
      <c r="G4533">
        <v>2.13</v>
      </c>
      <c r="H4533">
        <v>18779</v>
      </c>
      <c r="I4533">
        <v>3.2</v>
      </c>
      <c r="J4533">
        <v>130.37</v>
      </c>
      <c r="K4533" t="s">
        <v>216</v>
      </c>
    </row>
    <row r="4534" spans="1:11">
      <c r="A4534" t="str">
        <f>"605222"</f>
        <v>605222</v>
      </c>
      <c r="B4534" t="s">
        <v>4890</v>
      </c>
      <c r="C4534">
        <v>88.48</v>
      </c>
      <c r="D4534">
        <v>153.75</v>
      </c>
      <c r="E4534">
        <v>48.47</v>
      </c>
      <c r="F4534">
        <v>4.13</v>
      </c>
      <c r="G4534">
        <v>4.13</v>
      </c>
      <c r="H4534">
        <v>15461</v>
      </c>
      <c r="I4534">
        <v>1.9</v>
      </c>
      <c r="J4534">
        <v>29.7</v>
      </c>
      <c r="K4534" t="s">
        <v>383</v>
      </c>
    </row>
    <row r="4535" spans="1:11">
      <c r="A4535" t="str">
        <f>"605228"</f>
        <v>605228</v>
      </c>
      <c r="B4535" t="s">
        <v>4891</v>
      </c>
      <c r="C4535">
        <v>68.11</v>
      </c>
      <c r="D4535">
        <v>29.94</v>
      </c>
      <c r="E4535">
        <v>16.74</v>
      </c>
      <c r="F4535">
        <v>4.32</v>
      </c>
      <c r="G4535">
        <v>4.29</v>
      </c>
      <c r="H4535">
        <v>13979</v>
      </c>
      <c r="I4535">
        <v>4.21</v>
      </c>
      <c r="J4535">
        <v>45.4</v>
      </c>
      <c r="K4535" t="s">
        <v>356</v>
      </c>
    </row>
    <row r="4536" spans="1:11">
      <c r="A4536" t="str">
        <f>"605255"</f>
        <v>605255</v>
      </c>
      <c r="B4536" t="s">
        <v>4892</v>
      </c>
      <c r="C4536">
        <v>260.46</v>
      </c>
      <c r="D4536">
        <v>8.65</v>
      </c>
      <c r="E4536">
        <v>8.07</v>
      </c>
      <c r="F4536">
        <v>1.34</v>
      </c>
      <c r="G4536">
        <v>1.34</v>
      </c>
      <c r="H4536">
        <v>9621</v>
      </c>
      <c r="I4536">
        <v>32.28</v>
      </c>
      <c r="J4536">
        <v>1094.35</v>
      </c>
      <c r="K4536" t="s">
        <v>51</v>
      </c>
    </row>
    <row r="4537" spans="1:11">
      <c r="A4537" t="str">
        <f>"605258"</f>
        <v>605258</v>
      </c>
      <c r="B4537" t="s">
        <v>4893</v>
      </c>
      <c r="C4537">
        <v>28.49</v>
      </c>
      <c r="D4537">
        <v>16.11</v>
      </c>
      <c r="E4537">
        <v>11.94</v>
      </c>
      <c r="F4537">
        <v>0.88</v>
      </c>
      <c r="G4537">
        <v>0.88</v>
      </c>
      <c r="H4537">
        <v>11205</v>
      </c>
      <c r="I4537">
        <v>2.39</v>
      </c>
      <c r="J4537">
        <v>47.78</v>
      </c>
      <c r="K4537" t="s">
        <v>472</v>
      </c>
    </row>
    <row r="4538" spans="1:11">
      <c r="A4538" t="str">
        <f>"605259"</f>
        <v>605259</v>
      </c>
      <c r="B4538" t="s">
        <v>4894</v>
      </c>
      <c r="C4538">
        <v>37.93</v>
      </c>
      <c r="D4538">
        <v>24.97</v>
      </c>
      <c r="E4538">
        <v>17.94</v>
      </c>
      <c r="F4538">
        <v>1.72</v>
      </c>
      <c r="G4538">
        <v>1.72</v>
      </c>
      <c r="H4538">
        <v>8365</v>
      </c>
      <c r="I4538">
        <v>2.11</v>
      </c>
      <c r="J4538">
        <v>14.2</v>
      </c>
      <c r="K4538" t="s">
        <v>744</v>
      </c>
    </row>
    <row r="4539" spans="1:11">
      <c r="A4539" t="str">
        <f>"605266"</f>
        <v>605266</v>
      </c>
      <c r="B4539" t="s">
        <v>4895</v>
      </c>
      <c r="C4539">
        <v>30.95</v>
      </c>
      <c r="D4539">
        <v>97.4</v>
      </c>
      <c r="E4539">
        <v>26.26</v>
      </c>
      <c r="F4539">
        <v>1.55</v>
      </c>
      <c r="G4539">
        <v>1.55</v>
      </c>
      <c r="H4539">
        <v>15091</v>
      </c>
      <c r="I4539">
        <v>1.18</v>
      </c>
      <c r="J4539">
        <v>23.08</v>
      </c>
      <c r="K4539" t="s">
        <v>1507</v>
      </c>
    </row>
    <row r="4540" spans="1:11">
      <c r="A4540" t="str">
        <f>"605268"</f>
        <v>605268</v>
      </c>
      <c r="B4540" t="s">
        <v>4896</v>
      </c>
      <c r="C4540">
        <v>46.96</v>
      </c>
      <c r="D4540">
        <v>44.02</v>
      </c>
      <c r="E4540">
        <v>16.78</v>
      </c>
      <c r="F4540">
        <v>4.46</v>
      </c>
      <c r="G4540">
        <v>4.38</v>
      </c>
      <c r="H4540">
        <v>17731</v>
      </c>
      <c r="I4540">
        <v>2.85</v>
      </c>
      <c r="J4540">
        <v>30.21</v>
      </c>
      <c r="K4540" t="s">
        <v>625</v>
      </c>
    </row>
    <row r="4541" spans="1:11">
      <c r="A4541" t="str">
        <f>"605277"</f>
        <v>605277</v>
      </c>
      <c r="B4541" t="s">
        <v>4897</v>
      </c>
      <c r="C4541">
        <v>72.85</v>
      </c>
      <c r="D4541">
        <v>34.74</v>
      </c>
      <c r="E4541">
        <v>16.17</v>
      </c>
      <c r="F4541">
        <v>3.24</v>
      </c>
      <c r="G4541">
        <v>3.18</v>
      </c>
      <c r="H4541">
        <v>59781</v>
      </c>
      <c r="I4541">
        <v>4.59</v>
      </c>
      <c r="J4541">
        <v>35.08</v>
      </c>
      <c r="K4541" t="s">
        <v>41</v>
      </c>
    </row>
    <row r="4542" spans="1:11">
      <c r="A4542" t="str">
        <f>"605286"</f>
        <v>605286</v>
      </c>
      <c r="B4542" t="s">
        <v>4898</v>
      </c>
      <c r="C4542">
        <v>69.62</v>
      </c>
      <c r="D4542">
        <v>53.05</v>
      </c>
      <c r="E4542">
        <v>21.23</v>
      </c>
      <c r="F4542">
        <v>1.68</v>
      </c>
      <c r="G4542">
        <v>1.68</v>
      </c>
      <c r="H4542">
        <v>8373</v>
      </c>
      <c r="I4542">
        <v>3.28</v>
      </c>
      <c r="J4542">
        <v>27.08</v>
      </c>
      <c r="K4542" t="s">
        <v>1155</v>
      </c>
    </row>
    <row r="4543" spans="1:11">
      <c r="A4543" t="str">
        <f>"605287"</f>
        <v>605287</v>
      </c>
      <c r="B4543" t="s">
        <v>4899</v>
      </c>
      <c r="C4543">
        <v>47.38</v>
      </c>
      <c r="D4543">
        <v>109.16</v>
      </c>
      <c r="E4543">
        <v>15.53</v>
      </c>
      <c r="F4543">
        <v>1.4</v>
      </c>
      <c r="G4543">
        <v>1.4</v>
      </c>
      <c r="H4543">
        <v>8580</v>
      </c>
      <c r="I4543">
        <v>3.05</v>
      </c>
      <c r="J4543">
        <v>72.41</v>
      </c>
      <c r="K4543" t="s">
        <v>804</v>
      </c>
    </row>
    <row r="4544" spans="1:11">
      <c r="A4544" t="str">
        <f>"605288"</f>
        <v>605288</v>
      </c>
      <c r="B4544" t="s">
        <v>4900</v>
      </c>
      <c r="C4544">
        <v>81.29</v>
      </c>
      <c r="D4544">
        <v>28.46</v>
      </c>
      <c r="E4544">
        <v>22.2</v>
      </c>
      <c r="F4544">
        <v>0.71</v>
      </c>
      <c r="G4544">
        <v>0.7</v>
      </c>
      <c r="H4544">
        <v>5837</v>
      </c>
      <c r="I4544">
        <v>3.69</v>
      </c>
      <c r="J4544">
        <v>213.93</v>
      </c>
      <c r="K4544" t="s">
        <v>663</v>
      </c>
    </row>
    <row r="4545" spans="1:11">
      <c r="A4545" t="str">
        <f>"605289"</f>
        <v>605289</v>
      </c>
      <c r="B4545" t="s">
        <v>4901</v>
      </c>
      <c r="C4545">
        <v>73.51</v>
      </c>
      <c r="D4545">
        <v>28.9</v>
      </c>
      <c r="E4545">
        <v>12.8</v>
      </c>
      <c r="F4545">
        <v>1.09</v>
      </c>
      <c r="G4545">
        <v>1.08</v>
      </c>
      <c r="H4545">
        <v>10239</v>
      </c>
      <c r="I4545">
        <v>5.78</v>
      </c>
      <c r="J4545">
        <v>263.07</v>
      </c>
      <c r="K4545" t="s">
        <v>55</v>
      </c>
    </row>
    <row r="4546" spans="1:11">
      <c r="A4546" t="str">
        <f>"605296"</f>
        <v>605296</v>
      </c>
      <c r="B4546" t="s">
        <v>4902</v>
      </c>
      <c r="C4546">
        <v>148.14</v>
      </c>
      <c r="D4546">
        <v>71.6</v>
      </c>
      <c r="E4546">
        <v>52.22</v>
      </c>
      <c r="F4546">
        <v>5.25</v>
      </c>
      <c r="G4546">
        <v>5.18</v>
      </c>
      <c r="H4546">
        <v>18739</v>
      </c>
      <c r="I4546">
        <v>2.87</v>
      </c>
      <c r="J4546">
        <v>24.39</v>
      </c>
      <c r="K4546" t="s">
        <v>68</v>
      </c>
    </row>
    <row r="4547" spans="1:11">
      <c r="A4547" t="str">
        <f>"605298"</f>
        <v>605298</v>
      </c>
      <c r="B4547" t="s">
        <v>4903</v>
      </c>
      <c r="C4547">
        <v>81.67</v>
      </c>
      <c r="D4547">
        <v>13</v>
      </c>
      <c r="E4547">
        <v>10.44</v>
      </c>
      <c r="F4547">
        <v>1.88</v>
      </c>
      <c r="G4547">
        <v>1.86</v>
      </c>
      <c r="H4547">
        <v>11732</v>
      </c>
      <c r="I4547">
        <v>7.89</v>
      </c>
      <c r="J4547">
        <v>121.99</v>
      </c>
      <c r="K4547" t="s">
        <v>22</v>
      </c>
    </row>
    <row r="4548" spans="1:11">
      <c r="A4548" t="str">
        <f>"605299"</f>
        <v>605299</v>
      </c>
      <c r="B4548" t="s">
        <v>4904</v>
      </c>
      <c r="C4548">
        <v>50.21</v>
      </c>
      <c r="D4548">
        <v>19.83</v>
      </c>
      <c r="E4548">
        <v>12.27</v>
      </c>
      <c r="F4548">
        <v>4.09</v>
      </c>
      <c r="G4548">
        <v>4.09</v>
      </c>
      <c r="H4548">
        <v>19107</v>
      </c>
      <c r="I4548">
        <v>4.09</v>
      </c>
      <c r="J4548">
        <v>105.92</v>
      </c>
      <c r="K4548" t="s">
        <v>637</v>
      </c>
    </row>
    <row r="4549" spans="1:11">
      <c r="A4549" t="str">
        <f>"605300"</f>
        <v>605300</v>
      </c>
      <c r="B4549" t="s">
        <v>4905</v>
      </c>
      <c r="C4549">
        <v>53.44</v>
      </c>
      <c r="D4549">
        <v>35.97</v>
      </c>
      <c r="E4549">
        <v>28.64</v>
      </c>
      <c r="F4549">
        <v>4.54</v>
      </c>
      <c r="G4549">
        <v>4.54</v>
      </c>
      <c r="H4549">
        <v>24478</v>
      </c>
      <c r="I4549">
        <v>1.87</v>
      </c>
      <c r="J4549">
        <v>154.14</v>
      </c>
      <c r="K4549" t="s">
        <v>699</v>
      </c>
    </row>
    <row r="4550" spans="1:11">
      <c r="A4550" t="str">
        <f>"605303"</f>
        <v>605303</v>
      </c>
      <c r="B4550" t="s">
        <v>4906</v>
      </c>
      <c r="C4550">
        <v>28.93</v>
      </c>
      <c r="D4550">
        <v>19.85</v>
      </c>
      <c r="E4550">
        <v>9.19</v>
      </c>
      <c r="F4550">
        <v>1.61</v>
      </c>
      <c r="G4550">
        <v>1.61</v>
      </c>
      <c r="H4550">
        <v>22642</v>
      </c>
      <c r="I4550">
        <v>3.15</v>
      </c>
      <c r="J4550" t="s">
        <v>14</v>
      </c>
      <c r="K4550" t="s">
        <v>26</v>
      </c>
    </row>
    <row r="4551" spans="1:11">
      <c r="A4551" t="str">
        <f>"605305"</f>
        <v>605305</v>
      </c>
      <c r="B4551" t="s">
        <v>4907</v>
      </c>
      <c r="C4551">
        <v>97.55</v>
      </c>
      <c r="D4551">
        <v>36.74</v>
      </c>
      <c r="E4551">
        <v>28.52</v>
      </c>
      <c r="F4551">
        <v>2.13</v>
      </c>
      <c r="G4551">
        <v>2.13</v>
      </c>
      <c r="H4551">
        <v>23150</v>
      </c>
      <c r="I4551">
        <v>3.42</v>
      </c>
      <c r="J4551">
        <v>16.69</v>
      </c>
      <c r="K4551" t="s">
        <v>115</v>
      </c>
    </row>
    <row r="4552" spans="1:11">
      <c r="A4552" t="str">
        <f>"605318"</f>
        <v>605318</v>
      </c>
      <c r="B4552" t="s">
        <v>4908</v>
      </c>
      <c r="C4552">
        <v>74.66</v>
      </c>
      <c r="D4552">
        <v>8.76</v>
      </c>
      <c r="E4552">
        <v>6.46</v>
      </c>
      <c r="F4552">
        <v>1.26</v>
      </c>
      <c r="G4552">
        <v>1.26</v>
      </c>
      <c r="H4552">
        <v>4491</v>
      </c>
      <c r="I4552">
        <v>11.55</v>
      </c>
      <c r="J4552" t="s">
        <v>14</v>
      </c>
      <c r="K4552" t="s">
        <v>73</v>
      </c>
    </row>
    <row r="4553" spans="1:11">
      <c r="A4553" t="str">
        <f>"605319"</f>
        <v>605319</v>
      </c>
      <c r="B4553" t="s">
        <v>4909</v>
      </c>
      <c r="C4553">
        <v>66.24</v>
      </c>
      <c r="D4553">
        <v>55.13</v>
      </c>
      <c r="E4553">
        <v>26.14</v>
      </c>
      <c r="F4553">
        <v>3.5</v>
      </c>
      <c r="G4553">
        <v>3.01</v>
      </c>
      <c r="H4553">
        <v>14211</v>
      </c>
      <c r="I4553">
        <v>2.97</v>
      </c>
      <c r="J4553">
        <v>18.14</v>
      </c>
      <c r="K4553" t="s">
        <v>517</v>
      </c>
    </row>
    <row r="4554" spans="1:11">
      <c r="A4554" t="str">
        <f>"605333"</f>
        <v>605333</v>
      </c>
      <c r="B4554" t="s">
        <v>4910</v>
      </c>
      <c r="C4554">
        <v>136.1</v>
      </c>
      <c r="D4554">
        <v>88.32</v>
      </c>
      <c r="E4554">
        <v>34.16</v>
      </c>
      <c r="F4554">
        <v>4.64</v>
      </c>
      <c r="G4554">
        <v>4.37</v>
      </c>
      <c r="H4554">
        <v>14882</v>
      </c>
      <c r="I4554">
        <v>3.98</v>
      </c>
      <c r="J4554">
        <v>25.53</v>
      </c>
      <c r="K4554" t="s">
        <v>530</v>
      </c>
    </row>
    <row r="4555" spans="1:11">
      <c r="A4555" t="str">
        <f>"605336"</f>
        <v>605336</v>
      </c>
      <c r="B4555" t="s">
        <v>4911</v>
      </c>
      <c r="C4555">
        <v>32.72</v>
      </c>
      <c r="D4555">
        <v>20.29</v>
      </c>
      <c r="E4555">
        <v>18.7</v>
      </c>
      <c r="F4555">
        <v>1.83</v>
      </c>
      <c r="G4555">
        <v>1.83</v>
      </c>
      <c r="H4555">
        <v>13062</v>
      </c>
      <c r="I4555">
        <v>1.75</v>
      </c>
      <c r="J4555">
        <v>833.15</v>
      </c>
      <c r="K4555" t="s">
        <v>790</v>
      </c>
    </row>
    <row r="4556" spans="1:11">
      <c r="A4556" t="str">
        <f>"605337"</f>
        <v>605337</v>
      </c>
      <c r="B4556" t="s">
        <v>4912</v>
      </c>
      <c r="C4556">
        <v>46.89</v>
      </c>
      <c r="D4556">
        <v>32</v>
      </c>
      <c r="E4556">
        <v>15.98</v>
      </c>
      <c r="F4556">
        <v>3.9</v>
      </c>
      <c r="G4556">
        <v>3.9</v>
      </c>
      <c r="H4556">
        <v>35195</v>
      </c>
      <c r="I4556">
        <v>2.99</v>
      </c>
      <c r="J4556">
        <v>23.78</v>
      </c>
      <c r="K4556" t="s">
        <v>699</v>
      </c>
    </row>
    <row r="4557" spans="1:11">
      <c r="A4557" t="str">
        <f>"605338"</f>
        <v>605338</v>
      </c>
      <c r="B4557" t="s">
        <v>4913</v>
      </c>
      <c r="C4557">
        <v>73.57</v>
      </c>
      <c r="D4557">
        <v>28.38</v>
      </c>
      <c r="E4557">
        <v>22.66</v>
      </c>
      <c r="F4557">
        <v>2.4</v>
      </c>
      <c r="G4557">
        <v>2.4</v>
      </c>
      <c r="H4557">
        <v>12000</v>
      </c>
      <c r="I4557">
        <v>3.25</v>
      </c>
      <c r="J4557">
        <v>27.42</v>
      </c>
      <c r="K4557" t="s">
        <v>629</v>
      </c>
    </row>
    <row r="4558" spans="1:11">
      <c r="A4558" t="str">
        <f>"605339"</f>
        <v>605339</v>
      </c>
      <c r="B4558" t="s">
        <v>4914</v>
      </c>
      <c r="C4558">
        <v>82.4</v>
      </c>
      <c r="D4558">
        <v>41.63</v>
      </c>
      <c r="E4558">
        <v>34.08</v>
      </c>
      <c r="F4558">
        <v>4.24</v>
      </c>
      <c r="G4558">
        <v>4.24</v>
      </c>
      <c r="H4558">
        <v>12612</v>
      </c>
      <c r="I4558">
        <v>2.42</v>
      </c>
      <c r="J4558">
        <v>214.42</v>
      </c>
      <c r="K4558" t="s">
        <v>634</v>
      </c>
    </row>
    <row r="4559" spans="1:11">
      <c r="A4559" t="str">
        <f>"605358"</f>
        <v>605358</v>
      </c>
      <c r="B4559" t="s">
        <v>4915</v>
      </c>
      <c r="C4559">
        <v>274.19</v>
      </c>
      <c r="D4559">
        <v>193.54</v>
      </c>
      <c r="E4559">
        <v>72.34</v>
      </c>
      <c r="F4559">
        <v>6.71</v>
      </c>
      <c r="G4559">
        <v>6.71</v>
      </c>
      <c r="H4559">
        <v>104996</v>
      </c>
      <c r="I4559">
        <v>3.91</v>
      </c>
      <c r="J4559" t="s">
        <v>14</v>
      </c>
      <c r="K4559" t="s">
        <v>884</v>
      </c>
    </row>
    <row r="4560" spans="1:11">
      <c r="A4560" t="str">
        <f>"605365"</f>
        <v>605365</v>
      </c>
      <c r="B4560" t="s">
        <v>4916</v>
      </c>
      <c r="C4560">
        <v>122.24</v>
      </c>
      <c r="D4560">
        <v>65.26</v>
      </c>
      <c r="E4560">
        <v>37.28</v>
      </c>
      <c r="F4560">
        <v>5.02</v>
      </c>
      <c r="G4560">
        <v>5.02</v>
      </c>
      <c r="H4560">
        <v>14606</v>
      </c>
      <c r="I4560">
        <v>3.28</v>
      </c>
      <c r="J4560">
        <v>72.02</v>
      </c>
      <c r="K4560" t="s">
        <v>216</v>
      </c>
    </row>
    <row r="4561" spans="1:11">
      <c r="A4561" t="str">
        <f>"605366"</f>
        <v>605366</v>
      </c>
      <c r="B4561" t="s">
        <v>4917</v>
      </c>
      <c r="C4561">
        <v>41.74</v>
      </c>
      <c r="D4561">
        <v>40.19</v>
      </c>
      <c r="E4561">
        <v>21.08</v>
      </c>
      <c r="F4561">
        <v>6.5</v>
      </c>
      <c r="G4561">
        <v>6.5</v>
      </c>
      <c r="H4561">
        <v>30064</v>
      </c>
      <c r="I4561">
        <v>2.06</v>
      </c>
      <c r="J4561" t="s">
        <v>14</v>
      </c>
      <c r="K4561" t="s">
        <v>993</v>
      </c>
    </row>
    <row r="4562" spans="1:11">
      <c r="A4562" t="str">
        <f>"605368"</f>
        <v>605368</v>
      </c>
      <c r="B4562" t="s">
        <v>4918</v>
      </c>
      <c r="C4562">
        <v>56.67</v>
      </c>
      <c r="D4562">
        <v>58.87</v>
      </c>
      <c r="E4562">
        <v>32.69</v>
      </c>
      <c r="F4562">
        <v>7.15</v>
      </c>
      <c r="G4562">
        <v>7.15</v>
      </c>
      <c r="H4562">
        <v>36481</v>
      </c>
      <c r="I4562">
        <v>1.76</v>
      </c>
      <c r="J4562">
        <v>16.21</v>
      </c>
      <c r="K4562" t="s">
        <v>136</v>
      </c>
    </row>
    <row r="4563" spans="1:11">
      <c r="A4563" t="str">
        <f>"605369"</f>
        <v>605369</v>
      </c>
      <c r="B4563" t="s">
        <v>4919</v>
      </c>
      <c r="C4563">
        <v>43.11</v>
      </c>
      <c r="D4563">
        <v>21.27</v>
      </c>
      <c r="E4563">
        <v>17.16</v>
      </c>
      <c r="F4563">
        <v>2.2</v>
      </c>
      <c r="G4563">
        <v>2.2</v>
      </c>
      <c r="H4563">
        <v>11604</v>
      </c>
      <c r="I4563">
        <v>2.51</v>
      </c>
      <c r="J4563">
        <v>44.92</v>
      </c>
      <c r="K4563" t="s">
        <v>1173</v>
      </c>
    </row>
    <row r="4564" spans="1:11">
      <c r="A4564" t="str">
        <f>"605376"</f>
        <v>605376</v>
      </c>
      <c r="B4564" t="s">
        <v>4920</v>
      </c>
      <c r="C4564">
        <v>158.79</v>
      </c>
      <c r="D4564">
        <v>19.8</v>
      </c>
      <c r="E4564">
        <v>16.47</v>
      </c>
      <c r="F4564">
        <v>2.62</v>
      </c>
      <c r="G4564">
        <v>2.62</v>
      </c>
      <c r="H4564">
        <v>21039</v>
      </c>
      <c r="I4564">
        <v>9.64</v>
      </c>
      <c r="J4564">
        <v>78.57</v>
      </c>
      <c r="K4564" t="s">
        <v>4921</v>
      </c>
    </row>
    <row r="4565" spans="1:11">
      <c r="A4565" t="str">
        <f>"605377"</f>
        <v>605377</v>
      </c>
      <c r="B4565" t="s">
        <v>4922</v>
      </c>
      <c r="C4565">
        <v>47.48</v>
      </c>
      <c r="D4565">
        <v>54.55</v>
      </c>
      <c r="E4565">
        <v>38.4</v>
      </c>
      <c r="F4565">
        <v>5.57</v>
      </c>
      <c r="G4565">
        <v>5.57</v>
      </c>
      <c r="H4565">
        <v>15923</v>
      </c>
      <c r="I4565">
        <v>1.24</v>
      </c>
      <c r="J4565">
        <v>17.25</v>
      </c>
      <c r="K4565" t="s">
        <v>765</v>
      </c>
    </row>
    <row r="4566" spans="1:11">
      <c r="A4566" t="str">
        <f>"605378"</f>
        <v>605378</v>
      </c>
      <c r="B4566" t="s">
        <v>4923</v>
      </c>
      <c r="C4566">
        <v>60.48</v>
      </c>
      <c r="D4566">
        <v>15.98</v>
      </c>
      <c r="E4566">
        <v>12.5</v>
      </c>
      <c r="F4566">
        <v>2.61</v>
      </c>
      <c r="G4566">
        <v>2.61</v>
      </c>
      <c r="H4566">
        <v>36655</v>
      </c>
      <c r="I4566">
        <v>4.84</v>
      </c>
      <c r="J4566">
        <v>82.99</v>
      </c>
      <c r="K4566" t="s">
        <v>1365</v>
      </c>
    </row>
    <row r="4567" spans="1:11">
      <c r="A4567" t="str">
        <f>"605388"</f>
        <v>605388</v>
      </c>
      <c r="B4567" t="s">
        <v>4924</v>
      </c>
      <c r="C4567">
        <v>45.76</v>
      </c>
      <c r="D4567">
        <v>20.18</v>
      </c>
      <c r="E4567">
        <v>17.16</v>
      </c>
      <c r="F4567">
        <v>6</v>
      </c>
      <c r="G4567">
        <v>6</v>
      </c>
      <c r="H4567">
        <v>34338</v>
      </c>
      <c r="I4567">
        <v>2.67</v>
      </c>
      <c r="J4567" t="s">
        <v>14</v>
      </c>
      <c r="K4567" t="s">
        <v>699</v>
      </c>
    </row>
    <row r="4568" spans="1:11">
      <c r="A4568" t="str">
        <f>"605389"</f>
        <v>605389</v>
      </c>
      <c r="B4568" t="s">
        <v>4925</v>
      </c>
      <c r="C4568">
        <v>105.61</v>
      </c>
      <c r="D4568">
        <v>24.32</v>
      </c>
      <c r="E4568">
        <v>21.05</v>
      </c>
      <c r="F4568">
        <v>1.44</v>
      </c>
      <c r="G4568">
        <v>1.36</v>
      </c>
      <c r="H4568">
        <v>8079</v>
      </c>
      <c r="I4568">
        <v>5.3</v>
      </c>
      <c r="J4568">
        <v>75.82</v>
      </c>
      <c r="K4568" t="s">
        <v>641</v>
      </c>
    </row>
    <row r="4569" spans="1:11">
      <c r="A4569" t="str">
        <f>"605398"</f>
        <v>605398</v>
      </c>
      <c r="B4569" t="s">
        <v>4926</v>
      </c>
      <c r="C4569">
        <v>55.29</v>
      </c>
      <c r="D4569">
        <v>11.59</v>
      </c>
      <c r="E4569">
        <v>10.3</v>
      </c>
      <c r="F4569">
        <v>1.63</v>
      </c>
      <c r="G4569">
        <v>1.63</v>
      </c>
      <c r="H4569">
        <v>26284</v>
      </c>
      <c r="I4569">
        <v>5.37</v>
      </c>
      <c r="J4569">
        <v>408.08</v>
      </c>
      <c r="K4569" t="s">
        <v>57</v>
      </c>
    </row>
    <row r="4570" spans="1:11">
      <c r="A4570" t="str">
        <f>"605399"</f>
        <v>605399</v>
      </c>
      <c r="B4570" t="s">
        <v>4927</v>
      </c>
      <c r="C4570">
        <v>42.59</v>
      </c>
      <c r="D4570">
        <v>32.8</v>
      </c>
      <c r="E4570">
        <v>21.45</v>
      </c>
      <c r="F4570">
        <v>3.12</v>
      </c>
      <c r="G4570">
        <v>3.12</v>
      </c>
      <c r="H4570">
        <v>25331</v>
      </c>
      <c r="I4570">
        <v>1.99</v>
      </c>
      <c r="J4570" t="s">
        <v>14</v>
      </c>
      <c r="K4570" t="s">
        <v>993</v>
      </c>
    </row>
    <row r="4571" spans="1:11">
      <c r="A4571" t="str">
        <f>"605488"</f>
        <v>605488</v>
      </c>
      <c r="B4571" t="s">
        <v>4928</v>
      </c>
      <c r="C4571">
        <v>102.74</v>
      </c>
      <c r="D4571">
        <v>37</v>
      </c>
      <c r="E4571">
        <v>15.54</v>
      </c>
      <c r="F4571">
        <v>2.8</v>
      </c>
      <c r="G4571">
        <v>2.76</v>
      </c>
      <c r="H4571">
        <v>28800</v>
      </c>
      <c r="I4571">
        <v>6.79</v>
      </c>
      <c r="J4571">
        <v>121.02</v>
      </c>
      <c r="K4571" t="s">
        <v>549</v>
      </c>
    </row>
    <row r="4572" spans="1:11">
      <c r="A4572" t="str">
        <f>"605499"</f>
        <v>605499</v>
      </c>
      <c r="B4572" t="s">
        <v>4929</v>
      </c>
      <c r="C4572">
        <v>1376.37</v>
      </c>
      <c r="D4572">
        <v>239.43</v>
      </c>
      <c r="E4572">
        <v>87.99</v>
      </c>
      <c r="F4572">
        <v>5.2</v>
      </c>
      <c r="G4572">
        <v>5.2</v>
      </c>
      <c r="H4572">
        <v>15984</v>
      </c>
      <c r="I4572">
        <v>15.64</v>
      </c>
      <c r="J4572">
        <v>27.45</v>
      </c>
      <c r="K4572" t="s">
        <v>488</v>
      </c>
    </row>
    <row r="4573" spans="1:11">
      <c r="A4573" t="str">
        <f>"605500"</f>
        <v>605500</v>
      </c>
      <c r="B4573" t="s">
        <v>4930</v>
      </c>
      <c r="C4573">
        <v>37.59</v>
      </c>
      <c r="D4573">
        <v>43.41</v>
      </c>
      <c r="E4573">
        <v>25.54</v>
      </c>
      <c r="F4573">
        <v>4.14</v>
      </c>
      <c r="G4573">
        <v>4.14</v>
      </c>
      <c r="H4573">
        <v>20600</v>
      </c>
      <c r="I4573">
        <v>1.47</v>
      </c>
      <c r="J4573">
        <v>93.29</v>
      </c>
      <c r="K4573" t="s">
        <v>165</v>
      </c>
    </row>
    <row r="4574" spans="1:11">
      <c r="A4574" t="str">
        <f>"605507"</f>
        <v>605507</v>
      </c>
      <c r="B4574" t="s">
        <v>4931</v>
      </c>
      <c r="C4574">
        <v>74.47</v>
      </c>
      <c r="D4574">
        <v>105.79</v>
      </c>
      <c r="E4574">
        <v>82.72</v>
      </c>
      <c r="F4574">
        <v>5.59</v>
      </c>
      <c r="G4574">
        <v>3.02</v>
      </c>
      <c r="H4574">
        <v>24399</v>
      </c>
      <c r="I4574">
        <v>1.67</v>
      </c>
      <c r="J4574">
        <v>15.43</v>
      </c>
      <c r="K4574" t="s">
        <v>404</v>
      </c>
    </row>
    <row r="4575" spans="1:11">
      <c r="A4575" t="str">
        <f>"605555"</f>
        <v>605555</v>
      </c>
      <c r="B4575" t="s">
        <v>4932</v>
      </c>
      <c r="C4575">
        <v>88.83</v>
      </c>
      <c r="D4575">
        <v>52.42</v>
      </c>
      <c r="E4575">
        <v>30.18</v>
      </c>
      <c r="F4575">
        <v>4.84</v>
      </c>
      <c r="G4575">
        <v>4.84</v>
      </c>
      <c r="H4575">
        <v>25921</v>
      </c>
      <c r="I4575">
        <v>2.94</v>
      </c>
      <c r="J4575">
        <v>41.13</v>
      </c>
      <c r="K4575" t="s">
        <v>2933</v>
      </c>
    </row>
    <row r="4576" spans="1:11">
      <c r="A4576" t="str">
        <f>"605566"</f>
        <v>605566</v>
      </c>
      <c r="B4576" t="s">
        <v>4933</v>
      </c>
      <c r="C4576">
        <v>38.79</v>
      </c>
      <c r="D4576">
        <v>25.46</v>
      </c>
      <c r="E4576">
        <v>19.98</v>
      </c>
      <c r="F4576">
        <v>1.33</v>
      </c>
      <c r="G4576">
        <v>1.33</v>
      </c>
      <c r="H4576">
        <v>11069</v>
      </c>
      <c r="I4576">
        <v>1.94</v>
      </c>
      <c r="J4576">
        <v>67.52</v>
      </c>
      <c r="K4576" t="s">
        <v>812</v>
      </c>
    </row>
    <row r="4577" spans="1:11">
      <c r="A4577" t="str">
        <f>"605567"</f>
        <v>605567</v>
      </c>
      <c r="B4577" t="s">
        <v>4934</v>
      </c>
      <c r="C4577">
        <v>22.18</v>
      </c>
      <c r="D4577">
        <v>22.6</v>
      </c>
      <c r="E4577">
        <v>10.92</v>
      </c>
      <c r="F4577">
        <v>2</v>
      </c>
      <c r="G4577">
        <v>2</v>
      </c>
      <c r="H4577">
        <v>12795</v>
      </c>
      <c r="I4577">
        <v>2.03</v>
      </c>
      <c r="J4577">
        <v>49.11</v>
      </c>
      <c r="K4577" t="s">
        <v>201</v>
      </c>
    </row>
    <row r="4578" spans="1:11">
      <c r="A4578" t="str">
        <f>"605577"</f>
        <v>605577</v>
      </c>
      <c r="B4578" t="s">
        <v>4935</v>
      </c>
      <c r="C4578">
        <v>63.2</v>
      </c>
      <c r="D4578">
        <v>60.17</v>
      </c>
      <c r="E4578">
        <v>39.75</v>
      </c>
      <c r="F4578">
        <v>4.44</v>
      </c>
      <c r="G4578">
        <v>4.44</v>
      </c>
      <c r="H4578">
        <v>19523</v>
      </c>
      <c r="I4578">
        <v>1.59</v>
      </c>
      <c r="J4578">
        <v>16.11</v>
      </c>
      <c r="K4578" t="s">
        <v>1948</v>
      </c>
    </row>
    <row r="4579" spans="1:11">
      <c r="A4579" t="str">
        <f>"605580"</f>
        <v>605580</v>
      </c>
      <c r="B4579" t="s">
        <v>4936</v>
      </c>
      <c r="C4579">
        <v>70.87</v>
      </c>
      <c r="D4579">
        <v>22.16</v>
      </c>
      <c r="E4579">
        <v>9.65</v>
      </c>
      <c r="F4579">
        <v>2.8</v>
      </c>
      <c r="G4579">
        <v>2.8</v>
      </c>
      <c r="H4579">
        <v>9996</v>
      </c>
      <c r="I4579">
        <v>7.34</v>
      </c>
      <c r="J4579">
        <v>55.53</v>
      </c>
      <c r="K4579" t="s">
        <v>350</v>
      </c>
    </row>
    <row r="4580" spans="1:11">
      <c r="A4580" t="str">
        <f>"605588"</f>
        <v>605588</v>
      </c>
      <c r="B4580" t="s">
        <v>4937</v>
      </c>
      <c r="C4580">
        <v>42.54</v>
      </c>
      <c r="D4580">
        <v>29.59</v>
      </c>
      <c r="E4580">
        <v>10.24</v>
      </c>
      <c r="F4580">
        <v>0.73</v>
      </c>
      <c r="G4580">
        <v>0.73</v>
      </c>
      <c r="H4580">
        <v>13061</v>
      </c>
      <c r="I4580">
        <v>4.17</v>
      </c>
      <c r="J4580" t="s">
        <v>14</v>
      </c>
      <c r="K4580" t="s">
        <v>66</v>
      </c>
    </row>
    <row r="4581" spans="1:11">
      <c r="A4581" t="str">
        <f>"605589"</f>
        <v>605589</v>
      </c>
      <c r="B4581" t="s">
        <v>4938</v>
      </c>
      <c r="C4581">
        <v>246.16</v>
      </c>
      <c r="D4581">
        <v>165.45</v>
      </c>
      <c r="E4581">
        <v>102.7</v>
      </c>
      <c r="F4581">
        <v>8.46</v>
      </c>
      <c r="G4581">
        <v>8.44</v>
      </c>
      <c r="H4581">
        <v>31067</v>
      </c>
      <c r="I4581">
        <v>2.4</v>
      </c>
      <c r="J4581">
        <v>24.39</v>
      </c>
      <c r="K4581" t="s">
        <v>601</v>
      </c>
    </row>
    <row r="4582" spans="1:11">
      <c r="A4582" t="str">
        <f>"605598"</f>
        <v>605598</v>
      </c>
      <c r="B4582" t="s">
        <v>4939</v>
      </c>
      <c r="C4582">
        <v>152.98</v>
      </c>
      <c r="D4582">
        <v>23.09</v>
      </c>
      <c r="E4582">
        <v>18.17</v>
      </c>
      <c r="F4582">
        <v>2.45</v>
      </c>
      <c r="G4582">
        <v>2.43</v>
      </c>
      <c r="H4582">
        <v>16736</v>
      </c>
      <c r="I4582">
        <v>8.47</v>
      </c>
      <c r="J4582">
        <v>145.8</v>
      </c>
      <c r="K4582" t="s">
        <v>55</v>
      </c>
    </row>
    <row r="4583" spans="1:11">
      <c r="A4583" t="str">
        <f>"605599"</f>
        <v>605599</v>
      </c>
      <c r="B4583" t="s">
        <v>4940</v>
      </c>
      <c r="C4583">
        <v>134.71</v>
      </c>
      <c r="D4583">
        <v>86.67</v>
      </c>
      <c r="E4583">
        <v>41.64</v>
      </c>
      <c r="F4583">
        <v>7.78</v>
      </c>
      <c r="G4583">
        <v>7.78</v>
      </c>
      <c r="H4583">
        <v>18403</v>
      </c>
      <c r="I4583">
        <v>3.23</v>
      </c>
      <c r="J4583">
        <v>15.62</v>
      </c>
      <c r="K4583" t="s">
        <v>35</v>
      </c>
    </row>
    <row r="4584" spans="1:11">
      <c r="A4584" t="str">
        <f>"688001"</f>
        <v>688001</v>
      </c>
      <c r="B4584" t="s">
        <v>4941</v>
      </c>
      <c r="C4584">
        <v>143.46</v>
      </c>
      <c r="D4584">
        <v>57.43</v>
      </c>
      <c r="E4584">
        <v>35.26</v>
      </c>
      <c r="F4584">
        <v>4.45</v>
      </c>
      <c r="G4584">
        <v>4.45</v>
      </c>
      <c r="H4584">
        <v>12502</v>
      </c>
      <c r="I4584">
        <v>4.14</v>
      </c>
      <c r="J4584">
        <v>70.99</v>
      </c>
      <c r="K4584" t="s">
        <v>493</v>
      </c>
    </row>
    <row r="4585" spans="1:11">
      <c r="A4585" t="str">
        <f>"688002"</f>
        <v>688002</v>
      </c>
      <c r="B4585" t="s">
        <v>4942</v>
      </c>
      <c r="C4585">
        <v>482.33</v>
      </c>
      <c r="D4585">
        <v>99.22</v>
      </c>
      <c r="E4585">
        <v>62.21</v>
      </c>
      <c r="F4585">
        <v>4.6</v>
      </c>
      <c r="G4585">
        <v>4.6</v>
      </c>
      <c r="H4585">
        <v>14403</v>
      </c>
      <c r="I4585">
        <v>8.03</v>
      </c>
      <c r="J4585">
        <v>51.18</v>
      </c>
      <c r="K4585" t="s">
        <v>223</v>
      </c>
    </row>
    <row r="4586" spans="1:11">
      <c r="A4586" t="str">
        <f>"688003"</f>
        <v>688003</v>
      </c>
      <c r="B4586" t="s">
        <v>4943</v>
      </c>
      <c r="C4586">
        <v>122.46</v>
      </c>
      <c r="D4586">
        <v>38.48</v>
      </c>
      <c r="E4586">
        <v>18.66</v>
      </c>
      <c r="F4586">
        <v>1.94</v>
      </c>
      <c r="G4586">
        <v>1.94</v>
      </c>
      <c r="H4586">
        <v>13090</v>
      </c>
      <c r="I4586">
        <v>6.56</v>
      </c>
      <c r="J4586" t="s">
        <v>14</v>
      </c>
      <c r="K4586" t="s">
        <v>493</v>
      </c>
    </row>
    <row r="4587" spans="1:11">
      <c r="A4587" t="str">
        <f>"688004"</f>
        <v>688004</v>
      </c>
      <c r="B4587" t="s">
        <v>4944</v>
      </c>
      <c r="C4587">
        <v>21.19</v>
      </c>
      <c r="D4587">
        <v>7.23</v>
      </c>
      <c r="E4587">
        <v>5.9</v>
      </c>
      <c r="F4587">
        <v>0.8</v>
      </c>
      <c r="G4587">
        <v>0.8</v>
      </c>
      <c r="H4587">
        <v>5640</v>
      </c>
      <c r="I4587">
        <v>3.59</v>
      </c>
      <c r="J4587" t="s">
        <v>14</v>
      </c>
      <c r="K4587" t="s">
        <v>117</v>
      </c>
    </row>
    <row r="4588" spans="1:11">
      <c r="A4588" t="str">
        <f>"688005"</f>
        <v>688005</v>
      </c>
      <c r="B4588" t="s">
        <v>4945</v>
      </c>
      <c r="C4588">
        <v>266.91</v>
      </c>
      <c r="D4588">
        <v>239.59</v>
      </c>
      <c r="E4588">
        <v>81.08</v>
      </c>
      <c r="F4588">
        <v>7.15</v>
      </c>
      <c r="G4588">
        <v>7.15</v>
      </c>
      <c r="H4588">
        <v>39839</v>
      </c>
      <c r="I4588">
        <v>3.29</v>
      </c>
      <c r="J4588" t="s">
        <v>14</v>
      </c>
      <c r="K4588" t="s">
        <v>24</v>
      </c>
    </row>
    <row r="4589" spans="1:11">
      <c r="A4589" t="str">
        <f>"688006"</f>
        <v>688006</v>
      </c>
      <c r="B4589" t="s">
        <v>4946</v>
      </c>
      <c r="C4589">
        <v>197.16</v>
      </c>
      <c r="D4589">
        <v>98.45</v>
      </c>
      <c r="E4589">
        <v>54.75</v>
      </c>
      <c r="F4589">
        <v>6.04</v>
      </c>
      <c r="G4589">
        <v>6.04</v>
      </c>
      <c r="H4589">
        <v>23553</v>
      </c>
      <c r="I4589">
        <v>3.6</v>
      </c>
      <c r="J4589">
        <v>38.35</v>
      </c>
      <c r="K4589" t="s">
        <v>1975</v>
      </c>
    </row>
    <row r="4590" spans="1:11">
      <c r="A4590" t="str">
        <f>"688007"</f>
        <v>688007</v>
      </c>
      <c r="B4590" t="s">
        <v>4947</v>
      </c>
      <c r="C4590">
        <v>88.98</v>
      </c>
      <c r="D4590">
        <v>38.45</v>
      </c>
      <c r="E4590">
        <v>25.76</v>
      </c>
      <c r="F4590">
        <v>4.6</v>
      </c>
      <c r="G4590">
        <v>4.6</v>
      </c>
      <c r="H4590">
        <v>16205</v>
      </c>
      <c r="I4590">
        <v>3.45</v>
      </c>
      <c r="J4590" t="s">
        <v>14</v>
      </c>
      <c r="K4590" t="s">
        <v>689</v>
      </c>
    </row>
    <row r="4591" spans="1:11">
      <c r="A4591" t="str">
        <f>"688008"</f>
        <v>688008</v>
      </c>
      <c r="B4591" t="s">
        <v>4948</v>
      </c>
      <c r="C4591">
        <v>1518.44</v>
      </c>
      <c r="D4591">
        <v>137.52</v>
      </c>
      <c r="E4591">
        <v>122.6</v>
      </c>
      <c r="F4591">
        <v>11.46</v>
      </c>
      <c r="G4591">
        <v>11.46</v>
      </c>
      <c r="H4591">
        <v>92901</v>
      </c>
      <c r="I4591">
        <v>12.37</v>
      </c>
      <c r="J4591">
        <v>69.77</v>
      </c>
      <c r="K4591" t="s">
        <v>691</v>
      </c>
    </row>
    <row r="4592" spans="1:11">
      <c r="A4592" t="str">
        <f>"688009"</f>
        <v>688009</v>
      </c>
      <c r="B4592" t="s">
        <v>4949</v>
      </c>
      <c r="C4592">
        <v>473.29</v>
      </c>
      <c r="D4592">
        <v>1156.62</v>
      </c>
      <c r="E4592">
        <v>485.77</v>
      </c>
      <c r="F4592">
        <v>105.9</v>
      </c>
      <c r="G4592">
        <v>86.21</v>
      </c>
      <c r="H4592">
        <v>64151</v>
      </c>
      <c r="I4592">
        <v>1.26</v>
      </c>
      <c r="J4592">
        <v>19.09</v>
      </c>
      <c r="K4592" t="s">
        <v>22</v>
      </c>
    </row>
    <row r="4593" spans="1:11">
      <c r="A4593" t="str">
        <f>"688010"</f>
        <v>688010</v>
      </c>
      <c r="B4593" t="s">
        <v>4950</v>
      </c>
      <c r="C4593">
        <v>54.4</v>
      </c>
      <c r="D4593">
        <v>26.83</v>
      </c>
      <c r="E4593">
        <v>16.79</v>
      </c>
      <c r="F4593">
        <v>1.61</v>
      </c>
      <c r="G4593">
        <v>1.61</v>
      </c>
      <c r="H4593">
        <v>11725</v>
      </c>
      <c r="I4593">
        <v>3.24</v>
      </c>
      <c r="J4593" t="s">
        <v>14</v>
      </c>
      <c r="K4593" t="s">
        <v>66</v>
      </c>
    </row>
    <row r="4594" spans="1:11">
      <c r="A4594" t="str">
        <f>"688011"</f>
        <v>688011</v>
      </c>
      <c r="B4594" t="s">
        <v>4951</v>
      </c>
      <c r="C4594">
        <v>68.25</v>
      </c>
      <c r="D4594">
        <v>12.32</v>
      </c>
      <c r="E4594">
        <v>10.7</v>
      </c>
      <c r="F4594">
        <v>1</v>
      </c>
      <c r="G4594">
        <v>1</v>
      </c>
      <c r="H4594">
        <v>6819</v>
      </c>
      <c r="I4594">
        <v>6.38</v>
      </c>
      <c r="J4594" t="s">
        <v>14</v>
      </c>
      <c r="K4594" t="s">
        <v>223</v>
      </c>
    </row>
    <row r="4595" spans="1:11">
      <c r="A4595" t="str">
        <f>"688012"</f>
        <v>688012</v>
      </c>
      <c r="B4595" t="s">
        <v>4952</v>
      </c>
      <c r="C4595">
        <v>2206.41</v>
      </c>
      <c r="D4595">
        <v>297.87</v>
      </c>
      <c r="E4595">
        <v>214.72</v>
      </c>
      <c r="F4595">
        <v>6.26</v>
      </c>
      <c r="G4595">
        <v>6.26</v>
      </c>
      <c r="H4595">
        <v>60782</v>
      </c>
      <c r="I4595">
        <v>10.28</v>
      </c>
      <c r="J4595">
        <v>136.63</v>
      </c>
      <c r="K4595" t="s">
        <v>1160</v>
      </c>
    </row>
    <row r="4596" spans="1:11">
      <c r="A4596" t="str">
        <f>"688013"</f>
        <v>688013</v>
      </c>
      <c r="B4596" t="s">
        <v>4953</v>
      </c>
      <c r="C4596">
        <v>39.85</v>
      </c>
      <c r="D4596">
        <v>6.76</v>
      </c>
      <c r="E4596">
        <v>6</v>
      </c>
      <c r="F4596">
        <v>0.81</v>
      </c>
      <c r="G4596">
        <v>0.81</v>
      </c>
      <c r="H4596">
        <v>4624</v>
      </c>
      <c r="I4596">
        <v>6.65</v>
      </c>
      <c r="J4596">
        <v>41.54</v>
      </c>
      <c r="K4596" t="s">
        <v>1173</v>
      </c>
    </row>
    <row r="4597" spans="1:11">
      <c r="A4597" t="str">
        <f>"688015"</f>
        <v>688015</v>
      </c>
      <c r="B4597" t="s">
        <v>4954</v>
      </c>
      <c r="C4597">
        <v>45.08</v>
      </c>
      <c r="D4597">
        <v>63.77</v>
      </c>
      <c r="E4597">
        <v>25.95</v>
      </c>
      <c r="F4597">
        <v>1.89</v>
      </c>
      <c r="G4597">
        <v>1.89</v>
      </c>
      <c r="H4597">
        <v>8022</v>
      </c>
      <c r="I4597">
        <v>1.74</v>
      </c>
      <c r="J4597">
        <v>39.77</v>
      </c>
      <c r="K4597" t="s">
        <v>22</v>
      </c>
    </row>
    <row r="4598" spans="1:11">
      <c r="A4598" t="str">
        <f>"688016"</f>
        <v>688016</v>
      </c>
      <c r="B4598" t="s">
        <v>4955</v>
      </c>
      <c r="C4598">
        <v>122.46</v>
      </c>
      <c r="D4598">
        <v>47.32</v>
      </c>
      <c r="E4598">
        <v>39.57</v>
      </c>
      <c r="F4598">
        <v>1.23</v>
      </c>
      <c r="G4598">
        <v>1.23</v>
      </c>
      <c r="H4598">
        <v>15990</v>
      </c>
      <c r="I4598">
        <v>3.09</v>
      </c>
      <c r="J4598">
        <v>21.41</v>
      </c>
      <c r="K4598" t="s">
        <v>1173</v>
      </c>
    </row>
    <row r="4599" spans="1:11">
      <c r="A4599" t="str">
        <f>"688017"</f>
        <v>688017</v>
      </c>
      <c r="B4599" t="s">
        <v>4956</v>
      </c>
      <c r="C4599">
        <v>366.66</v>
      </c>
      <c r="D4599">
        <v>38.95</v>
      </c>
      <c r="E4599">
        <v>35.06</v>
      </c>
      <c r="F4599">
        <v>1.83</v>
      </c>
      <c r="G4599">
        <v>1.83</v>
      </c>
      <c r="H4599">
        <v>31788</v>
      </c>
      <c r="I4599">
        <v>10.46</v>
      </c>
      <c r="J4599">
        <v>293.59</v>
      </c>
      <c r="K4599" t="s">
        <v>1527</v>
      </c>
    </row>
    <row r="4600" spans="1:11">
      <c r="A4600" t="str">
        <f>"688018"</f>
        <v>688018</v>
      </c>
      <c r="B4600" t="s">
        <v>4957</v>
      </c>
      <c r="C4600">
        <v>282.08</v>
      </c>
      <c r="D4600">
        <v>49.85</v>
      </c>
      <c r="E4600">
        <v>43.17</v>
      </c>
      <c r="F4600">
        <v>1.67</v>
      </c>
      <c r="G4600">
        <v>1.57</v>
      </c>
      <c r="H4600">
        <v>20148</v>
      </c>
      <c r="I4600">
        <v>6.53</v>
      </c>
      <c r="J4600">
        <v>59.89</v>
      </c>
      <c r="K4600" t="s">
        <v>691</v>
      </c>
    </row>
    <row r="4601" spans="1:11">
      <c r="A4601" t="str">
        <f>"688019"</f>
        <v>688019</v>
      </c>
      <c r="B4601" t="s">
        <v>4958</v>
      </c>
      <c r="C4601">
        <v>455.08</v>
      </c>
      <c r="D4601">
        <v>47.76</v>
      </c>
      <c r="E4601">
        <v>33.36</v>
      </c>
      <c r="F4601">
        <v>1.69</v>
      </c>
      <c r="G4601">
        <v>1.69</v>
      </c>
      <c r="H4601">
        <v>16793</v>
      </c>
      <c r="I4601">
        <v>13.7</v>
      </c>
      <c r="J4601">
        <v>56.11</v>
      </c>
      <c r="K4601" t="s">
        <v>884</v>
      </c>
    </row>
    <row r="4602" spans="1:11">
      <c r="A4602" t="str">
        <f>"688020"</f>
        <v>688020</v>
      </c>
      <c r="B4602" t="s">
        <v>4959</v>
      </c>
      <c r="C4602">
        <v>74.14</v>
      </c>
      <c r="D4602">
        <v>18.11</v>
      </c>
      <c r="E4602">
        <v>13.83</v>
      </c>
      <c r="F4602">
        <v>0.82</v>
      </c>
      <c r="G4602">
        <v>0.82</v>
      </c>
      <c r="H4602">
        <v>7204</v>
      </c>
      <c r="I4602">
        <v>5.29</v>
      </c>
      <c r="J4602" t="s">
        <v>14</v>
      </c>
      <c r="K4602" t="s">
        <v>472</v>
      </c>
    </row>
    <row r="4603" spans="1:11">
      <c r="A4603" t="str">
        <f>"688021"</f>
        <v>688021</v>
      </c>
      <c r="B4603" t="s">
        <v>4960</v>
      </c>
      <c r="C4603">
        <v>15.02</v>
      </c>
      <c r="D4603">
        <v>11.7</v>
      </c>
      <c r="E4603">
        <v>8.58</v>
      </c>
      <c r="F4603">
        <v>0.76</v>
      </c>
      <c r="G4603">
        <v>0.76</v>
      </c>
      <c r="H4603">
        <v>4064</v>
      </c>
      <c r="I4603">
        <v>1.75</v>
      </c>
      <c r="J4603" t="s">
        <v>14</v>
      </c>
      <c r="K4603" t="s">
        <v>517</v>
      </c>
    </row>
    <row r="4604" spans="1:11">
      <c r="A4604" t="str">
        <f>"688022"</f>
        <v>688022</v>
      </c>
      <c r="B4604" t="s">
        <v>4961</v>
      </c>
      <c r="C4604">
        <v>28.49</v>
      </c>
      <c r="D4604">
        <v>25.55</v>
      </c>
      <c r="E4604">
        <v>6.93</v>
      </c>
      <c r="F4604">
        <v>1.76</v>
      </c>
      <c r="G4604">
        <v>1.76</v>
      </c>
      <c r="H4604">
        <v>9913</v>
      </c>
      <c r="I4604">
        <v>4.11</v>
      </c>
      <c r="J4604">
        <v>49.16</v>
      </c>
      <c r="K4604" t="s">
        <v>493</v>
      </c>
    </row>
    <row r="4605" spans="1:11">
      <c r="A4605" t="str">
        <f>"688023"</f>
        <v>688023</v>
      </c>
      <c r="B4605" t="s">
        <v>4962</v>
      </c>
      <c r="C4605">
        <v>62.48</v>
      </c>
      <c r="D4605">
        <v>42.51</v>
      </c>
      <c r="E4605">
        <v>22.7</v>
      </c>
      <c r="F4605">
        <v>1.02</v>
      </c>
      <c r="G4605">
        <v>1.02</v>
      </c>
      <c r="H4605">
        <v>12471</v>
      </c>
      <c r="I4605">
        <v>2.75</v>
      </c>
      <c r="J4605" t="s">
        <v>14</v>
      </c>
      <c r="K4605" t="s">
        <v>17</v>
      </c>
    </row>
    <row r="4606" spans="1:11">
      <c r="A4606" t="str">
        <f>"688025"</f>
        <v>688025</v>
      </c>
      <c r="B4606" t="s">
        <v>4963</v>
      </c>
      <c r="C4606">
        <v>126.07</v>
      </c>
      <c r="D4606">
        <v>31.19</v>
      </c>
      <c r="E4606">
        <v>22.06</v>
      </c>
      <c r="F4606">
        <v>0.95</v>
      </c>
      <c r="G4606">
        <v>0.95</v>
      </c>
      <c r="H4606">
        <v>7160</v>
      </c>
      <c r="I4606">
        <v>5.72</v>
      </c>
      <c r="J4606">
        <v>46.4</v>
      </c>
      <c r="K4606" t="s">
        <v>604</v>
      </c>
    </row>
    <row r="4607" spans="1:11">
      <c r="A4607" t="str">
        <f>"688026"</f>
        <v>688026</v>
      </c>
      <c r="B4607" t="s">
        <v>4964</v>
      </c>
      <c r="C4607">
        <v>24.7</v>
      </c>
      <c r="D4607">
        <v>17.48</v>
      </c>
      <c r="E4607">
        <v>12.37</v>
      </c>
      <c r="F4607">
        <v>1.4</v>
      </c>
      <c r="G4607">
        <v>1.4</v>
      </c>
      <c r="H4607">
        <v>8274</v>
      </c>
      <c r="I4607">
        <v>2.23</v>
      </c>
      <c r="J4607">
        <v>32.34</v>
      </c>
      <c r="K4607" t="s">
        <v>1173</v>
      </c>
    </row>
    <row r="4608" spans="1:11">
      <c r="A4608" t="str">
        <f>"688027"</f>
        <v>688027</v>
      </c>
      <c r="B4608" t="s">
        <v>4965</v>
      </c>
      <c r="C4608">
        <v>519.22</v>
      </c>
      <c r="D4608">
        <v>35.66</v>
      </c>
      <c r="E4608">
        <v>32.13</v>
      </c>
      <c r="F4608">
        <v>1.03</v>
      </c>
      <c r="G4608">
        <v>0.8</v>
      </c>
      <c r="H4608">
        <v>21655</v>
      </c>
      <c r="I4608">
        <v>20.68</v>
      </c>
      <c r="J4608" t="s">
        <v>14</v>
      </c>
      <c r="K4608" t="s">
        <v>770</v>
      </c>
    </row>
    <row r="4609" spans="1:11">
      <c r="A4609" t="str">
        <f>"688028"</f>
        <v>688028</v>
      </c>
      <c r="B4609" t="s">
        <v>4966</v>
      </c>
      <c r="C4609">
        <v>110.13</v>
      </c>
      <c r="D4609">
        <v>22.51</v>
      </c>
      <c r="E4609">
        <v>19.61</v>
      </c>
      <c r="F4609">
        <v>1.51</v>
      </c>
      <c r="G4609">
        <v>1.51</v>
      </c>
      <c r="H4609">
        <v>8495</v>
      </c>
      <c r="I4609">
        <v>5.61</v>
      </c>
      <c r="J4609">
        <v>115.68</v>
      </c>
      <c r="K4609" t="s">
        <v>424</v>
      </c>
    </row>
    <row r="4610" spans="1:11">
      <c r="A4610" t="str">
        <f>"688029"</f>
        <v>688029</v>
      </c>
      <c r="B4610" t="s">
        <v>4967</v>
      </c>
      <c r="C4610">
        <v>161.94</v>
      </c>
      <c r="D4610">
        <v>51.92</v>
      </c>
      <c r="E4610">
        <v>40.72</v>
      </c>
      <c r="F4610">
        <v>1.88</v>
      </c>
      <c r="G4610">
        <v>1.88</v>
      </c>
      <c r="H4610">
        <v>12515</v>
      </c>
      <c r="I4610">
        <v>3.98</v>
      </c>
      <c r="J4610">
        <v>23.85</v>
      </c>
      <c r="K4610" t="s">
        <v>1173</v>
      </c>
    </row>
    <row r="4611" spans="1:11">
      <c r="A4611" t="str">
        <f>"688030"</f>
        <v>688030</v>
      </c>
      <c r="B4611" t="s">
        <v>4968</v>
      </c>
      <c r="C4611">
        <v>35.87</v>
      </c>
      <c r="D4611">
        <v>19.88</v>
      </c>
      <c r="E4611">
        <v>8.5</v>
      </c>
      <c r="F4611">
        <v>1.8</v>
      </c>
      <c r="G4611">
        <v>1.8</v>
      </c>
      <c r="H4611">
        <v>7642</v>
      </c>
      <c r="I4611">
        <v>4.31</v>
      </c>
      <c r="J4611" t="s">
        <v>14</v>
      </c>
      <c r="K4611" t="s">
        <v>17</v>
      </c>
    </row>
    <row r="4612" spans="1:11">
      <c r="A4612" t="str">
        <f>"688031"</f>
        <v>688031</v>
      </c>
      <c r="B4612" t="s">
        <v>4969</v>
      </c>
      <c r="C4612">
        <v>201.57</v>
      </c>
      <c r="D4612">
        <v>11.73</v>
      </c>
      <c r="E4612">
        <v>8.94</v>
      </c>
      <c r="F4612">
        <v>1.21</v>
      </c>
      <c r="G4612">
        <v>0.94</v>
      </c>
      <c r="H4612">
        <v>10794</v>
      </c>
      <c r="I4612">
        <v>29.05</v>
      </c>
      <c r="J4612" t="s">
        <v>14</v>
      </c>
      <c r="K4612" t="s">
        <v>117</v>
      </c>
    </row>
    <row r="4613" spans="1:11">
      <c r="A4613" t="str">
        <f>"688032"</f>
        <v>688032</v>
      </c>
      <c r="B4613" t="s">
        <v>4970</v>
      </c>
      <c r="C4613">
        <v>127.05</v>
      </c>
      <c r="D4613">
        <v>77.67</v>
      </c>
      <c r="E4613">
        <v>58.33</v>
      </c>
      <c r="F4613">
        <v>1.24</v>
      </c>
      <c r="G4613">
        <v>1.24</v>
      </c>
      <c r="H4613">
        <v>10225</v>
      </c>
      <c r="I4613">
        <v>2.18</v>
      </c>
      <c r="J4613" t="s">
        <v>14</v>
      </c>
      <c r="K4613" t="s">
        <v>2070</v>
      </c>
    </row>
    <row r="4614" spans="1:11">
      <c r="A4614" t="str">
        <f>"688033"</f>
        <v>688033</v>
      </c>
      <c r="B4614" t="s">
        <v>4971</v>
      </c>
      <c r="C4614">
        <v>46.33</v>
      </c>
      <c r="D4614">
        <v>58.37</v>
      </c>
      <c r="E4614">
        <v>32.97</v>
      </c>
      <c r="F4614">
        <v>5.62</v>
      </c>
      <c r="G4614">
        <v>5.62</v>
      </c>
      <c r="H4614">
        <v>18380</v>
      </c>
      <c r="I4614">
        <v>1.4</v>
      </c>
      <c r="J4614" t="s">
        <v>14</v>
      </c>
      <c r="K4614" t="s">
        <v>469</v>
      </c>
    </row>
    <row r="4615" spans="1:11">
      <c r="A4615" t="str">
        <f>"688035"</f>
        <v>688035</v>
      </c>
      <c r="B4615" t="s">
        <v>4972</v>
      </c>
      <c r="C4615">
        <v>71.58</v>
      </c>
      <c r="D4615">
        <v>31.96</v>
      </c>
      <c r="E4615">
        <v>23.15</v>
      </c>
      <c r="F4615">
        <v>1.42</v>
      </c>
      <c r="G4615">
        <v>1.42</v>
      </c>
      <c r="H4615">
        <v>11686</v>
      </c>
      <c r="I4615">
        <v>3.09</v>
      </c>
      <c r="J4615">
        <v>76.96</v>
      </c>
      <c r="K4615" t="s">
        <v>884</v>
      </c>
    </row>
    <row r="4616" spans="1:11">
      <c r="A4616" t="str">
        <f>"688036"</f>
        <v>688036</v>
      </c>
      <c r="B4616" t="s">
        <v>4973</v>
      </c>
      <c r="C4616">
        <v>789.14</v>
      </c>
      <c r="D4616">
        <v>480.81</v>
      </c>
      <c r="E4616">
        <v>201.34</v>
      </c>
      <c r="F4616">
        <v>11.51</v>
      </c>
      <c r="G4616">
        <v>11.51</v>
      </c>
      <c r="H4616">
        <v>25582</v>
      </c>
      <c r="I4616">
        <v>3.88</v>
      </c>
      <c r="J4616">
        <v>27.55</v>
      </c>
      <c r="K4616" t="s">
        <v>689</v>
      </c>
    </row>
    <row r="4617" spans="1:11">
      <c r="A4617" t="str">
        <f>"688037"</f>
        <v>688037</v>
      </c>
      <c r="B4617" t="s">
        <v>4974</v>
      </c>
      <c r="C4617">
        <v>381.08</v>
      </c>
      <c r="D4617">
        <v>62.59</v>
      </c>
      <c r="E4617">
        <v>27.06</v>
      </c>
      <c r="F4617">
        <v>2.02</v>
      </c>
      <c r="G4617">
        <v>2.02</v>
      </c>
      <c r="H4617">
        <v>15960</v>
      </c>
      <c r="I4617">
        <v>14.08</v>
      </c>
      <c r="J4617" t="s">
        <v>14</v>
      </c>
      <c r="K4617" t="s">
        <v>1160</v>
      </c>
    </row>
    <row r="4618" spans="1:11">
      <c r="A4618" t="str">
        <f>"688038"</f>
        <v>688038</v>
      </c>
      <c r="B4618" t="s">
        <v>4975</v>
      </c>
      <c r="C4618">
        <v>25.03</v>
      </c>
      <c r="D4618">
        <v>10.68</v>
      </c>
      <c r="E4618">
        <v>5.92</v>
      </c>
      <c r="F4618">
        <v>1.16</v>
      </c>
      <c r="G4618">
        <v>1.16</v>
      </c>
      <c r="H4618">
        <v>7536</v>
      </c>
      <c r="I4618">
        <v>4.23</v>
      </c>
      <c r="J4618" t="s">
        <v>14</v>
      </c>
      <c r="K4618" t="s">
        <v>17</v>
      </c>
    </row>
    <row r="4619" spans="1:11">
      <c r="A4619" t="str">
        <f>"688039"</f>
        <v>688039</v>
      </c>
      <c r="B4619" t="s">
        <v>4976</v>
      </c>
      <c r="C4619">
        <v>67.92</v>
      </c>
      <c r="D4619">
        <v>14.97</v>
      </c>
      <c r="E4619">
        <v>11.11</v>
      </c>
      <c r="F4619">
        <v>1.11</v>
      </c>
      <c r="G4619">
        <v>1.11</v>
      </c>
      <c r="H4619">
        <v>11260</v>
      </c>
      <c r="I4619">
        <v>6.11</v>
      </c>
      <c r="J4619" t="s">
        <v>14</v>
      </c>
      <c r="K4619" t="s">
        <v>117</v>
      </c>
    </row>
    <row r="4620" spans="1:11">
      <c r="A4620" t="str">
        <f>"688041"</f>
        <v>688041</v>
      </c>
      <c r="B4620" t="s">
        <v>4977</v>
      </c>
      <c r="C4620">
        <v>5845.71</v>
      </c>
      <c r="D4620">
        <v>331.82</v>
      </c>
      <c r="E4620">
        <v>218.97</v>
      </c>
      <c r="F4620">
        <v>23.24</v>
      </c>
      <c r="G4620">
        <v>23.24</v>
      </c>
      <c r="H4620">
        <v>127498</v>
      </c>
      <c r="I4620">
        <v>26.7</v>
      </c>
      <c r="J4620">
        <v>223.52</v>
      </c>
      <c r="K4620" t="s">
        <v>691</v>
      </c>
    </row>
    <row r="4621" spans="1:11">
      <c r="A4621" t="str">
        <f>"688045"</f>
        <v>688045</v>
      </c>
      <c r="B4621" t="s">
        <v>4978</v>
      </c>
      <c r="C4621">
        <v>29.54</v>
      </c>
      <c r="D4621">
        <v>14.49</v>
      </c>
      <c r="E4621">
        <v>13.83</v>
      </c>
      <c r="F4621">
        <v>0.7</v>
      </c>
      <c r="G4621">
        <v>0.7</v>
      </c>
      <c r="H4621">
        <v>6367</v>
      </c>
      <c r="I4621">
        <v>2.14</v>
      </c>
      <c r="J4621" t="s">
        <v>14</v>
      </c>
      <c r="K4621" t="s">
        <v>691</v>
      </c>
    </row>
    <row r="4622" spans="1:11">
      <c r="A4622" t="str">
        <f>"688046"</f>
        <v>688046</v>
      </c>
      <c r="B4622" t="s">
        <v>4979</v>
      </c>
      <c r="C4622">
        <v>76.79</v>
      </c>
      <c r="D4622">
        <v>28.3</v>
      </c>
      <c r="E4622">
        <v>22.01</v>
      </c>
      <c r="F4622">
        <v>4.1</v>
      </c>
      <c r="G4622">
        <v>4.1</v>
      </c>
      <c r="H4622">
        <v>6658</v>
      </c>
      <c r="I4622">
        <v>3.49</v>
      </c>
      <c r="J4622">
        <v>52.41</v>
      </c>
      <c r="K4622" t="s">
        <v>1595</v>
      </c>
    </row>
    <row r="4623" spans="1:11">
      <c r="A4623" t="str">
        <f>"688047"</f>
        <v>688047</v>
      </c>
      <c r="B4623" t="s">
        <v>4980</v>
      </c>
      <c r="C4623">
        <v>657.04</v>
      </c>
      <c r="D4623">
        <v>31.33</v>
      </c>
      <c r="E4623">
        <v>25.56</v>
      </c>
      <c r="F4623">
        <v>4.01</v>
      </c>
      <c r="G4623">
        <v>4.01</v>
      </c>
      <c r="H4623">
        <v>28232</v>
      </c>
      <c r="I4623">
        <v>25.71</v>
      </c>
      <c r="J4623" t="s">
        <v>14</v>
      </c>
      <c r="K4623" t="s">
        <v>691</v>
      </c>
    </row>
    <row r="4624" spans="1:11">
      <c r="A4624" t="str">
        <f>"688048"</f>
        <v>688048</v>
      </c>
      <c r="B4624" t="s">
        <v>4981</v>
      </c>
      <c r="C4624">
        <v>223.63</v>
      </c>
      <c r="D4624">
        <v>33.33</v>
      </c>
      <c r="E4624">
        <v>30.05</v>
      </c>
      <c r="F4624">
        <v>1.76</v>
      </c>
      <c r="G4624">
        <v>1.76</v>
      </c>
      <c r="H4624">
        <v>18200</v>
      </c>
      <c r="I4624">
        <v>7.44</v>
      </c>
      <c r="J4624">
        <v>800.87</v>
      </c>
      <c r="K4624" t="s">
        <v>2240</v>
      </c>
    </row>
    <row r="4625" spans="1:11">
      <c r="A4625" t="str">
        <f>"688049"</f>
        <v>688049</v>
      </c>
      <c r="B4625" t="s">
        <v>4982</v>
      </c>
      <c r="C4625">
        <v>100.79</v>
      </c>
      <c r="D4625">
        <v>23.13</v>
      </c>
      <c r="E4625">
        <v>19.79</v>
      </c>
      <c r="F4625">
        <v>1.75</v>
      </c>
      <c r="G4625">
        <v>1.75</v>
      </c>
      <c r="H4625">
        <v>20960</v>
      </c>
      <c r="I4625">
        <v>5.09</v>
      </c>
      <c r="J4625">
        <v>49.85</v>
      </c>
      <c r="K4625" t="s">
        <v>691</v>
      </c>
    </row>
    <row r="4626" spans="1:11">
      <c r="A4626" t="str">
        <f>"688050"</f>
        <v>688050</v>
      </c>
      <c r="B4626" t="s">
        <v>4983</v>
      </c>
      <c r="C4626">
        <v>124.94</v>
      </c>
      <c r="D4626">
        <v>39.03</v>
      </c>
      <c r="E4626">
        <v>28.11</v>
      </c>
      <c r="F4626">
        <v>1.93</v>
      </c>
      <c r="G4626">
        <v>1.93</v>
      </c>
      <c r="H4626">
        <v>17214</v>
      </c>
      <c r="I4626">
        <v>4.45</v>
      </c>
      <c r="J4626">
        <v>32.29</v>
      </c>
      <c r="K4626" t="s">
        <v>1173</v>
      </c>
    </row>
    <row r="4627" spans="1:11">
      <c r="A4627" t="str">
        <f>"688051"</f>
        <v>688051</v>
      </c>
      <c r="B4627" t="s">
        <v>4984</v>
      </c>
      <c r="C4627">
        <v>31.92</v>
      </c>
      <c r="D4627">
        <v>9.51</v>
      </c>
      <c r="E4627">
        <v>6.53</v>
      </c>
      <c r="F4627">
        <v>0.77</v>
      </c>
      <c r="G4627">
        <v>0.77</v>
      </c>
      <c r="H4627">
        <v>4397</v>
      </c>
      <c r="I4627">
        <v>4.89</v>
      </c>
      <c r="J4627" t="s">
        <v>14</v>
      </c>
      <c r="K4627" t="s">
        <v>117</v>
      </c>
    </row>
    <row r="4628" spans="1:11">
      <c r="A4628" t="str">
        <f>"688052"</f>
        <v>688052</v>
      </c>
      <c r="B4628" t="s">
        <v>4985</v>
      </c>
      <c r="C4628">
        <v>244.96</v>
      </c>
      <c r="D4628">
        <v>76.84</v>
      </c>
      <c r="E4628">
        <v>58.75</v>
      </c>
      <c r="F4628">
        <v>1.63</v>
      </c>
      <c r="G4628">
        <v>1.43</v>
      </c>
      <c r="H4628">
        <v>11215</v>
      </c>
      <c r="I4628">
        <v>4.17</v>
      </c>
      <c r="J4628" t="s">
        <v>14</v>
      </c>
      <c r="K4628" t="s">
        <v>691</v>
      </c>
    </row>
    <row r="4629" spans="1:11">
      <c r="A4629" t="str">
        <f>"688053"</f>
        <v>688053</v>
      </c>
      <c r="B4629" t="s">
        <v>4986</v>
      </c>
      <c r="C4629">
        <v>48.68</v>
      </c>
      <c r="D4629">
        <v>17.87</v>
      </c>
      <c r="E4629">
        <v>16.09</v>
      </c>
      <c r="F4629">
        <v>1</v>
      </c>
      <c r="G4629">
        <v>1</v>
      </c>
      <c r="H4629">
        <v>4787</v>
      </c>
      <c r="I4629">
        <v>3.03</v>
      </c>
      <c r="J4629">
        <v>4486.91</v>
      </c>
      <c r="K4629" t="s">
        <v>1733</v>
      </c>
    </row>
    <row r="4630" spans="1:11">
      <c r="A4630" t="str">
        <f>"688055"</f>
        <v>688055</v>
      </c>
      <c r="B4630" t="s">
        <v>4987</v>
      </c>
      <c r="C4630">
        <v>125</v>
      </c>
      <c r="D4630">
        <v>66.13</v>
      </c>
      <c r="E4630">
        <v>41.08</v>
      </c>
      <c r="F4630">
        <v>33.33</v>
      </c>
      <c r="G4630">
        <v>33.33</v>
      </c>
      <c r="H4630">
        <v>19854</v>
      </c>
      <c r="I4630">
        <v>3.04</v>
      </c>
      <c r="J4630" t="s">
        <v>14</v>
      </c>
      <c r="K4630" t="s">
        <v>39</v>
      </c>
    </row>
    <row r="4631" spans="1:11">
      <c r="A4631" t="str">
        <f>"688056"</f>
        <v>688056</v>
      </c>
      <c r="B4631" t="s">
        <v>4988</v>
      </c>
      <c r="C4631">
        <v>24.18</v>
      </c>
      <c r="D4631">
        <v>9.09</v>
      </c>
      <c r="E4631">
        <v>8.04</v>
      </c>
      <c r="F4631">
        <v>0.67</v>
      </c>
      <c r="G4631">
        <v>0.67</v>
      </c>
      <c r="H4631">
        <v>3181</v>
      </c>
      <c r="I4631">
        <v>3.01</v>
      </c>
      <c r="J4631">
        <v>55.72</v>
      </c>
      <c r="K4631" t="s">
        <v>952</v>
      </c>
    </row>
    <row r="4632" spans="1:11">
      <c r="A4632" t="str">
        <f>"688057"</f>
        <v>688057</v>
      </c>
      <c r="B4632" t="s">
        <v>4989</v>
      </c>
      <c r="C4632">
        <v>35.02</v>
      </c>
      <c r="D4632">
        <v>35.5</v>
      </c>
      <c r="E4632">
        <v>31.54</v>
      </c>
      <c r="F4632">
        <v>2.76</v>
      </c>
      <c r="G4632">
        <v>2.76</v>
      </c>
      <c r="H4632">
        <v>11318</v>
      </c>
      <c r="I4632">
        <v>1.11</v>
      </c>
      <c r="J4632">
        <v>34.81</v>
      </c>
      <c r="K4632" t="s">
        <v>90</v>
      </c>
    </row>
    <row r="4633" spans="1:11">
      <c r="A4633" t="str">
        <f>"688058"</f>
        <v>688058</v>
      </c>
      <c r="B4633" t="s">
        <v>4990</v>
      </c>
      <c r="C4633">
        <v>24.19</v>
      </c>
      <c r="D4633">
        <v>6.89</v>
      </c>
      <c r="E4633">
        <v>6.37</v>
      </c>
      <c r="F4633">
        <v>0.76</v>
      </c>
      <c r="G4633">
        <v>0.76</v>
      </c>
      <c r="H4633">
        <v>5509</v>
      </c>
      <c r="I4633">
        <v>3.9</v>
      </c>
      <c r="J4633" t="s">
        <v>14</v>
      </c>
      <c r="K4633" t="s">
        <v>17</v>
      </c>
    </row>
    <row r="4634" spans="1:11">
      <c r="A4634" t="str">
        <f>"688059"</f>
        <v>688059</v>
      </c>
      <c r="B4634" t="s">
        <v>4991</v>
      </c>
      <c r="C4634">
        <v>75.55</v>
      </c>
      <c r="D4634">
        <v>27.52</v>
      </c>
      <c r="E4634">
        <v>14.32</v>
      </c>
      <c r="F4634">
        <v>0.94</v>
      </c>
      <c r="G4634">
        <v>0.87</v>
      </c>
      <c r="H4634">
        <v>5663</v>
      </c>
      <c r="I4634">
        <v>5.7</v>
      </c>
      <c r="J4634">
        <v>44.26</v>
      </c>
      <c r="K4634" t="s">
        <v>63</v>
      </c>
    </row>
    <row r="4635" spans="1:11">
      <c r="A4635" t="str">
        <f>"688060"</f>
        <v>688060</v>
      </c>
      <c r="B4635" t="s">
        <v>4992</v>
      </c>
      <c r="C4635">
        <v>27.95</v>
      </c>
      <c r="D4635">
        <v>9.9</v>
      </c>
      <c r="E4635">
        <v>9.01</v>
      </c>
      <c r="F4635">
        <v>0.6</v>
      </c>
      <c r="G4635">
        <v>0.6</v>
      </c>
      <c r="H4635">
        <v>5356</v>
      </c>
      <c r="I4635">
        <v>3.1</v>
      </c>
      <c r="J4635" t="s">
        <v>14</v>
      </c>
      <c r="K4635" t="s">
        <v>88</v>
      </c>
    </row>
    <row r="4636" spans="1:11">
      <c r="A4636" t="str">
        <f>"688061"</f>
        <v>688061</v>
      </c>
      <c r="B4636" t="s">
        <v>4993</v>
      </c>
      <c r="C4636">
        <v>15.96</v>
      </c>
      <c r="D4636">
        <v>27.68</v>
      </c>
      <c r="E4636">
        <v>23.81</v>
      </c>
      <c r="F4636">
        <v>1.15</v>
      </c>
      <c r="G4636">
        <v>0.45</v>
      </c>
      <c r="H4636">
        <v>8997</v>
      </c>
      <c r="I4636">
        <v>1.71</v>
      </c>
      <c r="J4636" t="s">
        <v>14</v>
      </c>
      <c r="K4636" t="s">
        <v>691</v>
      </c>
    </row>
    <row r="4637" spans="1:11">
      <c r="A4637" t="str">
        <f>"688062"</f>
        <v>688062</v>
      </c>
      <c r="B4637" t="s">
        <v>4994</v>
      </c>
      <c r="C4637">
        <v>86.98</v>
      </c>
      <c r="D4637">
        <v>45.27</v>
      </c>
      <c r="E4637">
        <v>7.61</v>
      </c>
      <c r="F4637">
        <v>4</v>
      </c>
      <c r="G4637">
        <v>2.04</v>
      </c>
      <c r="H4637">
        <v>19583</v>
      </c>
      <c r="I4637">
        <v>22.36</v>
      </c>
      <c r="J4637" t="s">
        <v>14</v>
      </c>
      <c r="K4637" t="s">
        <v>210</v>
      </c>
    </row>
    <row r="4638" spans="1:11">
      <c r="A4638" t="str">
        <f>"688063"</f>
        <v>688063</v>
      </c>
      <c r="B4638" t="s">
        <v>4995</v>
      </c>
      <c r="C4638">
        <v>150.41</v>
      </c>
      <c r="D4638">
        <v>127.82</v>
      </c>
      <c r="E4638">
        <v>91.45</v>
      </c>
      <c r="F4638">
        <v>2.45</v>
      </c>
      <c r="G4638">
        <v>2.45</v>
      </c>
      <c r="H4638">
        <v>26461</v>
      </c>
      <c r="I4638">
        <v>1.64</v>
      </c>
      <c r="J4638">
        <v>235.74</v>
      </c>
      <c r="K4638" t="s">
        <v>70</v>
      </c>
    </row>
    <row r="4639" spans="1:11">
      <c r="A4639" t="str">
        <f>"688065"</f>
        <v>688065</v>
      </c>
      <c r="B4639" t="s">
        <v>4996</v>
      </c>
      <c r="C4639">
        <v>348.69</v>
      </c>
      <c r="D4639">
        <v>234.45</v>
      </c>
      <c r="E4639">
        <v>175.98</v>
      </c>
      <c r="F4639">
        <v>7.21</v>
      </c>
      <c r="G4639">
        <v>5.83</v>
      </c>
      <c r="H4639">
        <v>14994</v>
      </c>
      <c r="I4639">
        <v>2.45</v>
      </c>
      <c r="J4639">
        <v>71.75</v>
      </c>
      <c r="K4639" t="s">
        <v>1201</v>
      </c>
    </row>
    <row r="4640" spans="1:11">
      <c r="A4640" t="str">
        <f>"688066"</f>
        <v>688066</v>
      </c>
      <c r="B4640" t="s">
        <v>4997</v>
      </c>
      <c r="C4640">
        <v>116.27</v>
      </c>
      <c r="D4640">
        <v>45.16</v>
      </c>
      <c r="E4640">
        <v>5.1</v>
      </c>
      <c r="F4640">
        <v>2.61</v>
      </c>
      <c r="G4640">
        <v>2.61</v>
      </c>
      <c r="H4640">
        <v>20354</v>
      </c>
      <c r="I4640">
        <v>27.74</v>
      </c>
      <c r="J4640" t="s">
        <v>14</v>
      </c>
      <c r="K4640" t="s">
        <v>117</v>
      </c>
    </row>
    <row r="4641" spans="1:11">
      <c r="A4641" t="str">
        <f>"688067"</f>
        <v>688067</v>
      </c>
      <c r="B4641" t="s">
        <v>4998</v>
      </c>
      <c r="C4641">
        <v>18.36</v>
      </c>
      <c r="D4641">
        <v>6.11</v>
      </c>
      <c r="E4641">
        <v>5.18</v>
      </c>
      <c r="F4641">
        <v>0.68</v>
      </c>
      <c r="G4641">
        <v>0.68</v>
      </c>
      <c r="H4641">
        <v>4350</v>
      </c>
      <c r="I4641">
        <v>3.54</v>
      </c>
      <c r="J4641">
        <v>47.1</v>
      </c>
      <c r="K4641" t="s">
        <v>2179</v>
      </c>
    </row>
    <row r="4642" spans="1:11">
      <c r="A4642" t="str">
        <f>"688068"</f>
        <v>688068</v>
      </c>
      <c r="B4642" t="s">
        <v>4999</v>
      </c>
      <c r="C4642">
        <v>175.2</v>
      </c>
      <c r="D4642">
        <v>32.08</v>
      </c>
      <c r="E4642">
        <v>29.33</v>
      </c>
      <c r="F4642">
        <v>0.93</v>
      </c>
      <c r="G4642">
        <v>0.93</v>
      </c>
      <c r="H4642">
        <v>7833</v>
      </c>
      <c r="I4642">
        <v>5.97</v>
      </c>
      <c r="J4642" t="s">
        <v>14</v>
      </c>
      <c r="K4642" t="s">
        <v>775</v>
      </c>
    </row>
    <row r="4643" spans="1:11">
      <c r="A4643" t="str">
        <f>"688069"</f>
        <v>688069</v>
      </c>
      <c r="B4643" t="s">
        <v>5000</v>
      </c>
      <c r="C4643">
        <v>26.41</v>
      </c>
      <c r="D4643">
        <v>16.36</v>
      </c>
      <c r="E4643">
        <v>12.44</v>
      </c>
      <c r="F4643">
        <v>1.13</v>
      </c>
      <c r="G4643">
        <v>1.13</v>
      </c>
      <c r="H4643">
        <v>3529</v>
      </c>
      <c r="I4643">
        <v>2.12</v>
      </c>
      <c r="J4643">
        <v>43.39</v>
      </c>
      <c r="K4643" t="s">
        <v>370</v>
      </c>
    </row>
    <row r="4644" spans="1:11">
      <c r="A4644" t="str">
        <f>"688070"</f>
        <v>688070</v>
      </c>
      <c r="B4644" t="s">
        <v>5001</v>
      </c>
      <c r="C4644">
        <v>52.97</v>
      </c>
      <c r="D4644">
        <v>10.1</v>
      </c>
      <c r="E4644">
        <v>6.02</v>
      </c>
      <c r="F4644">
        <v>0.88</v>
      </c>
      <c r="G4644">
        <v>0.88</v>
      </c>
      <c r="H4644">
        <v>4933</v>
      </c>
      <c r="I4644">
        <v>8.8</v>
      </c>
      <c r="J4644" t="s">
        <v>14</v>
      </c>
      <c r="K4644" t="s">
        <v>353</v>
      </c>
    </row>
    <row r="4645" spans="1:11">
      <c r="A4645" t="str">
        <f>"688071"</f>
        <v>688071</v>
      </c>
      <c r="B4645" t="s">
        <v>5002</v>
      </c>
      <c r="C4645">
        <v>29.7</v>
      </c>
      <c r="D4645">
        <v>22.96</v>
      </c>
      <c r="E4645">
        <v>10.59</v>
      </c>
      <c r="F4645">
        <v>0.85</v>
      </c>
      <c r="G4645">
        <v>0.85</v>
      </c>
      <c r="H4645">
        <v>6003</v>
      </c>
      <c r="I4645">
        <v>2.81</v>
      </c>
      <c r="J4645" t="s">
        <v>14</v>
      </c>
      <c r="K4645" t="s">
        <v>493</v>
      </c>
    </row>
    <row r="4646" spans="1:11">
      <c r="A4646" t="str">
        <f>"688072"</f>
        <v>688072</v>
      </c>
      <c r="B4646" t="s">
        <v>5003</v>
      </c>
      <c r="C4646">
        <v>1022.9</v>
      </c>
      <c r="D4646">
        <v>189.07</v>
      </c>
      <c r="E4646">
        <v>60.97</v>
      </c>
      <c r="F4646">
        <v>2.81</v>
      </c>
      <c r="G4646">
        <v>2.81</v>
      </c>
      <c r="H4646">
        <v>25220</v>
      </c>
      <c r="I4646">
        <v>16.78</v>
      </c>
      <c r="J4646">
        <v>137.86</v>
      </c>
      <c r="K4646" t="s">
        <v>1160</v>
      </c>
    </row>
    <row r="4647" spans="1:11">
      <c r="A4647" t="str">
        <f>"688073"</f>
        <v>688073</v>
      </c>
      <c r="B4647" t="s">
        <v>5004</v>
      </c>
      <c r="C4647">
        <v>32.01</v>
      </c>
      <c r="D4647">
        <v>25.63</v>
      </c>
      <c r="E4647">
        <v>20.02</v>
      </c>
      <c r="F4647">
        <v>0.91</v>
      </c>
      <c r="G4647">
        <v>0.43</v>
      </c>
      <c r="H4647">
        <v>3493</v>
      </c>
      <c r="I4647">
        <v>3.36</v>
      </c>
      <c r="J4647">
        <v>42.14</v>
      </c>
      <c r="K4647" t="s">
        <v>1595</v>
      </c>
    </row>
    <row r="4648" spans="1:11">
      <c r="A4648" t="str">
        <f>"688075"</f>
        <v>688075</v>
      </c>
      <c r="B4648" t="s">
        <v>5005</v>
      </c>
      <c r="C4648">
        <v>51.51</v>
      </c>
      <c r="D4648">
        <v>56.44</v>
      </c>
      <c r="E4648">
        <v>51.63</v>
      </c>
      <c r="F4648">
        <v>1.27</v>
      </c>
      <c r="G4648">
        <v>1.27</v>
      </c>
      <c r="H4648">
        <v>6090</v>
      </c>
      <c r="I4648">
        <v>1</v>
      </c>
      <c r="J4648">
        <v>60.02</v>
      </c>
      <c r="K4648" t="s">
        <v>775</v>
      </c>
    </row>
    <row r="4649" spans="1:11">
      <c r="A4649" t="str">
        <f>"688076"</f>
        <v>688076</v>
      </c>
      <c r="B4649" t="s">
        <v>5006</v>
      </c>
      <c r="C4649">
        <v>122.22</v>
      </c>
      <c r="D4649">
        <v>66.9</v>
      </c>
      <c r="E4649">
        <v>31.09</v>
      </c>
      <c r="F4649">
        <v>3.16</v>
      </c>
      <c r="G4649">
        <v>3.16</v>
      </c>
      <c r="H4649">
        <v>15710</v>
      </c>
      <c r="I4649">
        <v>3.93</v>
      </c>
      <c r="J4649">
        <v>20.62</v>
      </c>
      <c r="K4649" t="s">
        <v>1595</v>
      </c>
    </row>
    <row r="4650" spans="1:11">
      <c r="A4650" t="str">
        <f>"688077"</f>
        <v>688077</v>
      </c>
      <c r="B4650" t="s">
        <v>5007</v>
      </c>
      <c r="C4650">
        <v>37.84</v>
      </c>
      <c r="D4650">
        <v>27.42</v>
      </c>
      <c r="E4650">
        <v>10.86</v>
      </c>
      <c r="F4650">
        <v>1.14</v>
      </c>
      <c r="G4650">
        <v>1.14</v>
      </c>
      <c r="H4650">
        <v>11006</v>
      </c>
      <c r="I4650">
        <v>3.48</v>
      </c>
      <c r="J4650">
        <v>65.71</v>
      </c>
      <c r="K4650" t="s">
        <v>442</v>
      </c>
    </row>
    <row r="4651" spans="1:11">
      <c r="A4651" t="str">
        <f>"688078"</f>
        <v>688078</v>
      </c>
      <c r="B4651" t="s">
        <v>5008</v>
      </c>
      <c r="C4651">
        <v>22.34</v>
      </c>
      <c r="D4651">
        <v>8.64</v>
      </c>
      <c r="E4651">
        <v>7.18</v>
      </c>
      <c r="F4651">
        <v>0.73</v>
      </c>
      <c r="G4651">
        <v>0.73</v>
      </c>
      <c r="H4651">
        <v>5972</v>
      </c>
      <c r="I4651">
        <v>3.11</v>
      </c>
      <c r="J4651" t="s">
        <v>14</v>
      </c>
      <c r="K4651" t="s">
        <v>117</v>
      </c>
    </row>
    <row r="4652" spans="1:11">
      <c r="A4652" t="str">
        <f>"688079"</f>
        <v>688079</v>
      </c>
      <c r="B4652" t="s">
        <v>5009</v>
      </c>
      <c r="C4652">
        <v>49.5</v>
      </c>
      <c r="D4652">
        <v>32.64</v>
      </c>
      <c r="E4652">
        <v>13.06</v>
      </c>
      <c r="F4652">
        <v>4.11</v>
      </c>
      <c r="G4652">
        <v>4.04</v>
      </c>
      <c r="H4652">
        <v>10757</v>
      </c>
      <c r="I4652">
        <v>3.84</v>
      </c>
      <c r="J4652" t="s">
        <v>14</v>
      </c>
      <c r="K4652" t="s">
        <v>66</v>
      </c>
    </row>
    <row r="4653" spans="1:11">
      <c r="A4653" t="str">
        <f>"688080"</f>
        <v>688080</v>
      </c>
      <c r="B4653" t="s">
        <v>5010</v>
      </c>
      <c r="C4653">
        <v>50.92</v>
      </c>
      <c r="D4653">
        <v>13.59</v>
      </c>
      <c r="E4653">
        <v>11.23</v>
      </c>
      <c r="F4653">
        <v>0.74</v>
      </c>
      <c r="G4653">
        <v>0.74</v>
      </c>
      <c r="H4653">
        <v>9819</v>
      </c>
      <c r="I4653">
        <v>4.54</v>
      </c>
      <c r="J4653">
        <v>37.24</v>
      </c>
      <c r="K4653" t="s">
        <v>933</v>
      </c>
    </row>
    <row r="4654" spans="1:11">
      <c r="A4654" t="str">
        <f>"688081"</f>
        <v>688081</v>
      </c>
      <c r="B4654" t="s">
        <v>5011</v>
      </c>
      <c r="C4654">
        <v>40.19</v>
      </c>
      <c r="D4654">
        <v>5.54</v>
      </c>
      <c r="E4654">
        <v>3.91</v>
      </c>
      <c r="F4654">
        <v>1.03</v>
      </c>
      <c r="G4654">
        <v>1.03</v>
      </c>
      <c r="H4654">
        <v>6426</v>
      </c>
      <c r="I4654">
        <v>10.27</v>
      </c>
      <c r="J4654" t="s">
        <v>14</v>
      </c>
      <c r="K4654" t="s">
        <v>223</v>
      </c>
    </row>
    <row r="4655" spans="1:11">
      <c r="A4655" t="str">
        <f>"688082"</f>
        <v>688082</v>
      </c>
      <c r="B4655" t="s">
        <v>5012</v>
      </c>
      <c r="C4655">
        <v>849.2</v>
      </c>
      <c r="D4655">
        <v>182.13</v>
      </c>
      <c r="E4655">
        <v>132.79</v>
      </c>
      <c r="F4655">
        <v>4.8</v>
      </c>
      <c r="G4655">
        <v>4.36</v>
      </c>
      <c r="H4655">
        <v>21699</v>
      </c>
      <c r="I4655">
        <v>7.03</v>
      </c>
      <c r="J4655">
        <v>55.35</v>
      </c>
      <c r="K4655" t="s">
        <v>1160</v>
      </c>
    </row>
    <row r="4656" spans="1:11">
      <c r="A4656" t="str">
        <f>"688083"</f>
        <v>688083</v>
      </c>
      <c r="B4656" t="s">
        <v>5013</v>
      </c>
      <c r="C4656">
        <v>134.67</v>
      </c>
      <c r="D4656">
        <v>31.69</v>
      </c>
      <c r="E4656">
        <v>25.94</v>
      </c>
      <c r="F4656">
        <v>1.7</v>
      </c>
      <c r="G4656">
        <v>1.7</v>
      </c>
      <c r="H4656">
        <v>10319</v>
      </c>
      <c r="I4656">
        <v>5.19</v>
      </c>
      <c r="J4656" t="s">
        <v>14</v>
      </c>
      <c r="K4656" t="s">
        <v>117</v>
      </c>
    </row>
    <row r="4657" spans="1:11">
      <c r="A4657" t="str">
        <f>"688084"</f>
        <v>688084</v>
      </c>
      <c r="B4657" t="s">
        <v>5014</v>
      </c>
      <c r="C4657">
        <v>70.23</v>
      </c>
      <c r="D4657">
        <v>18.46</v>
      </c>
      <c r="E4657">
        <v>15.68</v>
      </c>
      <c r="F4657">
        <v>0.76</v>
      </c>
      <c r="G4657">
        <v>0.74</v>
      </c>
      <c r="H4657">
        <v>5677</v>
      </c>
      <c r="I4657">
        <v>4.57</v>
      </c>
      <c r="J4657">
        <v>494.18</v>
      </c>
      <c r="K4657" t="s">
        <v>186</v>
      </c>
    </row>
    <row r="4658" spans="1:11">
      <c r="A4658" t="str">
        <f>"688085"</f>
        <v>688085</v>
      </c>
      <c r="B4658" t="s">
        <v>5015</v>
      </c>
      <c r="C4658">
        <v>69.97</v>
      </c>
      <c r="D4658">
        <v>23.44</v>
      </c>
      <c r="E4658">
        <v>20.75</v>
      </c>
      <c r="F4658">
        <v>3.33</v>
      </c>
      <c r="G4658">
        <v>3.14</v>
      </c>
      <c r="H4658">
        <v>9481</v>
      </c>
      <c r="I4658">
        <v>3.58</v>
      </c>
      <c r="J4658">
        <v>89.98</v>
      </c>
      <c r="K4658" t="s">
        <v>1173</v>
      </c>
    </row>
    <row r="4659" spans="1:11">
      <c r="A4659" t="str">
        <f>"688087"</f>
        <v>688087</v>
      </c>
      <c r="B4659" t="s">
        <v>5016</v>
      </c>
      <c r="C4659">
        <v>58.05</v>
      </c>
      <c r="D4659">
        <v>70.4</v>
      </c>
      <c r="E4659">
        <v>27.44</v>
      </c>
      <c r="F4659">
        <v>1.94</v>
      </c>
      <c r="G4659">
        <v>1.86</v>
      </c>
      <c r="H4659">
        <v>7443</v>
      </c>
      <c r="I4659">
        <v>2.2</v>
      </c>
      <c r="J4659">
        <v>20.05</v>
      </c>
      <c r="K4659" t="s">
        <v>59</v>
      </c>
    </row>
    <row r="4660" spans="1:11">
      <c r="A4660" t="str">
        <f>"688088"</f>
        <v>688088</v>
      </c>
      <c r="B4660" t="s">
        <v>5017</v>
      </c>
      <c r="C4660">
        <v>235.13</v>
      </c>
      <c r="D4660">
        <v>30.28</v>
      </c>
      <c r="E4660">
        <v>26.63</v>
      </c>
      <c r="F4660">
        <v>4.01</v>
      </c>
      <c r="G4660">
        <v>4.01</v>
      </c>
      <c r="H4660">
        <v>22906</v>
      </c>
      <c r="I4660">
        <v>8.83</v>
      </c>
      <c r="J4660">
        <v>124.43</v>
      </c>
      <c r="K4660" t="s">
        <v>1014</v>
      </c>
    </row>
    <row r="4661" spans="1:11">
      <c r="A4661" t="str">
        <f>"688089"</f>
        <v>688089</v>
      </c>
      <c r="B4661" t="s">
        <v>5018</v>
      </c>
      <c r="C4661">
        <v>34.12</v>
      </c>
      <c r="D4661">
        <v>18.23</v>
      </c>
      <c r="E4661">
        <v>16.28</v>
      </c>
      <c r="F4661">
        <v>1.68</v>
      </c>
      <c r="G4661">
        <v>1.68</v>
      </c>
      <c r="H4661">
        <v>8362</v>
      </c>
      <c r="I4661">
        <v>2.1</v>
      </c>
      <c r="J4661">
        <v>19.78</v>
      </c>
      <c r="K4661" t="s">
        <v>752</v>
      </c>
    </row>
    <row r="4662" spans="1:11">
      <c r="A4662" t="str">
        <f>"688090"</f>
        <v>688090</v>
      </c>
      <c r="B4662" t="s">
        <v>5019</v>
      </c>
      <c r="C4662">
        <v>60.73</v>
      </c>
      <c r="D4662">
        <v>16.92</v>
      </c>
      <c r="E4662">
        <v>8.88</v>
      </c>
      <c r="F4662">
        <v>1.22</v>
      </c>
      <c r="G4662">
        <v>1.22</v>
      </c>
      <c r="H4662">
        <v>6606</v>
      </c>
      <c r="I4662">
        <v>6.86</v>
      </c>
      <c r="J4662" t="s">
        <v>14</v>
      </c>
      <c r="K4662" t="s">
        <v>1527</v>
      </c>
    </row>
    <row r="4663" spans="1:11">
      <c r="A4663" t="str">
        <f>"688091"</f>
        <v>688091</v>
      </c>
      <c r="B4663" t="s">
        <v>5020</v>
      </c>
      <c r="C4663">
        <v>129</v>
      </c>
      <c r="D4663">
        <v>15.44</v>
      </c>
      <c r="E4663">
        <v>14.61</v>
      </c>
      <c r="F4663">
        <v>2.07</v>
      </c>
      <c r="G4663">
        <v>2.07</v>
      </c>
      <c r="H4663">
        <v>8053</v>
      </c>
      <c r="I4663">
        <v>8.83</v>
      </c>
      <c r="J4663">
        <v>190.99</v>
      </c>
      <c r="K4663" t="s">
        <v>109</v>
      </c>
    </row>
    <row r="4664" spans="1:11">
      <c r="A4664" t="str">
        <f>"688092"</f>
        <v>688092</v>
      </c>
      <c r="B4664" t="s">
        <v>5021</v>
      </c>
      <c r="C4664">
        <v>23.35</v>
      </c>
      <c r="D4664">
        <v>8.3</v>
      </c>
      <c r="E4664">
        <v>6.49</v>
      </c>
      <c r="F4664">
        <v>0.83</v>
      </c>
      <c r="G4664">
        <v>0.83</v>
      </c>
      <c r="H4664">
        <v>4553</v>
      </c>
      <c r="I4664">
        <v>3.6</v>
      </c>
      <c r="J4664">
        <v>47.03</v>
      </c>
      <c r="K4664" t="s">
        <v>493</v>
      </c>
    </row>
    <row r="4665" spans="1:11">
      <c r="A4665" t="str">
        <f>"688093"</f>
        <v>688093</v>
      </c>
      <c r="B4665" t="s">
        <v>5022</v>
      </c>
      <c r="C4665">
        <v>96.65</v>
      </c>
      <c r="D4665">
        <v>29.78</v>
      </c>
      <c r="E4665">
        <v>28.24</v>
      </c>
      <c r="F4665">
        <v>2.8</v>
      </c>
      <c r="G4665">
        <v>2.63</v>
      </c>
      <c r="H4665">
        <v>9936</v>
      </c>
      <c r="I4665">
        <v>3.65</v>
      </c>
      <c r="J4665">
        <v>24.46</v>
      </c>
      <c r="K4665" t="s">
        <v>82</v>
      </c>
    </row>
    <row r="4666" spans="1:11">
      <c r="A4666" t="str">
        <f>"688095"</f>
        <v>688095</v>
      </c>
      <c r="B4666" t="s">
        <v>5023</v>
      </c>
      <c r="C4666">
        <v>114.2</v>
      </c>
      <c r="D4666">
        <v>37.16</v>
      </c>
      <c r="E4666">
        <v>25.31</v>
      </c>
      <c r="F4666">
        <v>0.91</v>
      </c>
      <c r="G4666">
        <v>0.91</v>
      </c>
      <c r="H4666">
        <v>8672</v>
      </c>
      <c r="I4666">
        <v>4.52</v>
      </c>
      <c r="J4666">
        <v>6096.05</v>
      </c>
      <c r="K4666" t="s">
        <v>17</v>
      </c>
    </row>
    <row r="4667" spans="1:11">
      <c r="A4667" t="str">
        <f>"688096"</f>
        <v>688096</v>
      </c>
      <c r="B4667" t="s">
        <v>5024</v>
      </c>
      <c r="C4667">
        <v>20.72</v>
      </c>
      <c r="D4667">
        <v>19.27</v>
      </c>
      <c r="E4667">
        <v>9.2</v>
      </c>
      <c r="F4667">
        <v>2.36</v>
      </c>
      <c r="G4667">
        <v>2.36</v>
      </c>
      <c r="H4667">
        <v>6732</v>
      </c>
      <c r="I4667">
        <v>2.31</v>
      </c>
      <c r="J4667" t="s">
        <v>14</v>
      </c>
      <c r="K4667" t="s">
        <v>90</v>
      </c>
    </row>
    <row r="4668" spans="1:11">
      <c r="A4668" t="str">
        <f>"688097"</f>
        <v>688097</v>
      </c>
      <c r="B4668" t="s">
        <v>5025</v>
      </c>
      <c r="C4668">
        <v>172.17</v>
      </c>
      <c r="D4668">
        <v>121.01</v>
      </c>
      <c r="E4668">
        <v>47.45</v>
      </c>
      <c r="F4668">
        <v>4.47</v>
      </c>
      <c r="G4668">
        <v>4.45</v>
      </c>
      <c r="H4668">
        <v>10941</v>
      </c>
      <c r="I4668">
        <v>3.64</v>
      </c>
      <c r="J4668">
        <v>38.99</v>
      </c>
      <c r="K4668" t="s">
        <v>663</v>
      </c>
    </row>
    <row r="4669" spans="1:11">
      <c r="A4669" t="str">
        <f>"688098"</f>
        <v>688098</v>
      </c>
      <c r="B4669" t="s">
        <v>5026</v>
      </c>
      <c r="C4669">
        <v>40.24</v>
      </c>
      <c r="D4669">
        <v>15.6</v>
      </c>
      <c r="E4669">
        <v>14.1</v>
      </c>
      <c r="F4669">
        <v>4.11</v>
      </c>
      <c r="G4669">
        <v>4.11</v>
      </c>
      <c r="H4669">
        <v>12388</v>
      </c>
      <c r="I4669">
        <v>2.85</v>
      </c>
      <c r="J4669">
        <v>10856.95</v>
      </c>
      <c r="K4669" t="s">
        <v>912</v>
      </c>
    </row>
    <row r="4670" spans="1:11">
      <c r="A4670" t="str">
        <f>"688099"</f>
        <v>688099</v>
      </c>
      <c r="B4670" t="s">
        <v>5027</v>
      </c>
      <c r="C4670">
        <v>395.85</v>
      </c>
      <c r="D4670">
        <v>83.45</v>
      </c>
      <c r="E4670">
        <v>71.72</v>
      </c>
      <c r="F4670">
        <v>4.21</v>
      </c>
      <c r="G4670">
        <v>4.21</v>
      </c>
      <c r="H4670">
        <v>21932</v>
      </c>
      <c r="I4670">
        <v>5.52</v>
      </c>
      <c r="J4670">
        <v>42.55</v>
      </c>
      <c r="K4670" t="s">
        <v>691</v>
      </c>
    </row>
    <row r="4671" spans="1:11">
      <c r="A4671" t="str">
        <f>"688100"</f>
        <v>688100</v>
      </c>
      <c r="B4671" t="s">
        <v>5028</v>
      </c>
      <c r="C4671">
        <v>195.35</v>
      </c>
      <c r="D4671">
        <v>54.63</v>
      </c>
      <c r="E4671">
        <v>33.42</v>
      </c>
      <c r="F4671">
        <v>4.92</v>
      </c>
      <c r="G4671">
        <v>4.92</v>
      </c>
      <c r="H4671">
        <v>10767</v>
      </c>
      <c r="I4671">
        <v>5.85</v>
      </c>
      <c r="J4671">
        <v>30.9</v>
      </c>
      <c r="K4671" t="s">
        <v>770</v>
      </c>
    </row>
    <row r="4672" spans="1:11">
      <c r="A4672" t="str">
        <f>"688101"</f>
        <v>688101</v>
      </c>
      <c r="B4672" t="s">
        <v>5029</v>
      </c>
      <c r="C4672">
        <v>58.07</v>
      </c>
      <c r="D4672">
        <v>61.8</v>
      </c>
      <c r="E4672">
        <v>43.47</v>
      </c>
      <c r="F4672">
        <v>3.32</v>
      </c>
      <c r="G4672">
        <v>3.32</v>
      </c>
      <c r="H4672">
        <v>12067</v>
      </c>
      <c r="I4672">
        <v>1.34</v>
      </c>
      <c r="J4672">
        <v>14.62</v>
      </c>
      <c r="K4672" t="s">
        <v>90</v>
      </c>
    </row>
    <row r="4673" spans="1:11">
      <c r="A4673" t="str">
        <f>"688102"</f>
        <v>688102</v>
      </c>
      <c r="B4673" t="s">
        <v>5030</v>
      </c>
      <c r="C4673">
        <v>341.88</v>
      </c>
      <c r="D4673">
        <v>31.3</v>
      </c>
      <c r="E4673">
        <v>18.12</v>
      </c>
      <c r="F4673">
        <v>7.75</v>
      </c>
      <c r="G4673">
        <v>7.33</v>
      </c>
      <c r="H4673">
        <v>13775</v>
      </c>
      <c r="I4673">
        <v>18.83</v>
      </c>
      <c r="J4673">
        <v>251.38</v>
      </c>
      <c r="K4673" t="s">
        <v>303</v>
      </c>
    </row>
    <row r="4674" spans="1:11">
      <c r="A4674" t="str">
        <f>"688103"</f>
        <v>688103</v>
      </c>
      <c r="B4674" t="s">
        <v>5031</v>
      </c>
      <c r="C4674">
        <v>63.38</v>
      </c>
      <c r="D4674">
        <v>25.5</v>
      </c>
      <c r="E4674">
        <v>11.46</v>
      </c>
      <c r="F4674">
        <v>0.95</v>
      </c>
      <c r="G4674">
        <v>0.95</v>
      </c>
      <c r="H4674">
        <v>5441</v>
      </c>
      <c r="I4674">
        <v>5.64</v>
      </c>
      <c r="J4674">
        <v>85.32</v>
      </c>
      <c r="K4674" t="s">
        <v>82</v>
      </c>
    </row>
    <row r="4675" spans="1:11">
      <c r="A4675" t="str">
        <f>"688105"</f>
        <v>688105</v>
      </c>
      <c r="B4675" t="s">
        <v>5032</v>
      </c>
      <c r="C4675">
        <v>91.04</v>
      </c>
      <c r="D4675">
        <v>50.06</v>
      </c>
      <c r="E4675">
        <v>38.44</v>
      </c>
      <c r="F4675">
        <v>3.98</v>
      </c>
      <c r="G4675">
        <v>3.98</v>
      </c>
      <c r="H4675">
        <v>9447</v>
      </c>
      <c r="I4675">
        <v>2.37</v>
      </c>
      <c r="J4675">
        <v>1032.2</v>
      </c>
      <c r="K4675" t="s">
        <v>210</v>
      </c>
    </row>
    <row r="4676" spans="1:11">
      <c r="A4676" t="str">
        <f>"688106"</f>
        <v>688106</v>
      </c>
      <c r="B4676" t="s">
        <v>5033</v>
      </c>
      <c r="C4676">
        <v>107.24</v>
      </c>
      <c r="D4676">
        <v>78.58</v>
      </c>
      <c r="E4676">
        <v>31.18</v>
      </c>
      <c r="F4676">
        <v>4.82</v>
      </c>
      <c r="G4676">
        <v>4.82</v>
      </c>
      <c r="H4676">
        <v>20661</v>
      </c>
      <c r="I4676">
        <v>3.63</v>
      </c>
      <c r="J4676">
        <v>69.36</v>
      </c>
      <c r="K4676" t="s">
        <v>884</v>
      </c>
    </row>
    <row r="4677" spans="1:11">
      <c r="A4677" t="str">
        <f>"688107"</f>
        <v>688107</v>
      </c>
      <c r="B4677" t="s">
        <v>5034</v>
      </c>
      <c r="C4677">
        <v>117.85</v>
      </c>
      <c r="D4677">
        <v>11.74</v>
      </c>
      <c r="E4677">
        <v>10.25</v>
      </c>
      <c r="F4677">
        <v>4.01</v>
      </c>
      <c r="G4677">
        <v>4.01</v>
      </c>
      <c r="H4677">
        <v>15302</v>
      </c>
      <c r="I4677">
        <v>11.5</v>
      </c>
      <c r="J4677" t="s">
        <v>14</v>
      </c>
      <c r="K4677" t="s">
        <v>691</v>
      </c>
    </row>
    <row r="4678" spans="1:11">
      <c r="A4678" t="str">
        <f>"688108"</f>
        <v>688108</v>
      </c>
      <c r="B4678" t="s">
        <v>5035</v>
      </c>
      <c r="C4678">
        <v>100.68</v>
      </c>
      <c r="D4678">
        <v>13.39</v>
      </c>
      <c r="E4678">
        <v>9.01</v>
      </c>
      <c r="F4678">
        <v>4.16</v>
      </c>
      <c r="G4678">
        <v>4.16</v>
      </c>
      <c r="H4678">
        <v>29360</v>
      </c>
      <c r="I4678">
        <v>11.18</v>
      </c>
      <c r="J4678">
        <v>357.58</v>
      </c>
      <c r="K4678" t="s">
        <v>1173</v>
      </c>
    </row>
    <row r="4679" spans="1:11">
      <c r="A4679" t="str">
        <f>"688109"</f>
        <v>688109</v>
      </c>
      <c r="B4679" t="s">
        <v>5036</v>
      </c>
      <c r="C4679">
        <v>116.7</v>
      </c>
      <c r="D4679">
        <v>9.14</v>
      </c>
      <c r="E4679">
        <v>7.96</v>
      </c>
      <c r="F4679">
        <v>0.79</v>
      </c>
      <c r="G4679">
        <v>0.79</v>
      </c>
      <c r="H4679">
        <v>6564</v>
      </c>
      <c r="I4679">
        <v>14.66</v>
      </c>
      <c r="J4679">
        <v>180.73</v>
      </c>
      <c r="K4679" t="s">
        <v>117</v>
      </c>
    </row>
    <row r="4680" spans="1:11">
      <c r="A4680" t="str">
        <f>"688110"</f>
        <v>688110</v>
      </c>
      <c r="B4680" t="s">
        <v>5037</v>
      </c>
      <c r="C4680">
        <v>517.87</v>
      </c>
      <c r="D4680">
        <v>34.37</v>
      </c>
      <c r="E4680">
        <v>31.11</v>
      </c>
      <c r="F4680">
        <v>4.42</v>
      </c>
      <c r="G4680">
        <v>4.42</v>
      </c>
      <c r="H4680">
        <v>51260</v>
      </c>
      <c r="I4680">
        <v>16.65</v>
      </c>
      <c r="J4680" t="s">
        <v>14</v>
      </c>
      <c r="K4680" t="s">
        <v>691</v>
      </c>
    </row>
    <row r="4681" spans="1:11">
      <c r="A4681" t="str">
        <f>"688111"</f>
        <v>688111</v>
      </c>
      <c r="B4681" t="s">
        <v>5038</v>
      </c>
      <c r="C4681">
        <v>1704.78</v>
      </c>
      <c r="D4681">
        <v>166.34</v>
      </c>
      <c r="E4681">
        <v>121.29</v>
      </c>
      <c r="F4681">
        <v>4.63</v>
      </c>
      <c r="G4681">
        <v>4.63</v>
      </c>
      <c r="H4681">
        <v>34814</v>
      </c>
      <c r="I4681">
        <v>14.06</v>
      </c>
      <c r="J4681">
        <v>108.5</v>
      </c>
      <c r="K4681" t="s">
        <v>924</v>
      </c>
    </row>
    <row r="4682" spans="1:11">
      <c r="A4682" t="str">
        <f>"688112"</f>
        <v>688112</v>
      </c>
      <c r="B4682" t="s">
        <v>5039</v>
      </c>
      <c r="C4682">
        <v>62.48</v>
      </c>
      <c r="D4682">
        <v>17.02</v>
      </c>
      <c r="E4682">
        <v>15.73</v>
      </c>
      <c r="F4682">
        <v>1.6</v>
      </c>
      <c r="G4682">
        <v>1.6</v>
      </c>
      <c r="H4682">
        <v>7271</v>
      </c>
      <c r="I4682">
        <v>3.97</v>
      </c>
      <c r="J4682">
        <v>42.09</v>
      </c>
      <c r="K4682" t="s">
        <v>952</v>
      </c>
    </row>
    <row r="4683" spans="1:11">
      <c r="A4683" t="str">
        <f>"688113"</f>
        <v>688113</v>
      </c>
      <c r="B4683" t="s">
        <v>5040</v>
      </c>
      <c r="C4683">
        <v>27.11</v>
      </c>
      <c r="D4683">
        <v>15.34</v>
      </c>
      <c r="E4683">
        <v>9.87</v>
      </c>
      <c r="F4683">
        <v>0.64</v>
      </c>
      <c r="G4683">
        <v>0.64</v>
      </c>
      <c r="H4683">
        <v>3964</v>
      </c>
      <c r="I4683">
        <v>2.75</v>
      </c>
      <c r="J4683">
        <v>26.92</v>
      </c>
      <c r="K4683" t="s">
        <v>493</v>
      </c>
    </row>
    <row r="4684" spans="1:11">
      <c r="A4684" t="str">
        <f>"688114"</f>
        <v>688114</v>
      </c>
      <c r="B4684" t="s">
        <v>5041</v>
      </c>
      <c r="C4684">
        <v>311.75</v>
      </c>
      <c r="D4684">
        <v>101.28</v>
      </c>
      <c r="E4684">
        <v>77.27</v>
      </c>
      <c r="F4684">
        <v>4.17</v>
      </c>
      <c r="G4684">
        <v>4.14</v>
      </c>
      <c r="H4684">
        <v>15418</v>
      </c>
      <c r="I4684">
        <v>4.06</v>
      </c>
      <c r="J4684" t="s">
        <v>14</v>
      </c>
      <c r="K4684" t="s">
        <v>1836</v>
      </c>
    </row>
    <row r="4685" spans="1:11">
      <c r="A4685" t="str">
        <f>"688115"</f>
        <v>688115</v>
      </c>
      <c r="B4685" t="s">
        <v>5042</v>
      </c>
      <c r="C4685">
        <v>46.54</v>
      </c>
      <c r="D4685">
        <v>14.18</v>
      </c>
      <c r="E4685">
        <v>12.52</v>
      </c>
      <c r="F4685">
        <v>0.67</v>
      </c>
      <c r="G4685">
        <v>0.67</v>
      </c>
      <c r="H4685">
        <v>4495</v>
      </c>
      <c r="I4685">
        <v>3.72</v>
      </c>
      <c r="J4685" t="s">
        <v>14</v>
      </c>
      <c r="K4685" t="s">
        <v>952</v>
      </c>
    </row>
    <row r="4686" spans="1:11">
      <c r="A4686" t="str">
        <f>"688116"</f>
        <v>688116</v>
      </c>
      <c r="B4686" t="s">
        <v>5043</v>
      </c>
      <c r="C4686">
        <v>179.6</v>
      </c>
      <c r="D4686">
        <v>57.74</v>
      </c>
      <c r="E4686">
        <v>37.76</v>
      </c>
      <c r="F4686">
        <v>3.67</v>
      </c>
      <c r="G4686">
        <v>3.67</v>
      </c>
      <c r="H4686">
        <v>24714</v>
      </c>
      <c r="I4686">
        <v>4.86</v>
      </c>
      <c r="J4686">
        <v>68.69</v>
      </c>
      <c r="K4686" t="s">
        <v>24</v>
      </c>
    </row>
    <row r="4687" spans="1:11">
      <c r="A4687" t="str">
        <f>"688117"</f>
        <v>688117</v>
      </c>
      <c r="B4687" t="s">
        <v>5044</v>
      </c>
      <c r="C4687">
        <v>70.48</v>
      </c>
      <c r="D4687">
        <v>19.09</v>
      </c>
      <c r="E4687">
        <v>10.32</v>
      </c>
      <c r="F4687">
        <v>1.57</v>
      </c>
      <c r="G4687">
        <v>1.57</v>
      </c>
      <c r="H4687">
        <v>10072</v>
      </c>
      <c r="I4687">
        <v>6.83</v>
      </c>
      <c r="J4687">
        <v>41.62</v>
      </c>
      <c r="K4687" t="s">
        <v>210</v>
      </c>
    </row>
    <row r="4688" spans="1:11">
      <c r="A4688" t="str">
        <f>"688118"</f>
        <v>688118</v>
      </c>
      <c r="B4688" t="s">
        <v>5045</v>
      </c>
      <c r="C4688">
        <v>34.6</v>
      </c>
      <c r="D4688">
        <v>9.27</v>
      </c>
      <c r="E4688">
        <v>8.24</v>
      </c>
      <c r="F4688">
        <v>0.93</v>
      </c>
      <c r="G4688">
        <v>0.93</v>
      </c>
      <c r="H4688">
        <v>8558</v>
      </c>
      <c r="I4688">
        <v>4.2</v>
      </c>
      <c r="J4688" t="s">
        <v>14</v>
      </c>
      <c r="K4688" t="s">
        <v>1970</v>
      </c>
    </row>
    <row r="4689" spans="1:11">
      <c r="A4689" t="str">
        <f>"688119"</f>
        <v>688119</v>
      </c>
      <c r="B4689" t="s">
        <v>5046</v>
      </c>
      <c r="C4689">
        <v>94.72</v>
      </c>
      <c r="D4689">
        <v>52.66</v>
      </c>
      <c r="E4689">
        <v>29.8</v>
      </c>
      <c r="F4689">
        <v>11.25</v>
      </c>
      <c r="G4689">
        <v>11.25</v>
      </c>
      <c r="H4689">
        <v>16972</v>
      </c>
      <c r="I4689">
        <v>3.18</v>
      </c>
      <c r="J4689">
        <v>313.24</v>
      </c>
      <c r="K4689" t="s">
        <v>827</v>
      </c>
    </row>
    <row r="4690" spans="1:11">
      <c r="A4690" t="str">
        <f>"688120"</f>
        <v>688120</v>
      </c>
      <c r="B4690" t="s">
        <v>5047</v>
      </c>
      <c r="C4690">
        <v>633.11</v>
      </c>
      <c r="D4690">
        <v>125.13</v>
      </c>
      <c r="E4690">
        <v>72.02</v>
      </c>
      <c r="F4690">
        <v>3.54</v>
      </c>
      <c r="G4690">
        <v>3.54</v>
      </c>
      <c r="H4690">
        <v>28859</v>
      </c>
      <c r="I4690">
        <v>8.78</v>
      </c>
      <c r="J4690">
        <v>60</v>
      </c>
      <c r="K4690" t="s">
        <v>1160</v>
      </c>
    </row>
    <row r="4691" spans="1:11">
      <c r="A4691" t="str">
        <f>"688121"</f>
        <v>688121</v>
      </c>
      <c r="B4691" t="s">
        <v>5048</v>
      </c>
      <c r="C4691">
        <v>22.82</v>
      </c>
      <c r="D4691">
        <v>85.34</v>
      </c>
      <c r="E4691">
        <v>26.02</v>
      </c>
      <c r="F4691">
        <v>2.34</v>
      </c>
      <c r="G4691">
        <v>2.03</v>
      </c>
      <c r="H4691">
        <v>6701</v>
      </c>
      <c r="I4691">
        <v>1.01</v>
      </c>
      <c r="J4691">
        <v>33.13</v>
      </c>
      <c r="K4691" t="s">
        <v>491</v>
      </c>
    </row>
    <row r="4692" spans="1:11">
      <c r="A4692" t="str">
        <f>"688122"</f>
        <v>688122</v>
      </c>
      <c r="B4692" t="s">
        <v>5049</v>
      </c>
      <c r="C4692">
        <v>607.37</v>
      </c>
      <c r="D4692">
        <v>146.63</v>
      </c>
      <c r="E4692">
        <v>69.15</v>
      </c>
      <c r="F4692">
        <v>6.5</v>
      </c>
      <c r="G4692">
        <v>6.5</v>
      </c>
      <c r="H4692">
        <v>37105</v>
      </c>
      <c r="I4692">
        <v>8.78</v>
      </c>
      <c r="J4692">
        <v>70.12</v>
      </c>
      <c r="K4692" t="s">
        <v>919</v>
      </c>
    </row>
    <row r="4693" spans="1:11">
      <c r="A4693" t="str">
        <f>"688123"</f>
        <v>688123</v>
      </c>
      <c r="B4693" t="s">
        <v>5050</v>
      </c>
      <c r="C4693">
        <v>221.5</v>
      </c>
      <c r="D4693">
        <v>26.08</v>
      </c>
      <c r="E4693">
        <v>24.99</v>
      </c>
      <c r="F4693">
        <v>1.58</v>
      </c>
      <c r="G4693">
        <v>1.58</v>
      </c>
      <c r="H4693">
        <v>17621</v>
      </c>
      <c r="I4693">
        <v>8.86</v>
      </c>
      <c r="J4693">
        <v>51.94</v>
      </c>
      <c r="K4693" t="s">
        <v>691</v>
      </c>
    </row>
    <row r="4694" spans="1:11">
      <c r="A4694" t="str">
        <f>"688125"</f>
        <v>688125</v>
      </c>
      <c r="B4694" t="s">
        <v>5051</v>
      </c>
      <c r="C4694">
        <v>139.16</v>
      </c>
      <c r="D4694">
        <v>24.02</v>
      </c>
      <c r="E4694">
        <v>18.64</v>
      </c>
      <c r="F4694">
        <v>0.82</v>
      </c>
      <c r="G4694">
        <v>0.82</v>
      </c>
      <c r="H4694">
        <v>3932</v>
      </c>
      <c r="I4694">
        <v>7.51</v>
      </c>
      <c r="J4694" t="s">
        <v>14</v>
      </c>
      <c r="K4694" t="s">
        <v>493</v>
      </c>
    </row>
    <row r="4695" spans="1:11">
      <c r="A4695" t="str">
        <f>"688126"</f>
        <v>688126</v>
      </c>
      <c r="B4695" t="s">
        <v>5052</v>
      </c>
      <c r="C4695">
        <v>622.27</v>
      </c>
      <c r="D4695">
        <v>322.66</v>
      </c>
      <c r="E4695">
        <v>112.85</v>
      </c>
      <c r="F4695">
        <v>33.05</v>
      </c>
      <c r="G4695">
        <v>27.32</v>
      </c>
      <c r="H4695">
        <v>78700</v>
      </c>
      <c r="I4695">
        <v>5.55</v>
      </c>
      <c r="J4695" t="s">
        <v>14</v>
      </c>
      <c r="K4695" t="s">
        <v>884</v>
      </c>
    </row>
    <row r="4696" spans="1:11">
      <c r="A4696" t="str">
        <f>"688127"</f>
        <v>688127</v>
      </c>
      <c r="B4696" t="s">
        <v>5053</v>
      </c>
      <c r="C4696">
        <v>166.99</v>
      </c>
      <c r="D4696">
        <v>27.14</v>
      </c>
      <c r="E4696">
        <v>20.24</v>
      </c>
      <c r="F4696">
        <v>4.06</v>
      </c>
      <c r="G4696">
        <v>4.06</v>
      </c>
      <c r="H4696">
        <v>11141</v>
      </c>
      <c r="I4696">
        <v>8.2</v>
      </c>
      <c r="J4696">
        <v>50.11</v>
      </c>
      <c r="K4696" t="s">
        <v>66</v>
      </c>
    </row>
    <row r="4697" spans="1:11">
      <c r="A4697" t="str">
        <f>"688128"</f>
        <v>688128</v>
      </c>
      <c r="B4697" t="s">
        <v>5054</v>
      </c>
      <c r="C4697">
        <v>124.51</v>
      </c>
      <c r="D4697">
        <v>79.52</v>
      </c>
      <c r="E4697">
        <v>34.1</v>
      </c>
      <c r="F4697">
        <v>4.04</v>
      </c>
      <c r="G4697">
        <v>4.04</v>
      </c>
      <c r="H4697">
        <v>12353</v>
      </c>
      <c r="I4697">
        <v>3.65</v>
      </c>
      <c r="J4697">
        <v>24.51</v>
      </c>
      <c r="K4697" t="s">
        <v>493</v>
      </c>
    </row>
    <row r="4698" spans="1:11">
      <c r="A4698" t="str">
        <f>"688129"</f>
        <v>688129</v>
      </c>
      <c r="B4698" t="s">
        <v>5055</v>
      </c>
      <c r="C4698">
        <v>25.61</v>
      </c>
      <c r="D4698">
        <v>16.66</v>
      </c>
      <c r="E4698">
        <v>9.44</v>
      </c>
      <c r="F4698">
        <v>1.2</v>
      </c>
      <c r="G4698">
        <v>1.2</v>
      </c>
      <c r="H4698">
        <v>4384</v>
      </c>
      <c r="I4698">
        <v>2.71</v>
      </c>
      <c r="J4698">
        <v>27.97</v>
      </c>
      <c r="K4698" t="s">
        <v>246</v>
      </c>
    </row>
    <row r="4699" spans="1:11">
      <c r="A4699" t="str">
        <f>"688130"</f>
        <v>688130</v>
      </c>
      <c r="B4699" t="s">
        <v>5056</v>
      </c>
      <c r="C4699">
        <v>13.75</v>
      </c>
      <c r="D4699">
        <v>13.46</v>
      </c>
      <c r="E4699">
        <v>12.47</v>
      </c>
      <c r="F4699">
        <v>1.21</v>
      </c>
      <c r="G4699">
        <v>0.6</v>
      </c>
      <c r="H4699">
        <v>7981</v>
      </c>
      <c r="I4699">
        <v>2.21</v>
      </c>
      <c r="J4699" t="s">
        <v>14</v>
      </c>
      <c r="K4699" t="s">
        <v>691</v>
      </c>
    </row>
    <row r="4700" spans="1:11">
      <c r="A4700" t="str">
        <f>"688131"</f>
        <v>688131</v>
      </c>
      <c r="B4700" t="s">
        <v>5057</v>
      </c>
      <c r="C4700">
        <v>179.44</v>
      </c>
      <c r="D4700">
        <v>60.7</v>
      </c>
      <c r="E4700">
        <v>31.12</v>
      </c>
      <c r="F4700">
        <v>2.12</v>
      </c>
      <c r="G4700">
        <v>2.12</v>
      </c>
      <c r="H4700">
        <v>12019</v>
      </c>
      <c r="I4700">
        <v>5.94</v>
      </c>
      <c r="J4700">
        <v>56.87</v>
      </c>
      <c r="K4700" t="s">
        <v>1595</v>
      </c>
    </row>
    <row r="4701" spans="1:11">
      <c r="A4701" t="str">
        <f>"688132"</f>
        <v>688132</v>
      </c>
      <c r="B4701" t="s">
        <v>5058</v>
      </c>
      <c r="C4701">
        <v>22.44</v>
      </c>
      <c r="D4701">
        <v>16.91</v>
      </c>
      <c r="E4701">
        <v>13.79</v>
      </c>
      <c r="F4701">
        <v>1.52</v>
      </c>
      <c r="G4701">
        <v>1.08</v>
      </c>
      <c r="H4701">
        <v>8230</v>
      </c>
      <c r="I4701">
        <v>2.28</v>
      </c>
      <c r="J4701" t="s">
        <v>14</v>
      </c>
      <c r="K4701" t="s">
        <v>223</v>
      </c>
    </row>
    <row r="4702" spans="1:11">
      <c r="A4702" t="str">
        <f>"688133"</f>
        <v>688133</v>
      </c>
      <c r="B4702" t="s">
        <v>5059</v>
      </c>
      <c r="C4702">
        <v>47</v>
      </c>
      <c r="D4702">
        <v>48.72</v>
      </c>
      <c r="E4702">
        <v>27.92</v>
      </c>
      <c r="F4702">
        <v>1.64</v>
      </c>
      <c r="G4702">
        <v>1.64</v>
      </c>
      <c r="H4702">
        <v>9293</v>
      </c>
      <c r="I4702">
        <v>1.68</v>
      </c>
      <c r="J4702">
        <v>315.62</v>
      </c>
      <c r="K4702" t="s">
        <v>511</v>
      </c>
    </row>
    <row r="4703" spans="1:11">
      <c r="A4703" t="str">
        <f>"688135"</f>
        <v>688135</v>
      </c>
      <c r="B4703" t="s">
        <v>5060</v>
      </c>
      <c r="C4703">
        <v>65.76</v>
      </c>
      <c r="D4703">
        <v>25.99</v>
      </c>
      <c r="E4703">
        <v>11.46</v>
      </c>
      <c r="F4703">
        <v>2.03</v>
      </c>
      <c r="G4703">
        <v>2.03</v>
      </c>
      <c r="H4703">
        <v>22781</v>
      </c>
      <c r="I4703">
        <v>6.02</v>
      </c>
      <c r="J4703">
        <v>6534.66</v>
      </c>
      <c r="K4703" t="s">
        <v>838</v>
      </c>
    </row>
    <row r="4704" spans="1:11">
      <c r="A4704" t="str">
        <f>"688136"</f>
        <v>688136</v>
      </c>
      <c r="B4704" t="s">
        <v>5061</v>
      </c>
      <c r="C4704">
        <v>70.78</v>
      </c>
      <c r="D4704">
        <v>34.11</v>
      </c>
      <c r="E4704">
        <v>17.14</v>
      </c>
      <c r="F4704">
        <v>2.01</v>
      </c>
      <c r="G4704">
        <v>2.01</v>
      </c>
      <c r="H4704">
        <v>11768</v>
      </c>
      <c r="I4704">
        <v>4.13</v>
      </c>
      <c r="J4704">
        <v>47.71</v>
      </c>
      <c r="K4704" t="s">
        <v>184</v>
      </c>
    </row>
    <row r="4705" spans="1:11">
      <c r="A4705" t="str">
        <f>"688137"</f>
        <v>688137</v>
      </c>
      <c r="B4705" t="s">
        <v>5062</v>
      </c>
      <c r="C4705">
        <v>15.88</v>
      </c>
      <c r="D4705">
        <v>21.95</v>
      </c>
      <c r="E4705">
        <v>20.8</v>
      </c>
      <c r="F4705">
        <v>0.7</v>
      </c>
      <c r="G4705">
        <v>0.33</v>
      </c>
      <c r="H4705">
        <v>6056</v>
      </c>
      <c r="I4705">
        <v>1.64</v>
      </c>
      <c r="J4705" t="s">
        <v>14</v>
      </c>
      <c r="K4705" t="s">
        <v>210</v>
      </c>
    </row>
    <row r="4706" spans="1:11">
      <c r="A4706" t="str">
        <f>"688138"</f>
        <v>688138</v>
      </c>
      <c r="B4706" t="s">
        <v>5063</v>
      </c>
      <c r="C4706">
        <v>96.42</v>
      </c>
      <c r="D4706">
        <v>38.62</v>
      </c>
      <c r="E4706">
        <v>27.33</v>
      </c>
      <c r="F4706">
        <v>3.15</v>
      </c>
      <c r="G4706">
        <v>3.15</v>
      </c>
      <c r="H4706">
        <v>11377</v>
      </c>
      <c r="I4706">
        <v>3.53</v>
      </c>
      <c r="J4706">
        <v>50.31</v>
      </c>
      <c r="K4706" t="s">
        <v>884</v>
      </c>
    </row>
    <row r="4707" spans="1:11">
      <c r="A4707" t="str">
        <f>"688139"</f>
        <v>688139</v>
      </c>
      <c r="B4707" t="s">
        <v>5064</v>
      </c>
      <c r="C4707">
        <v>117.04</v>
      </c>
      <c r="D4707">
        <v>56.5</v>
      </c>
      <c r="E4707">
        <v>43.36</v>
      </c>
      <c r="F4707">
        <v>3.16</v>
      </c>
      <c r="G4707">
        <v>3.16</v>
      </c>
      <c r="H4707">
        <v>13313</v>
      </c>
      <c r="I4707">
        <v>2.71</v>
      </c>
      <c r="J4707">
        <v>44.25</v>
      </c>
      <c r="K4707" t="s">
        <v>1836</v>
      </c>
    </row>
    <row r="4708" spans="1:11">
      <c r="A4708" t="str">
        <f>"688141"</f>
        <v>688141</v>
      </c>
      <c r="B4708" t="s">
        <v>5065</v>
      </c>
      <c r="C4708">
        <v>210.8</v>
      </c>
      <c r="D4708">
        <v>52.02</v>
      </c>
      <c r="E4708">
        <v>17.33</v>
      </c>
      <c r="F4708">
        <v>4.5</v>
      </c>
      <c r="G4708">
        <v>4.5</v>
      </c>
      <c r="H4708">
        <v>12418</v>
      </c>
      <c r="I4708">
        <v>12.07</v>
      </c>
      <c r="J4708" t="s">
        <v>14</v>
      </c>
      <c r="K4708" t="s">
        <v>691</v>
      </c>
    </row>
    <row r="4709" spans="1:11">
      <c r="A4709" t="str">
        <f>"688143"</f>
        <v>688143</v>
      </c>
      <c r="B4709" t="s">
        <v>5066</v>
      </c>
      <c r="C4709">
        <v>67.94</v>
      </c>
      <c r="D4709">
        <v>16.73</v>
      </c>
      <c r="E4709">
        <v>12.14</v>
      </c>
      <c r="F4709">
        <v>1.29</v>
      </c>
      <c r="G4709">
        <v>1.22</v>
      </c>
      <c r="H4709">
        <v>7987</v>
      </c>
      <c r="I4709">
        <v>5.6</v>
      </c>
      <c r="J4709">
        <v>174.18</v>
      </c>
      <c r="K4709" t="s">
        <v>93</v>
      </c>
    </row>
    <row r="4710" spans="1:11">
      <c r="A4710" t="str">
        <f>"688146"</f>
        <v>688146</v>
      </c>
      <c r="B4710" t="s">
        <v>5067</v>
      </c>
      <c r="C4710">
        <v>62.86</v>
      </c>
      <c r="D4710">
        <v>74.34</v>
      </c>
      <c r="E4710">
        <v>56.7</v>
      </c>
      <c r="F4710">
        <v>5.29</v>
      </c>
      <c r="G4710">
        <v>1.45</v>
      </c>
      <c r="H4710">
        <v>11922</v>
      </c>
      <c r="I4710">
        <v>4.05</v>
      </c>
      <c r="J4710">
        <v>70.13</v>
      </c>
      <c r="K4710" t="s">
        <v>884</v>
      </c>
    </row>
    <row r="4711" spans="1:11">
      <c r="A4711" t="str">
        <f>"688147"</f>
        <v>688147</v>
      </c>
      <c r="B4711" t="s">
        <v>5068</v>
      </c>
      <c r="C4711">
        <v>322.81</v>
      </c>
      <c r="D4711">
        <v>98.85</v>
      </c>
      <c r="E4711">
        <v>29.66</v>
      </c>
      <c r="F4711">
        <v>4.61</v>
      </c>
      <c r="G4711">
        <v>4.61</v>
      </c>
      <c r="H4711">
        <v>18586</v>
      </c>
      <c r="I4711">
        <v>11.17</v>
      </c>
      <c r="J4711">
        <v>97.43</v>
      </c>
      <c r="K4711" t="s">
        <v>469</v>
      </c>
    </row>
    <row r="4712" spans="1:11">
      <c r="A4712" t="str">
        <f>"688148"</f>
        <v>688148</v>
      </c>
      <c r="B4712" t="s">
        <v>5069</v>
      </c>
      <c r="C4712">
        <v>47.09</v>
      </c>
      <c r="D4712">
        <v>29.43</v>
      </c>
      <c r="E4712">
        <v>4.54</v>
      </c>
      <c r="F4712">
        <v>5.1</v>
      </c>
      <c r="G4712">
        <v>5.1</v>
      </c>
      <c r="H4712">
        <v>15902</v>
      </c>
      <c r="I4712">
        <v>16.25</v>
      </c>
      <c r="J4712" t="s">
        <v>14</v>
      </c>
      <c r="K4712" t="s">
        <v>24</v>
      </c>
    </row>
    <row r="4713" spans="1:11">
      <c r="A4713" t="str">
        <f>"688150"</f>
        <v>688150</v>
      </c>
      <c r="B4713" t="s">
        <v>5070</v>
      </c>
      <c r="C4713">
        <v>109.87</v>
      </c>
      <c r="D4713">
        <v>21.93</v>
      </c>
      <c r="E4713">
        <v>18.04</v>
      </c>
      <c r="F4713">
        <v>4.02</v>
      </c>
      <c r="G4713">
        <v>4.02</v>
      </c>
      <c r="H4713">
        <v>8863</v>
      </c>
      <c r="I4713">
        <v>6.09</v>
      </c>
      <c r="J4713">
        <v>45.81</v>
      </c>
      <c r="K4713" t="s">
        <v>66</v>
      </c>
    </row>
    <row r="4714" spans="1:11">
      <c r="A4714" t="str">
        <f>"688151"</f>
        <v>688151</v>
      </c>
      <c r="B4714" t="s">
        <v>5071</v>
      </c>
      <c r="C4714">
        <v>72.97</v>
      </c>
      <c r="D4714">
        <v>48.36</v>
      </c>
      <c r="E4714">
        <v>41.89</v>
      </c>
      <c r="F4714">
        <v>3.44</v>
      </c>
      <c r="G4714">
        <v>3.44</v>
      </c>
      <c r="H4714">
        <v>18694</v>
      </c>
      <c r="I4714">
        <v>1.74</v>
      </c>
      <c r="J4714">
        <v>1232.74</v>
      </c>
      <c r="K4714" t="s">
        <v>1173</v>
      </c>
    </row>
    <row r="4715" spans="1:11">
      <c r="A4715" t="str">
        <f>"688152"</f>
        <v>688152</v>
      </c>
      <c r="B4715" t="s">
        <v>5072</v>
      </c>
      <c r="C4715">
        <v>48.33</v>
      </c>
      <c r="D4715">
        <v>14.52</v>
      </c>
      <c r="E4715">
        <v>12.52</v>
      </c>
      <c r="F4715">
        <v>1.03</v>
      </c>
      <c r="G4715">
        <v>1.03</v>
      </c>
      <c r="H4715">
        <v>9710</v>
      </c>
      <c r="I4715">
        <v>3.83</v>
      </c>
      <c r="J4715" t="s">
        <v>14</v>
      </c>
      <c r="K4715" t="s">
        <v>17</v>
      </c>
    </row>
    <row r="4716" spans="1:11">
      <c r="A4716" t="str">
        <f>"688153"</f>
        <v>688153</v>
      </c>
      <c r="B4716" t="s">
        <v>5073</v>
      </c>
      <c r="C4716">
        <v>170.27</v>
      </c>
      <c r="D4716">
        <v>46.35</v>
      </c>
      <c r="E4716">
        <v>39.96</v>
      </c>
      <c r="F4716">
        <v>4.3</v>
      </c>
      <c r="G4716">
        <v>4.09</v>
      </c>
      <c r="H4716">
        <v>13717</v>
      </c>
      <c r="I4716">
        <v>4.49</v>
      </c>
      <c r="J4716">
        <v>1564.22</v>
      </c>
      <c r="K4716" t="s">
        <v>691</v>
      </c>
    </row>
    <row r="4717" spans="1:11">
      <c r="A4717" t="str">
        <f>"688155"</f>
        <v>688155</v>
      </c>
      <c r="B4717" t="s">
        <v>5074</v>
      </c>
      <c r="C4717">
        <v>97.76</v>
      </c>
      <c r="D4717">
        <v>51.98</v>
      </c>
      <c r="E4717">
        <v>21.18</v>
      </c>
      <c r="F4717">
        <v>1.26</v>
      </c>
      <c r="G4717">
        <v>1.26</v>
      </c>
      <c r="H4717">
        <v>9401</v>
      </c>
      <c r="I4717">
        <v>4.58</v>
      </c>
      <c r="J4717">
        <v>35.71</v>
      </c>
      <c r="K4717" t="s">
        <v>1975</v>
      </c>
    </row>
    <row r="4718" spans="1:11">
      <c r="A4718" t="str">
        <f>"688156"</f>
        <v>688156</v>
      </c>
      <c r="B4718" t="s">
        <v>5075</v>
      </c>
      <c r="C4718">
        <v>17.41</v>
      </c>
      <c r="D4718">
        <v>17.98</v>
      </c>
      <c r="E4718">
        <v>8.18</v>
      </c>
      <c r="F4718">
        <v>1.01</v>
      </c>
      <c r="G4718">
        <v>1.01</v>
      </c>
      <c r="H4718">
        <v>3867</v>
      </c>
      <c r="I4718">
        <v>2.13</v>
      </c>
      <c r="J4718" t="s">
        <v>14</v>
      </c>
      <c r="K4718" t="s">
        <v>359</v>
      </c>
    </row>
    <row r="4719" spans="1:11">
      <c r="A4719" t="str">
        <f>"688157"</f>
        <v>688157</v>
      </c>
      <c r="B4719" t="s">
        <v>5076</v>
      </c>
      <c r="C4719">
        <v>57.88</v>
      </c>
      <c r="D4719">
        <v>17.78</v>
      </c>
      <c r="E4719">
        <v>13.52</v>
      </c>
      <c r="F4719">
        <v>1.56</v>
      </c>
      <c r="G4719">
        <v>1.56</v>
      </c>
      <c r="H4719">
        <v>4629</v>
      </c>
      <c r="I4719">
        <v>4.28</v>
      </c>
      <c r="J4719">
        <v>172.55</v>
      </c>
      <c r="K4719" t="s">
        <v>246</v>
      </c>
    </row>
    <row r="4720" spans="1:11">
      <c r="A4720" t="str">
        <f>"688158"</f>
        <v>688158</v>
      </c>
      <c r="B4720" t="s">
        <v>5077</v>
      </c>
      <c r="C4720">
        <v>124.44</v>
      </c>
      <c r="D4720">
        <v>35.92</v>
      </c>
      <c r="E4720">
        <v>24.06</v>
      </c>
      <c r="F4720">
        <v>4.56</v>
      </c>
      <c r="G4720">
        <v>4.05</v>
      </c>
      <c r="H4720">
        <v>39320</v>
      </c>
      <c r="I4720">
        <v>5.82</v>
      </c>
      <c r="J4720" t="s">
        <v>14</v>
      </c>
      <c r="K4720" t="s">
        <v>463</v>
      </c>
    </row>
    <row r="4721" spans="1:11">
      <c r="A4721" t="str">
        <f>"688159"</f>
        <v>688159</v>
      </c>
      <c r="B4721" t="s">
        <v>5078</v>
      </c>
      <c r="C4721">
        <v>53.24</v>
      </c>
      <c r="D4721">
        <v>25.39</v>
      </c>
      <c r="E4721">
        <v>9.49</v>
      </c>
      <c r="F4721">
        <v>0.93</v>
      </c>
      <c r="G4721">
        <v>0.93</v>
      </c>
      <c r="H4721">
        <v>9900</v>
      </c>
      <c r="I4721">
        <v>5.62</v>
      </c>
      <c r="J4721">
        <v>47.95</v>
      </c>
      <c r="K4721" t="s">
        <v>770</v>
      </c>
    </row>
    <row r="4722" spans="1:11">
      <c r="A4722" t="str">
        <f>"688160"</f>
        <v>688160</v>
      </c>
      <c r="B4722" t="s">
        <v>5079</v>
      </c>
      <c r="C4722">
        <v>126</v>
      </c>
      <c r="D4722">
        <v>16.19</v>
      </c>
      <c r="E4722">
        <v>12.66</v>
      </c>
      <c r="F4722">
        <v>0.91</v>
      </c>
      <c r="G4722">
        <v>0.84</v>
      </c>
      <c r="H4722">
        <v>7650</v>
      </c>
      <c r="I4722">
        <v>10.76</v>
      </c>
      <c r="J4722">
        <v>229.48</v>
      </c>
      <c r="K4722" t="s">
        <v>663</v>
      </c>
    </row>
    <row r="4723" spans="1:11">
      <c r="A4723" t="str">
        <f>"688161"</f>
        <v>688161</v>
      </c>
      <c r="B4723" t="s">
        <v>5080</v>
      </c>
      <c r="C4723">
        <v>123.4</v>
      </c>
      <c r="D4723">
        <v>50.93</v>
      </c>
      <c r="E4723">
        <v>40.73</v>
      </c>
      <c r="F4723">
        <v>4</v>
      </c>
      <c r="G4723">
        <v>4</v>
      </c>
      <c r="H4723">
        <v>10690</v>
      </c>
      <c r="I4723">
        <v>3.03</v>
      </c>
      <c r="J4723">
        <v>44.62</v>
      </c>
      <c r="K4723" t="s">
        <v>1173</v>
      </c>
    </row>
    <row r="4724" spans="1:11">
      <c r="A4724" t="str">
        <f>"688162"</f>
        <v>688162</v>
      </c>
      <c r="B4724" t="s">
        <v>5081</v>
      </c>
      <c r="C4724">
        <v>44.61</v>
      </c>
      <c r="D4724">
        <v>85.45</v>
      </c>
      <c r="E4724">
        <v>23.99</v>
      </c>
      <c r="F4724">
        <v>1.37</v>
      </c>
      <c r="G4724">
        <v>1.37</v>
      </c>
      <c r="H4724">
        <v>8157</v>
      </c>
      <c r="I4724">
        <v>1.86</v>
      </c>
      <c r="J4724">
        <v>64.25</v>
      </c>
      <c r="K4724" t="s">
        <v>493</v>
      </c>
    </row>
    <row r="4725" spans="1:11">
      <c r="A4725" t="str">
        <f>"688163"</f>
        <v>688163</v>
      </c>
      <c r="B4725" t="s">
        <v>5082</v>
      </c>
      <c r="C4725">
        <v>25.96</v>
      </c>
      <c r="D4725">
        <v>11.62</v>
      </c>
      <c r="E4725">
        <v>11.25</v>
      </c>
      <c r="F4725">
        <v>1.08</v>
      </c>
      <c r="G4725">
        <v>1.08</v>
      </c>
      <c r="H4725">
        <v>6635</v>
      </c>
      <c r="I4725">
        <v>2.31</v>
      </c>
      <c r="J4725">
        <v>30.32</v>
      </c>
      <c r="K4725" t="s">
        <v>210</v>
      </c>
    </row>
    <row r="4726" spans="1:11">
      <c r="A4726" t="str">
        <f>"688165"</f>
        <v>688165</v>
      </c>
      <c r="B4726" t="s">
        <v>5083</v>
      </c>
      <c r="C4726">
        <v>121.84</v>
      </c>
      <c r="D4726">
        <v>35.2</v>
      </c>
      <c r="E4726">
        <v>15</v>
      </c>
      <c r="F4726">
        <v>5.22</v>
      </c>
      <c r="G4726">
        <v>5.22</v>
      </c>
      <c r="H4726">
        <v>30695</v>
      </c>
      <c r="I4726">
        <v>8.12</v>
      </c>
      <c r="J4726" t="s">
        <v>14</v>
      </c>
      <c r="K4726" t="s">
        <v>1527</v>
      </c>
    </row>
    <row r="4727" spans="1:11">
      <c r="A4727" t="str">
        <f>"688166"</f>
        <v>688166</v>
      </c>
      <c r="B4727" t="s">
        <v>5084</v>
      </c>
      <c r="C4727">
        <v>224.16</v>
      </c>
      <c r="D4727">
        <v>53.6</v>
      </c>
      <c r="E4727">
        <v>24.48</v>
      </c>
      <c r="F4727">
        <v>4.23</v>
      </c>
      <c r="G4727">
        <v>4.23</v>
      </c>
      <c r="H4727">
        <v>19561</v>
      </c>
      <c r="I4727">
        <v>9.39</v>
      </c>
      <c r="J4727">
        <v>334.1</v>
      </c>
      <c r="K4727" t="s">
        <v>404</v>
      </c>
    </row>
    <row r="4728" spans="1:11">
      <c r="A4728" t="str">
        <f>"688167"</f>
        <v>688167</v>
      </c>
      <c r="B4728" t="s">
        <v>5085</v>
      </c>
      <c r="C4728">
        <v>159.17</v>
      </c>
      <c r="D4728">
        <v>30.59</v>
      </c>
      <c r="E4728">
        <v>21.98</v>
      </c>
      <c r="F4728">
        <v>0.9</v>
      </c>
      <c r="G4728">
        <v>0.9</v>
      </c>
      <c r="H4728">
        <v>16102</v>
      </c>
      <c r="I4728">
        <v>7.24</v>
      </c>
      <c r="J4728">
        <v>5314.34</v>
      </c>
      <c r="K4728" t="s">
        <v>66</v>
      </c>
    </row>
    <row r="4729" spans="1:11">
      <c r="A4729" t="str">
        <f>"688168"</f>
        <v>688168</v>
      </c>
      <c r="B4729" t="s">
        <v>5086</v>
      </c>
      <c r="C4729">
        <v>62.1</v>
      </c>
      <c r="D4729">
        <v>14.13</v>
      </c>
      <c r="E4729">
        <v>9.94</v>
      </c>
      <c r="F4729">
        <v>0.77</v>
      </c>
      <c r="G4729">
        <v>0.77</v>
      </c>
      <c r="H4729">
        <v>6479</v>
      </c>
      <c r="I4729">
        <v>6.25</v>
      </c>
      <c r="J4729" t="s">
        <v>14</v>
      </c>
      <c r="K4729" t="s">
        <v>17</v>
      </c>
    </row>
    <row r="4730" spans="1:11">
      <c r="A4730" t="str">
        <f>"688169"</f>
        <v>688169</v>
      </c>
      <c r="B4730" t="s">
        <v>5087</v>
      </c>
      <c r="C4730">
        <v>415.09</v>
      </c>
      <c r="D4730">
        <v>192.91</v>
      </c>
      <c r="E4730">
        <v>137.59</v>
      </c>
      <c r="F4730">
        <v>2.59</v>
      </c>
      <c r="G4730">
        <v>2.59</v>
      </c>
      <c r="H4730">
        <v>15944</v>
      </c>
      <c r="I4730">
        <v>3.02</v>
      </c>
      <c r="J4730">
        <v>30</v>
      </c>
      <c r="K4730" t="s">
        <v>2933</v>
      </c>
    </row>
    <row r="4731" spans="1:11">
      <c r="A4731" t="str">
        <f>"688170"</f>
        <v>688170</v>
      </c>
      <c r="B4731" t="s">
        <v>5088</v>
      </c>
      <c r="C4731">
        <v>36.49</v>
      </c>
      <c r="D4731">
        <v>18.19</v>
      </c>
      <c r="E4731">
        <v>12.15</v>
      </c>
      <c r="F4731">
        <v>1.03</v>
      </c>
      <c r="G4731">
        <v>1.03</v>
      </c>
      <c r="H4731">
        <v>6754</v>
      </c>
      <c r="I4731">
        <v>3</v>
      </c>
      <c r="J4731" t="s">
        <v>14</v>
      </c>
      <c r="K4731" t="s">
        <v>604</v>
      </c>
    </row>
    <row r="4732" spans="1:11">
      <c r="A4732" t="str">
        <f>"688171"</f>
        <v>688171</v>
      </c>
      <c r="B4732" t="s">
        <v>5089</v>
      </c>
      <c r="C4732">
        <v>43.56</v>
      </c>
      <c r="D4732">
        <v>9.68</v>
      </c>
      <c r="E4732">
        <v>8.25</v>
      </c>
      <c r="F4732">
        <v>0.84</v>
      </c>
      <c r="G4732">
        <v>0.84</v>
      </c>
      <c r="H4732">
        <v>3173</v>
      </c>
      <c r="I4732">
        <v>5.28</v>
      </c>
      <c r="J4732">
        <v>749.14</v>
      </c>
      <c r="K4732" t="s">
        <v>117</v>
      </c>
    </row>
    <row r="4733" spans="1:11">
      <c r="A4733" t="str">
        <f>"688172"</f>
        <v>688172</v>
      </c>
      <c r="B4733" t="s">
        <v>5090</v>
      </c>
      <c r="C4733">
        <v>253.33</v>
      </c>
      <c r="D4733">
        <v>297.14</v>
      </c>
      <c r="E4733">
        <v>186.79</v>
      </c>
      <c r="F4733">
        <v>14.28</v>
      </c>
      <c r="G4733">
        <v>7.79</v>
      </c>
      <c r="H4733">
        <v>21188</v>
      </c>
      <c r="I4733">
        <v>2.49</v>
      </c>
      <c r="J4733" t="s">
        <v>14</v>
      </c>
      <c r="K4733" t="s">
        <v>1852</v>
      </c>
    </row>
    <row r="4734" spans="1:11">
      <c r="A4734" t="str">
        <f>"688173"</f>
        <v>688173</v>
      </c>
      <c r="B4734" t="s">
        <v>5091</v>
      </c>
      <c r="C4734">
        <v>66.76</v>
      </c>
      <c r="D4734">
        <v>18.21</v>
      </c>
      <c r="E4734">
        <v>14.46</v>
      </c>
      <c r="F4734">
        <v>4.12</v>
      </c>
      <c r="G4734">
        <v>4.08</v>
      </c>
      <c r="H4734">
        <v>14685</v>
      </c>
      <c r="I4734">
        <v>4.65</v>
      </c>
      <c r="J4734" t="s">
        <v>14</v>
      </c>
      <c r="K4734" t="s">
        <v>691</v>
      </c>
    </row>
    <row r="4735" spans="1:11">
      <c r="A4735" t="str">
        <f>"688175"</f>
        <v>688175</v>
      </c>
      <c r="B4735" t="s">
        <v>5092</v>
      </c>
      <c r="C4735">
        <v>39.57</v>
      </c>
      <c r="D4735">
        <v>18.98</v>
      </c>
      <c r="E4735">
        <v>17.4</v>
      </c>
      <c r="F4735">
        <v>1.29</v>
      </c>
      <c r="G4735">
        <v>1.29</v>
      </c>
      <c r="H4735">
        <v>7323</v>
      </c>
      <c r="I4735">
        <v>2.27</v>
      </c>
      <c r="J4735" t="s">
        <v>14</v>
      </c>
      <c r="K4735" t="s">
        <v>933</v>
      </c>
    </row>
    <row r="4736" spans="1:11">
      <c r="A4736" t="str">
        <f>"688176"</f>
        <v>688176</v>
      </c>
      <c r="B4736" t="s">
        <v>5093</v>
      </c>
      <c r="C4736">
        <v>53.24</v>
      </c>
      <c r="D4736">
        <v>21.49</v>
      </c>
      <c r="E4736">
        <v>17.45</v>
      </c>
      <c r="F4736">
        <v>5.71</v>
      </c>
      <c r="G4736">
        <v>4.36</v>
      </c>
      <c r="H4736">
        <v>25192</v>
      </c>
      <c r="I4736">
        <v>4</v>
      </c>
      <c r="J4736" t="s">
        <v>14</v>
      </c>
      <c r="K4736" t="s">
        <v>210</v>
      </c>
    </row>
    <row r="4737" spans="1:11">
      <c r="A4737" t="str">
        <f>"688177"</f>
        <v>688177</v>
      </c>
      <c r="B4737" t="s">
        <v>5094</v>
      </c>
      <c r="C4737">
        <v>105.51</v>
      </c>
      <c r="D4737">
        <v>22.29</v>
      </c>
      <c r="E4737">
        <v>4.84</v>
      </c>
      <c r="F4737">
        <v>4.14</v>
      </c>
      <c r="G4737">
        <v>4.14</v>
      </c>
      <c r="H4737">
        <v>9397</v>
      </c>
      <c r="I4737">
        <v>21.8</v>
      </c>
      <c r="J4737" t="s">
        <v>14</v>
      </c>
      <c r="K4737" t="s">
        <v>210</v>
      </c>
    </row>
    <row r="4738" spans="1:11">
      <c r="A4738" t="str">
        <f>"688178"</f>
        <v>688178</v>
      </c>
      <c r="B4738" t="s">
        <v>5095</v>
      </c>
      <c r="C4738">
        <v>21.66</v>
      </c>
      <c r="D4738">
        <v>20.89</v>
      </c>
      <c r="E4738">
        <v>9.96</v>
      </c>
      <c r="F4738">
        <v>0.85</v>
      </c>
      <c r="G4738">
        <v>0.85</v>
      </c>
      <c r="H4738">
        <v>3714</v>
      </c>
      <c r="I4738">
        <v>2.17</v>
      </c>
      <c r="J4738" t="s">
        <v>14</v>
      </c>
      <c r="K4738" t="s">
        <v>90</v>
      </c>
    </row>
    <row r="4739" spans="1:11">
      <c r="A4739" t="str">
        <f>"688179"</f>
        <v>688179</v>
      </c>
      <c r="B4739" t="s">
        <v>5096</v>
      </c>
      <c r="C4739">
        <v>47.03</v>
      </c>
      <c r="D4739">
        <v>25.81</v>
      </c>
      <c r="E4739">
        <v>10.66</v>
      </c>
      <c r="F4739">
        <v>3.33</v>
      </c>
      <c r="G4739">
        <v>3.33</v>
      </c>
      <c r="H4739">
        <v>11577</v>
      </c>
      <c r="I4739">
        <v>4.63</v>
      </c>
      <c r="J4739">
        <v>61.07</v>
      </c>
      <c r="K4739" t="s">
        <v>511</v>
      </c>
    </row>
    <row r="4740" spans="1:11">
      <c r="A4740" t="str">
        <f>"688180"</f>
        <v>688180</v>
      </c>
      <c r="B4740" t="s">
        <v>5097</v>
      </c>
      <c r="C4740">
        <v>294.45</v>
      </c>
      <c r="D4740">
        <v>116.88</v>
      </c>
      <c r="E4740">
        <v>62.16</v>
      </c>
      <c r="F4740">
        <v>10.27</v>
      </c>
      <c r="G4740">
        <v>7.66</v>
      </c>
      <c r="H4740">
        <v>35887</v>
      </c>
      <c r="I4740">
        <v>6.35</v>
      </c>
      <c r="J4740" t="s">
        <v>14</v>
      </c>
      <c r="K4740" t="s">
        <v>2270</v>
      </c>
    </row>
    <row r="4741" spans="1:11">
      <c r="A4741" t="str">
        <f>"688181"</f>
        <v>688181</v>
      </c>
      <c r="B4741" t="s">
        <v>5098</v>
      </c>
      <c r="C4741">
        <v>47.96</v>
      </c>
      <c r="D4741">
        <v>32.62</v>
      </c>
      <c r="E4741">
        <v>20.73</v>
      </c>
      <c r="F4741">
        <v>1.34</v>
      </c>
      <c r="G4741">
        <v>1.34</v>
      </c>
      <c r="H4741">
        <v>12195</v>
      </c>
      <c r="I4741">
        <v>2.31</v>
      </c>
      <c r="J4741">
        <v>78.93</v>
      </c>
      <c r="K4741" t="s">
        <v>66</v>
      </c>
    </row>
    <row r="4742" spans="1:11">
      <c r="A4742" t="str">
        <f>"688182"</f>
        <v>688182</v>
      </c>
      <c r="B4742" t="s">
        <v>5099</v>
      </c>
      <c r="C4742">
        <v>140.52</v>
      </c>
      <c r="D4742">
        <v>26.61</v>
      </c>
      <c r="E4742">
        <v>22.37</v>
      </c>
      <c r="F4742">
        <v>4</v>
      </c>
      <c r="G4742">
        <v>4</v>
      </c>
      <c r="H4742">
        <v>12294</v>
      </c>
      <c r="I4742">
        <v>6.28</v>
      </c>
      <c r="J4742">
        <v>122.21</v>
      </c>
      <c r="K4742" t="s">
        <v>972</v>
      </c>
    </row>
    <row r="4743" spans="1:11">
      <c r="A4743" t="str">
        <f>"688183"</f>
        <v>688183</v>
      </c>
      <c r="B4743" t="s">
        <v>5100</v>
      </c>
      <c r="C4743">
        <v>796.05</v>
      </c>
      <c r="D4743">
        <v>112.18</v>
      </c>
      <c r="E4743">
        <v>51.58</v>
      </c>
      <c r="F4743">
        <v>8.32</v>
      </c>
      <c r="G4743">
        <v>8.32</v>
      </c>
      <c r="H4743">
        <v>27769</v>
      </c>
      <c r="I4743">
        <v>15.43</v>
      </c>
      <c r="J4743">
        <v>53.56</v>
      </c>
      <c r="K4743" t="s">
        <v>472</v>
      </c>
    </row>
    <row r="4744" spans="1:11">
      <c r="A4744" t="str">
        <f>"688184"</f>
        <v>688184</v>
      </c>
      <c r="B4744" t="s">
        <v>5101</v>
      </c>
      <c r="C4744">
        <v>9.5</v>
      </c>
      <c r="D4744">
        <v>20.11</v>
      </c>
      <c r="E4744">
        <v>15.9</v>
      </c>
      <c r="F4744">
        <v>1.59</v>
      </c>
      <c r="G4744">
        <v>1</v>
      </c>
      <c r="H4744">
        <v>9017</v>
      </c>
      <c r="I4744">
        <v>0.95</v>
      </c>
      <c r="J4744" t="s">
        <v>14</v>
      </c>
      <c r="K4744" t="s">
        <v>24</v>
      </c>
    </row>
    <row r="4745" spans="1:11">
      <c r="A4745" t="str">
        <f>"688185"</f>
        <v>688185</v>
      </c>
      <c r="B4745" t="s">
        <v>5102</v>
      </c>
      <c r="C4745">
        <v>82.34</v>
      </c>
      <c r="D4745">
        <v>73.01</v>
      </c>
      <c r="E4745">
        <v>49.31</v>
      </c>
      <c r="F4745">
        <v>2.47</v>
      </c>
      <c r="G4745">
        <v>1.14</v>
      </c>
      <c r="H4745">
        <v>17309</v>
      </c>
      <c r="I4745">
        <v>3.61</v>
      </c>
      <c r="J4745">
        <v>923.72</v>
      </c>
      <c r="K4745" t="s">
        <v>1921</v>
      </c>
    </row>
    <row r="4746" spans="1:11">
      <c r="A4746" t="str">
        <f>"688186"</f>
        <v>688186</v>
      </c>
      <c r="B4746" t="s">
        <v>5103</v>
      </c>
      <c r="C4746">
        <v>68.41</v>
      </c>
      <c r="D4746">
        <v>140.81</v>
      </c>
      <c r="E4746">
        <v>47.85</v>
      </c>
      <c r="F4746">
        <v>2.8</v>
      </c>
      <c r="G4746">
        <v>2.8</v>
      </c>
      <c r="H4746">
        <v>22459</v>
      </c>
      <c r="I4746">
        <v>1.43</v>
      </c>
      <c r="J4746">
        <v>20.63</v>
      </c>
      <c r="K4746" t="s">
        <v>456</v>
      </c>
    </row>
    <row r="4747" spans="1:11">
      <c r="A4747" t="str">
        <f>"688187"</f>
        <v>688187</v>
      </c>
      <c r="B4747" t="s">
        <v>5104</v>
      </c>
      <c r="C4747">
        <v>451.83</v>
      </c>
      <c r="D4747">
        <v>695.48</v>
      </c>
      <c r="E4747">
        <v>411.09</v>
      </c>
      <c r="F4747">
        <v>13.58</v>
      </c>
      <c r="G4747">
        <v>8.69</v>
      </c>
      <c r="H4747">
        <v>19590</v>
      </c>
      <c r="I4747">
        <v>1.72</v>
      </c>
      <c r="J4747">
        <v>19.47</v>
      </c>
      <c r="K4747" t="s">
        <v>22</v>
      </c>
    </row>
    <row r="4748" spans="1:11">
      <c r="A4748" t="str">
        <f>"688188"</f>
        <v>688188</v>
      </c>
      <c r="B4748" t="s">
        <v>5105</v>
      </c>
      <c r="C4748">
        <v>464.97</v>
      </c>
      <c r="D4748">
        <v>64.04</v>
      </c>
      <c r="E4748">
        <v>60.14</v>
      </c>
      <c r="F4748">
        <v>2.89</v>
      </c>
      <c r="G4748">
        <v>2.89</v>
      </c>
      <c r="H4748">
        <v>12428</v>
      </c>
      <c r="I4748">
        <v>7.73</v>
      </c>
      <c r="J4748">
        <v>38.56</v>
      </c>
      <c r="K4748" t="s">
        <v>663</v>
      </c>
    </row>
    <row r="4749" spans="1:11">
      <c r="A4749" t="str">
        <f>"688189"</f>
        <v>688189</v>
      </c>
      <c r="B4749" t="s">
        <v>5106</v>
      </c>
      <c r="C4749">
        <v>24.7</v>
      </c>
      <c r="D4749">
        <v>10.34</v>
      </c>
      <c r="E4749">
        <v>8.66</v>
      </c>
      <c r="F4749">
        <v>2.74</v>
      </c>
      <c r="G4749">
        <v>2.74</v>
      </c>
      <c r="H4749">
        <v>14114</v>
      </c>
      <c r="I4749">
        <v>2.85</v>
      </c>
      <c r="J4749" t="s">
        <v>14</v>
      </c>
      <c r="K4749" t="s">
        <v>109</v>
      </c>
    </row>
    <row r="4750" spans="1:11">
      <c r="A4750" t="str">
        <f>"688190"</f>
        <v>688190</v>
      </c>
      <c r="B4750" t="s">
        <v>5107</v>
      </c>
      <c r="C4750">
        <v>124.88</v>
      </c>
      <c r="D4750">
        <v>34.48</v>
      </c>
      <c r="E4750">
        <v>26.8</v>
      </c>
      <c r="F4750">
        <v>1.2</v>
      </c>
      <c r="G4750">
        <v>1.2</v>
      </c>
      <c r="H4750">
        <v>4484</v>
      </c>
      <c r="I4750">
        <v>4.66</v>
      </c>
      <c r="J4750">
        <v>37.49</v>
      </c>
      <c r="K4750" t="s">
        <v>442</v>
      </c>
    </row>
    <row r="4751" spans="1:11">
      <c r="A4751" t="str">
        <f>"688191"</f>
        <v>688191</v>
      </c>
      <c r="B4751" t="s">
        <v>5108</v>
      </c>
      <c r="C4751">
        <v>84.27</v>
      </c>
      <c r="D4751">
        <v>14.87</v>
      </c>
      <c r="E4751">
        <v>8.74</v>
      </c>
      <c r="F4751">
        <v>2.32</v>
      </c>
      <c r="G4751">
        <v>2.32</v>
      </c>
      <c r="H4751">
        <v>6247</v>
      </c>
      <c r="I4751">
        <v>9.65</v>
      </c>
      <c r="J4751">
        <v>137.57</v>
      </c>
      <c r="K4751" t="s">
        <v>127</v>
      </c>
    </row>
    <row r="4752" spans="1:11">
      <c r="A4752" t="str">
        <f>"688192"</f>
        <v>688192</v>
      </c>
      <c r="B4752" t="s">
        <v>5109</v>
      </c>
      <c r="C4752">
        <v>299.21</v>
      </c>
      <c r="D4752">
        <v>29.55</v>
      </c>
      <c r="E4752">
        <v>14.4</v>
      </c>
      <c r="F4752">
        <v>4.61</v>
      </c>
      <c r="G4752">
        <v>4.56</v>
      </c>
      <c r="H4752">
        <v>8806</v>
      </c>
      <c r="I4752">
        <v>20.92</v>
      </c>
      <c r="J4752" t="s">
        <v>14</v>
      </c>
      <c r="K4752" t="s">
        <v>210</v>
      </c>
    </row>
    <row r="4753" spans="1:11">
      <c r="A4753" t="str">
        <f>"688193"</f>
        <v>688193</v>
      </c>
      <c r="B4753" t="s">
        <v>5110</v>
      </c>
      <c r="C4753">
        <v>20.56</v>
      </c>
      <c r="D4753">
        <v>9.9</v>
      </c>
      <c r="E4753">
        <v>9.18</v>
      </c>
      <c r="F4753">
        <v>0.4</v>
      </c>
      <c r="G4753">
        <v>0.4</v>
      </c>
      <c r="H4753">
        <v>3765</v>
      </c>
      <c r="I4753">
        <v>2.24</v>
      </c>
      <c r="J4753">
        <v>219.81</v>
      </c>
      <c r="K4753" t="s">
        <v>775</v>
      </c>
    </row>
    <row r="4754" spans="1:11">
      <c r="A4754" t="str">
        <f>"688195"</f>
        <v>688195</v>
      </c>
      <c r="B4754" t="s">
        <v>5111</v>
      </c>
      <c r="C4754">
        <v>242.3</v>
      </c>
      <c r="D4754">
        <v>14.09</v>
      </c>
      <c r="E4754">
        <v>9.66</v>
      </c>
      <c r="F4754">
        <v>1.29</v>
      </c>
      <c r="G4754">
        <v>1.29</v>
      </c>
      <c r="H4754">
        <v>16846</v>
      </c>
      <c r="I4754">
        <v>25.09</v>
      </c>
      <c r="J4754">
        <v>284.82</v>
      </c>
      <c r="K4754" t="s">
        <v>66</v>
      </c>
    </row>
    <row r="4755" spans="1:11">
      <c r="A4755" t="str">
        <f>"688196"</f>
        <v>688196</v>
      </c>
      <c r="B4755" t="s">
        <v>5112</v>
      </c>
      <c r="C4755">
        <v>87.49</v>
      </c>
      <c r="D4755">
        <v>36.83</v>
      </c>
      <c r="E4755">
        <v>29.03</v>
      </c>
      <c r="F4755">
        <v>1.27</v>
      </c>
      <c r="G4755">
        <v>1.2</v>
      </c>
      <c r="H4755">
        <v>4416</v>
      </c>
      <c r="I4755">
        <v>3.01</v>
      </c>
      <c r="J4755">
        <v>41.55</v>
      </c>
      <c r="K4755" t="s">
        <v>59</v>
      </c>
    </row>
    <row r="4756" spans="1:11">
      <c r="A4756" t="str">
        <f>"688197"</f>
        <v>688197</v>
      </c>
      <c r="B4756" t="s">
        <v>5113</v>
      </c>
      <c r="C4756">
        <v>25.09</v>
      </c>
      <c r="D4756">
        <v>7.62</v>
      </c>
      <c r="E4756">
        <v>6.54</v>
      </c>
      <c r="F4756">
        <v>1.49</v>
      </c>
      <c r="G4756">
        <v>0.64</v>
      </c>
      <c r="H4756">
        <v>5146</v>
      </c>
      <c r="I4756">
        <v>8.91</v>
      </c>
      <c r="J4756" t="s">
        <v>14</v>
      </c>
      <c r="K4756" t="s">
        <v>109</v>
      </c>
    </row>
    <row r="4757" spans="1:11">
      <c r="A4757" t="str">
        <f>"688198"</f>
        <v>688198</v>
      </c>
      <c r="B4757" t="s">
        <v>5114</v>
      </c>
      <c r="C4757">
        <v>157.09</v>
      </c>
      <c r="D4757">
        <v>14.89</v>
      </c>
      <c r="E4757">
        <v>12.46</v>
      </c>
      <c r="F4757">
        <v>1.38</v>
      </c>
      <c r="G4757">
        <v>1.38</v>
      </c>
      <c r="H4757">
        <v>3962</v>
      </c>
      <c r="I4757">
        <v>12.61</v>
      </c>
      <c r="J4757">
        <v>127.1</v>
      </c>
      <c r="K4757" t="s">
        <v>1173</v>
      </c>
    </row>
    <row r="4758" spans="1:11">
      <c r="A4758" t="str">
        <f>"688199"</f>
        <v>688199</v>
      </c>
      <c r="B4758" t="s">
        <v>5115</v>
      </c>
      <c r="C4758">
        <v>41.45</v>
      </c>
      <c r="D4758">
        <v>42.11</v>
      </c>
      <c r="E4758">
        <v>25.67</v>
      </c>
      <c r="F4758">
        <v>1.61</v>
      </c>
      <c r="G4758">
        <v>1.61</v>
      </c>
      <c r="H4758">
        <v>12448</v>
      </c>
      <c r="I4758">
        <v>1.61</v>
      </c>
      <c r="J4758">
        <v>1143.05</v>
      </c>
      <c r="K4758" t="s">
        <v>1529</v>
      </c>
    </row>
    <row r="4759" spans="1:11">
      <c r="A4759" t="str">
        <f>"688200"</f>
        <v>688200</v>
      </c>
      <c r="B4759" t="s">
        <v>5116</v>
      </c>
      <c r="C4759">
        <v>303.59</v>
      </c>
      <c r="D4759">
        <v>41.82</v>
      </c>
      <c r="E4759">
        <v>38.81</v>
      </c>
      <c r="F4759">
        <v>1.36</v>
      </c>
      <c r="G4759">
        <v>1.36</v>
      </c>
      <c r="H4759">
        <v>10194</v>
      </c>
      <c r="I4759">
        <v>7.82</v>
      </c>
      <c r="J4759">
        <v>58.85</v>
      </c>
      <c r="K4759" t="s">
        <v>1160</v>
      </c>
    </row>
    <row r="4760" spans="1:11">
      <c r="A4760" t="str">
        <f>"688201"</f>
        <v>688201</v>
      </c>
      <c r="B4760" t="s">
        <v>5117</v>
      </c>
      <c r="C4760">
        <v>46.98</v>
      </c>
      <c r="D4760">
        <v>15.03</v>
      </c>
      <c r="E4760">
        <v>13.01</v>
      </c>
      <c r="F4760">
        <v>3.17</v>
      </c>
      <c r="G4760">
        <v>3.03</v>
      </c>
      <c r="H4760">
        <v>12426</v>
      </c>
      <c r="I4760">
        <v>3.79</v>
      </c>
      <c r="J4760">
        <v>252.39</v>
      </c>
      <c r="K4760" t="s">
        <v>17</v>
      </c>
    </row>
    <row r="4761" spans="1:11">
      <c r="A4761" t="str">
        <f>"688202"</f>
        <v>688202</v>
      </c>
      <c r="B4761" t="s">
        <v>5118</v>
      </c>
      <c r="C4761">
        <v>96.8</v>
      </c>
      <c r="D4761">
        <v>27.92</v>
      </c>
      <c r="E4761">
        <v>20.63</v>
      </c>
      <c r="F4761">
        <v>1.34</v>
      </c>
      <c r="G4761">
        <v>1.34</v>
      </c>
      <c r="H4761">
        <v>16485</v>
      </c>
      <c r="I4761">
        <v>4.69</v>
      </c>
      <c r="J4761" t="s">
        <v>14</v>
      </c>
      <c r="K4761" t="s">
        <v>1595</v>
      </c>
    </row>
    <row r="4762" spans="1:11">
      <c r="A4762" t="str">
        <f>"688203"</f>
        <v>688203</v>
      </c>
      <c r="B4762" t="s">
        <v>5119</v>
      </c>
      <c r="C4762">
        <v>16.36</v>
      </c>
      <c r="D4762">
        <v>20.58</v>
      </c>
      <c r="E4762">
        <v>14.73</v>
      </c>
      <c r="F4762">
        <v>2.03</v>
      </c>
      <c r="G4762">
        <v>1.24</v>
      </c>
      <c r="H4762">
        <v>6695</v>
      </c>
      <c r="I4762">
        <v>1.81</v>
      </c>
      <c r="J4762">
        <v>408.4</v>
      </c>
      <c r="K4762" t="s">
        <v>1113</v>
      </c>
    </row>
    <row r="4763" spans="1:11">
      <c r="A4763" t="str">
        <f>"688205"</f>
        <v>688205</v>
      </c>
      <c r="B4763" t="s">
        <v>5120</v>
      </c>
      <c r="C4763">
        <v>230.94</v>
      </c>
      <c r="D4763">
        <v>27.41</v>
      </c>
      <c r="E4763">
        <v>22.8</v>
      </c>
      <c r="F4763">
        <v>1.58</v>
      </c>
      <c r="G4763">
        <v>1.58</v>
      </c>
      <c r="H4763">
        <v>17274</v>
      </c>
      <c r="I4763">
        <v>10.13</v>
      </c>
      <c r="J4763">
        <v>431.85</v>
      </c>
      <c r="K4763" t="s">
        <v>972</v>
      </c>
    </row>
    <row r="4764" spans="1:11">
      <c r="A4764" t="str">
        <f>"688206"</f>
        <v>688206</v>
      </c>
      <c r="B4764" t="s">
        <v>5121</v>
      </c>
      <c r="C4764">
        <v>170.55</v>
      </c>
      <c r="D4764">
        <v>24.63</v>
      </c>
      <c r="E4764">
        <v>20.18</v>
      </c>
      <c r="F4764">
        <v>4.35</v>
      </c>
      <c r="G4764">
        <v>4.35</v>
      </c>
      <c r="H4764">
        <v>15721</v>
      </c>
      <c r="I4764">
        <v>8.45</v>
      </c>
      <c r="J4764">
        <v>304.61</v>
      </c>
      <c r="K4764" t="s">
        <v>691</v>
      </c>
    </row>
    <row r="4765" spans="1:11">
      <c r="A4765" t="str">
        <f>"688207"</f>
        <v>688207</v>
      </c>
      <c r="B4765" t="s">
        <v>5122</v>
      </c>
      <c r="C4765">
        <v>48.84</v>
      </c>
      <c r="D4765">
        <v>21.18</v>
      </c>
      <c r="E4765">
        <v>19.15</v>
      </c>
      <c r="F4765">
        <v>2.59</v>
      </c>
      <c r="G4765">
        <v>2.59</v>
      </c>
      <c r="H4765">
        <v>15166</v>
      </c>
      <c r="I4765">
        <v>2.55</v>
      </c>
      <c r="J4765" t="s">
        <v>14</v>
      </c>
      <c r="K4765" t="s">
        <v>1014</v>
      </c>
    </row>
    <row r="4766" spans="1:11">
      <c r="A4766" t="str">
        <f>"688208"</f>
        <v>688208</v>
      </c>
      <c r="B4766" t="s">
        <v>5123</v>
      </c>
      <c r="C4766">
        <v>259.83</v>
      </c>
      <c r="D4766">
        <v>68.25</v>
      </c>
      <c r="E4766">
        <v>35.65</v>
      </c>
      <c r="F4766">
        <v>6.7</v>
      </c>
      <c r="G4766">
        <v>6.7</v>
      </c>
      <c r="H4766">
        <v>22950</v>
      </c>
      <c r="I4766">
        <v>7.7</v>
      </c>
      <c r="J4766">
        <v>26.57</v>
      </c>
      <c r="K4766" t="s">
        <v>88</v>
      </c>
    </row>
    <row r="4767" spans="1:11">
      <c r="A4767" t="str">
        <f>"688209"</f>
        <v>688209</v>
      </c>
      <c r="B4767" t="s">
        <v>5124</v>
      </c>
      <c r="C4767">
        <v>94.17</v>
      </c>
      <c r="D4767">
        <v>23.2</v>
      </c>
      <c r="E4767">
        <v>20.86</v>
      </c>
      <c r="F4767">
        <v>4.34</v>
      </c>
      <c r="G4767">
        <v>4.34</v>
      </c>
      <c r="H4767">
        <v>15576</v>
      </c>
      <c r="I4767">
        <v>4.47</v>
      </c>
      <c r="J4767">
        <v>61.71</v>
      </c>
      <c r="K4767" t="s">
        <v>691</v>
      </c>
    </row>
    <row r="4768" spans="1:11">
      <c r="A4768" t="str">
        <f>"688210"</f>
        <v>688210</v>
      </c>
      <c r="B4768" t="s">
        <v>5125</v>
      </c>
      <c r="C4768">
        <v>82.26</v>
      </c>
      <c r="D4768">
        <v>24.03</v>
      </c>
      <c r="E4768">
        <v>13.09</v>
      </c>
      <c r="F4768">
        <v>1.62</v>
      </c>
      <c r="G4768">
        <v>1.62</v>
      </c>
      <c r="H4768">
        <v>4670</v>
      </c>
      <c r="I4768">
        <v>6.27</v>
      </c>
      <c r="J4768">
        <v>1071.59</v>
      </c>
      <c r="K4768" t="s">
        <v>41</v>
      </c>
    </row>
    <row r="4769" spans="1:11">
      <c r="A4769" t="str">
        <f>"688211"</f>
        <v>688211</v>
      </c>
      <c r="B4769" t="s">
        <v>5126</v>
      </c>
      <c r="C4769">
        <v>42.43</v>
      </c>
      <c r="D4769">
        <v>69.63</v>
      </c>
      <c r="E4769">
        <v>33.77</v>
      </c>
      <c r="F4769">
        <v>1.32</v>
      </c>
      <c r="G4769">
        <v>1.32</v>
      </c>
      <c r="H4769">
        <v>10458</v>
      </c>
      <c r="I4769">
        <v>1.26</v>
      </c>
      <c r="J4769" t="s">
        <v>14</v>
      </c>
      <c r="K4769" t="s">
        <v>493</v>
      </c>
    </row>
    <row r="4770" spans="1:11">
      <c r="A4770" t="str">
        <f>"688212"</f>
        <v>688212</v>
      </c>
      <c r="B4770" t="s">
        <v>5127</v>
      </c>
      <c r="C4770">
        <v>64.5</v>
      </c>
      <c r="D4770">
        <v>18.27</v>
      </c>
      <c r="E4770">
        <v>12.45</v>
      </c>
      <c r="F4770">
        <v>1.35</v>
      </c>
      <c r="G4770">
        <v>1.35</v>
      </c>
      <c r="H4770">
        <v>5549</v>
      </c>
      <c r="I4770">
        <v>5.18</v>
      </c>
      <c r="J4770" t="s">
        <v>14</v>
      </c>
      <c r="K4770" t="s">
        <v>1836</v>
      </c>
    </row>
    <row r="4771" spans="1:11">
      <c r="A4771" t="str">
        <f>"688213"</f>
        <v>688213</v>
      </c>
      <c r="B4771" t="s">
        <v>5128</v>
      </c>
      <c r="C4771">
        <v>309.13</v>
      </c>
      <c r="D4771">
        <v>104.59</v>
      </c>
      <c r="E4771">
        <v>49.33</v>
      </c>
      <c r="F4771">
        <v>4.02</v>
      </c>
      <c r="G4771">
        <v>3.23</v>
      </c>
      <c r="H4771">
        <v>18334</v>
      </c>
      <c r="I4771">
        <v>7.79</v>
      </c>
      <c r="J4771">
        <v>41.22</v>
      </c>
      <c r="K4771" t="s">
        <v>691</v>
      </c>
    </row>
    <row r="4772" spans="1:11">
      <c r="A4772" t="str">
        <f>"688215"</f>
        <v>688215</v>
      </c>
      <c r="B4772" t="s">
        <v>5129</v>
      </c>
      <c r="C4772">
        <v>43.95</v>
      </c>
      <c r="D4772">
        <v>9.74</v>
      </c>
      <c r="E4772">
        <v>4.59</v>
      </c>
      <c r="F4772">
        <v>0.62</v>
      </c>
      <c r="G4772">
        <v>0.62</v>
      </c>
      <c r="H4772">
        <v>3414</v>
      </c>
      <c r="I4772">
        <v>9.58</v>
      </c>
      <c r="J4772">
        <v>371.91</v>
      </c>
      <c r="K4772" t="s">
        <v>493</v>
      </c>
    </row>
    <row r="4773" spans="1:11">
      <c r="A4773" t="str">
        <f>"688216"</f>
        <v>688216</v>
      </c>
      <c r="B4773" t="s">
        <v>5130</v>
      </c>
      <c r="C4773">
        <v>25.72</v>
      </c>
      <c r="D4773">
        <v>19.37</v>
      </c>
      <c r="E4773">
        <v>5.83</v>
      </c>
      <c r="F4773">
        <v>1.07</v>
      </c>
      <c r="G4773">
        <v>1.06</v>
      </c>
      <c r="H4773">
        <v>7974</v>
      </c>
      <c r="I4773">
        <v>4.44</v>
      </c>
      <c r="J4773" t="s">
        <v>14</v>
      </c>
      <c r="K4773" t="s">
        <v>838</v>
      </c>
    </row>
    <row r="4774" spans="1:11">
      <c r="A4774" t="str">
        <f>"688217"</f>
        <v>688217</v>
      </c>
      <c r="B4774" t="s">
        <v>5131</v>
      </c>
      <c r="C4774">
        <v>17.83</v>
      </c>
      <c r="D4774">
        <v>9.48</v>
      </c>
      <c r="E4774">
        <v>9.04</v>
      </c>
      <c r="F4774">
        <v>0.56</v>
      </c>
      <c r="G4774">
        <v>0.56</v>
      </c>
      <c r="H4774">
        <v>4715</v>
      </c>
      <c r="I4774">
        <v>1.97</v>
      </c>
      <c r="J4774" t="s">
        <v>14</v>
      </c>
      <c r="K4774" t="s">
        <v>775</v>
      </c>
    </row>
    <row r="4775" spans="1:11">
      <c r="A4775" t="str">
        <f>"688218"</f>
        <v>688218</v>
      </c>
      <c r="B4775" t="s">
        <v>5132</v>
      </c>
      <c r="C4775">
        <v>27.97</v>
      </c>
      <c r="D4775">
        <v>19.03</v>
      </c>
      <c r="E4775">
        <v>8.9</v>
      </c>
      <c r="F4775">
        <v>1.19</v>
      </c>
      <c r="G4775">
        <v>1.19</v>
      </c>
      <c r="H4775">
        <v>8131</v>
      </c>
      <c r="I4775">
        <v>3.14</v>
      </c>
      <c r="J4775" t="s">
        <v>14</v>
      </c>
      <c r="K4775" t="s">
        <v>1527</v>
      </c>
    </row>
    <row r="4776" spans="1:11">
      <c r="A4776" t="str">
        <f>"688219"</f>
        <v>688219</v>
      </c>
      <c r="B4776" t="s">
        <v>5133</v>
      </c>
      <c r="C4776">
        <v>68.7</v>
      </c>
      <c r="D4776">
        <v>71.2</v>
      </c>
      <c r="E4776">
        <v>29.71</v>
      </c>
      <c r="F4776">
        <v>5.5</v>
      </c>
      <c r="G4776">
        <v>5.5</v>
      </c>
      <c r="H4776">
        <v>17992</v>
      </c>
      <c r="I4776">
        <v>2.32</v>
      </c>
      <c r="J4776">
        <v>31.01</v>
      </c>
      <c r="K4776" t="s">
        <v>1113</v>
      </c>
    </row>
    <row r="4777" spans="1:11">
      <c r="A4777" t="str">
        <f>"688220"</f>
        <v>688220</v>
      </c>
      <c r="B4777" t="s">
        <v>5134</v>
      </c>
      <c r="C4777">
        <v>354.56</v>
      </c>
      <c r="D4777">
        <v>68.65</v>
      </c>
      <c r="E4777">
        <v>55.14</v>
      </c>
      <c r="F4777">
        <v>4.18</v>
      </c>
      <c r="G4777">
        <v>3.69</v>
      </c>
      <c r="H4777">
        <v>23356</v>
      </c>
      <c r="I4777">
        <v>7.29</v>
      </c>
      <c r="J4777" t="s">
        <v>14</v>
      </c>
      <c r="K4777" t="s">
        <v>691</v>
      </c>
    </row>
    <row r="4778" spans="1:11">
      <c r="A4778" t="str">
        <f>"688221"</f>
        <v>688221</v>
      </c>
      <c r="B4778" t="s">
        <v>5135</v>
      </c>
      <c r="C4778">
        <v>99.26</v>
      </c>
      <c r="D4778">
        <v>16.37</v>
      </c>
      <c r="E4778">
        <v>9.82</v>
      </c>
      <c r="F4778">
        <v>3.75</v>
      </c>
      <c r="G4778">
        <v>3.75</v>
      </c>
      <c r="H4778">
        <v>16441</v>
      </c>
      <c r="I4778">
        <v>10.11</v>
      </c>
      <c r="J4778" t="s">
        <v>14</v>
      </c>
      <c r="K4778" t="s">
        <v>210</v>
      </c>
    </row>
    <row r="4779" spans="1:11">
      <c r="A4779" t="str">
        <f>"688222"</f>
        <v>688222</v>
      </c>
      <c r="B4779" t="s">
        <v>5136</v>
      </c>
      <c r="C4779">
        <v>159.91</v>
      </c>
      <c r="D4779">
        <v>19.36</v>
      </c>
      <c r="E4779">
        <v>14.71</v>
      </c>
      <c r="F4779">
        <v>4.01</v>
      </c>
      <c r="G4779">
        <v>4.01</v>
      </c>
      <c r="H4779">
        <v>20747</v>
      </c>
      <c r="I4779">
        <v>10.87</v>
      </c>
      <c r="J4779">
        <v>129.14</v>
      </c>
      <c r="K4779" t="s">
        <v>1595</v>
      </c>
    </row>
    <row r="4780" spans="1:11">
      <c r="A4780" t="str">
        <f>"688223"</f>
        <v>688223</v>
      </c>
      <c r="B4780" t="s">
        <v>5137</v>
      </c>
      <c r="C4780">
        <v>616.32</v>
      </c>
      <c r="D4780">
        <v>1171.98</v>
      </c>
      <c r="E4780">
        <v>283.88</v>
      </c>
      <c r="F4780">
        <v>100.05</v>
      </c>
      <c r="G4780">
        <v>100.05</v>
      </c>
      <c r="H4780">
        <v>77286</v>
      </c>
      <c r="I4780">
        <v>2.26</v>
      </c>
      <c r="J4780" t="s">
        <v>14</v>
      </c>
      <c r="K4780" t="s">
        <v>815</v>
      </c>
    </row>
    <row r="4781" spans="1:11">
      <c r="A4781" t="str">
        <f>"688225"</f>
        <v>688225</v>
      </c>
      <c r="B4781" t="s">
        <v>5138</v>
      </c>
      <c r="C4781">
        <v>97.56</v>
      </c>
      <c r="D4781">
        <v>114.29</v>
      </c>
      <c r="E4781">
        <v>17.76</v>
      </c>
      <c r="F4781">
        <v>4</v>
      </c>
      <c r="G4781">
        <v>4</v>
      </c>
      <c r="H4781">
        <v>9271</v>
      </c>
      <c r="I4781">
        <v>5.49</v>
      </c>
      <c r="J4781" t="s">
        <v>14</v>
      </c>
      <c r="K4781" t="s">
        <v>117</v>
      </c>
    </row>
    <row r="4782" spans="1:11">
      <c r="A4782" t="str">
        <f>"688226"</f>
        <v>688226</v>
      </c>
      <c r="B4782" t="s">
        <v>5139</v>
      </c>
      <c r="C4782">
        <v>78.49</v>
      </c>
      <c r="D4782">
        <v>51</v>
      </c>
      <c r="E4782">
        <v>16.69</v>
      </c>
      <c r="F4782">
        <v>1.89</v>
      </c>
      <c r="G4782">
        <v>1.89</v>
      </c>
      <c r="H4782">
        <v>7592</v>
      </c>
      <c r="I4782">
        <v>4.67</v>
      </c>
      <c r="J4782">
        <v>430.87</v>
      </c>
      <c r="K4782" t="s">
        <v>383</v>
      </c>
    </row>
    <row r="4783" spans="1:11">
      <c r="A4783" t="str">
        <f>"688227"</f>
        <v>688227</v>
      </c>
      <c r="B4783" t="s">
        <v>5140</v>
      </c>
      <c r="C4783">
        <v>96.27</v>
      </c>
      <c r="D4783">
        <v>19.74</v>
      </c>
      <c r="E4783">
        <v>12.95</v>
      </c>
      <c r="F4783">
        <v>1.13</v>
      </c>
      <c r="G4783">
        <v>1.13</v>
      </c>
      <c r="H4783">
        <v>7277</v>
      </c>
      <c r="I4783">
        <v>7.43</v>
      </c>
      <c r="J4783" t="s">
        <v>14</v>
      </c>
      <c r="K4783" t="s">
        <v>1970</v>
      </c>
    </row>
    <row r="4784" spans="1:11">
      <c r="A4784" t="str">
        <f>"688228"</f>
        <v>688228</v>
      </c>
      <c r="B4784" t="s">
        <v>5141</v>
      </c>
      <c r="C4784">
        <v>144.34</v>
      </c>
      <c r="D4784">
        <v>19.3</v>
      </c>
      <c r="E4784">
        <v>13.33</v>
      </c>
      <c r="F4784">
        <v>0.68</v>
      </c>
      <c r="G4784">
        <v>0.68</v>
      </c>
      <c r="H4784">
        <v>8215</v>
      </c>
      <c r="I4784">
        <v>10.83</v>
      </c>
      <c r="J4784" t="s">
        <v>14</v>
      </c>
      <c r="K4784" t="s">
        <v>117</v>
      </c>
    </row>
    <row r="4785" spans="1:11">
      <c r="A4785" t="str">
        <f>"688229"</f>
        <v>688229</v>
      </c>
      <c r="B4785" t="s">
        <v>5142</v>
      </c>
      <c r="C4785">
        <v>34.45</v>
      </c>
      <c r="D4785">
        <v>4.78</v>
      </c>
      <c r="E4785">
        <v>4.19</v>
      </c>
      <c r="F4785">
        <v>0.44</v>
      </c>
      <c r="G4785">
        <v>0.44</v>
      </c>
      <c r="H4785">
        <v>6120</v>
      </c>
      <c r="I4785">
        <v>8.23</v>
      </c>
      <c r="J4785" t="s">
        <v>14</v>
      </c>
      <c r="K4785" t="s">
        <v>117</v>
      </c>
    </row>
    <row r="4786" spans="1:11">
      <c r="A4786" t="str">
        <f>"688230"</f>
        <v>688230</v>
      </c>
      <c r="B4786" t="s">
        <v>5143</v>
      </c>
      <c r="C4786">
        <v>93.84</v>
      </c>
      <c r="D4786">
        <v>23.08</v>
      </c>
      <c r="E4786">
        <v>22.48</v>
      </c>
      <c r="F4786">
        <v>1.18</v>
      </c>
      <c r="G4786">
        <v>1.18</v>
      </c>
      <c r="H4786">
        <v>7755</v>
      </c>
      <c r="I4786">
        <v>4.18</v>
      </c>
      <c r="J4786">
        <v>95.59</v>
      </c>
      <c r="K4786" t="s">
        <v>1852</v>
      </c>
    </row>
    <row r="4787" spans="1:11">
      <c r="A4787" t="str">
        <f>"688231"</f>
        <v>688231</v>
      </c>
      <c r="B4787" t="s">
        <v>5144</v>
      </c>
      <c r="C4787">
        <v>34.47</v>
      </c>
      <c r="D4787">
        <v>40.91</v>
      </c>
      <c r="E4787">
        <v>27.85</v>
      </c>
      <c r="F4787">
        <v>2.47</v>
      </c>
      <c r="G4787">
        <v>1.26</v>
      </c>
      <c r="H4787">
        <v>10298</v>
      </c>
      <c r="I4787">
        <v>2.42</v>
      </c>
      <c r="J4787">
        <v>71.14</v>
      </c>
      <c r="K4787" t="s">
        <v>241</v>
      </c>
    </row>
    <row r="4788" spans="1:11">
      <c r="A4788" t="str">
        <f>"688232"</f>
        <v>688232</v>
      </c>
      <c r="B4788" t="s">
        <v>5145</v>
      </c>
      <c r="C4788">
        <v>106.61</v>
      </c>
      <c r="D4788">
        <v>63.49</v>
      </c>
      <c r="E4788">
        <v>53</v>
      </c>
      <c r="F4788">
        <v>3.22</v>
      </c>
      <c r="G4788">
        <v>3.22</v>
      </c>
      <c r="H4788">
        <v>10100</v>
      </c>
      <c r="I4788">
        <v>2.06</v>
      </c>
      <c r="J4788" t="s">
        <v>14</v>
      </c>
      <c r="K4788" t="s">
        <v>117</v>
      </c>
    </row>
    <row r="4789" spans="1:11">
      <c r="A4789" t="str">
        <f>"688233"</f>
        <v>688233</v>
      </c>
      <c r="B4789" t="s">
        <v>5146</v>
      </c>
      <c r="C4789">
        <v>120.76</v>
      </c>
      <c r="D4789">
        <v>20.71</v>
      </c>
      <c r="E4789">
        <v>18.56</v>
      </c>
      <c r="F4789">
        <v>1.7</v>
      </c>
      <c r="G4789">
        <v>1.7</v>
      </c>
      <c r="H4789">
        <v>19384</v>
      </c>
      <c r="I4789">
        <v>6.51</v>
      </c>
      <c r="J4789">
        <v>127.26</v>
      </c>
      <c r="K4789" t="s">
        <v>884</v>
      </c>
    </row>
    <row r="4790" spans="1:11">
      <c r="A4790" t="str">
        <f>"688234"</f>
        <v>688234</v>
      </c>
      <c r="B4790" t="s">
        <v>5147</v>
      </c>
      <c r="C4790">
        <v>393.14</v>
      </c>
      <c r="D4790">
        <v>97.21</v>
      </c>
      <c r="E4790">
        <v>73.98</v>
      </c>
      <c r="F4790">
        <v>4.85</v>
      </c>
      <c r="G4790">
        <v>4.3</v>
      </c>
      <c r="H4790">
        <v>29575</v>
      </c>
      <c r="I4790">
        <v>5.99</v>
      </c>
      <c r="J4790">
        <v>29693.11</v>
      </c>
      <c r="K4790" t="s">
        <v>884</v>
      </c>
    </row>
    <row r="4791" spans="1:11">
      <c r="A4791" t="str">
        <f>"688235"</f>
        <v>688235</v>
      </c>
      <c r="B4791" t="s">
        <v>5148</v>
      </c>
      <c r="C4791">
        <v>354.37</v>
      </c>
      <c r="D4791">
        <v>540.76</v>
      </c>
      <c r="E4791">
        <v>293.35</v>
      </c>
      <c r="F4791">
        <v>15.41</v>
      </c>
      <c r="G4791">
        <v>1.15</v>
      </c>
      <c r="H4791">
        <v>36172</v>
      </c>
      <c r="I4791">
        <v>16.18</v>
      </c>
      <c r="J4791">
        <v>312.57</v>
      </c>
      <c r="K4791" t="s">
        <v>210</v>
      </c>
    </row>
    <row r="4792" spans="1:11">
      <c r="A4792" t="str">
        <f>"688236"</f>
        <v>688236</v>
      </c>
      <c r="B4792" t="s">
        <v>5149</v>
      </c>
      <c r="C4792">
        <v>76.89</v>
      </c>
      <c r="D4792">
        <v>35.4</v>
      </c>
      <c r="E4792">
        <v>29.85</v>
      </c>
      <c r="F4792">
        <v>3.84</v>
      </c>
      <c r="G4792">
        <v>2.88</v>
      </c>
      <c r="H4792">
        <v>6164</v>
      </c>
      <c r="I4792">
        <v>3.43</v>
      </c>
      <c r="J4792">
        <v>40.04</v>
      </c>
      <c r="K4792" t="s">
        <v>1173</v>
      </c>
    </row>
    <row r="4793" spans="1:11">
      <c r="A4793" t="str">
        <f>"688237"</f>
        <v>688237</v>
      </c>
      <c r="B4793" t="s">
        <v>5150</v>
      </c>
      <c r="C4793">
        <v>48.2</v>
      </c>
      <c r="D4793">
        <v>15.86</v>
      </c>
      <c r="E4793">
        <v>12.1</v>
      </c>
      <c r="F4793">
        <v>0.9</v>
      </c>
      <c r="G4793">
        <v>0.9</v>
      </c>
      <c r="H4793">
        <v>3531</v>
      </c>
      <c r="I4793">
        <v>3.98</v>
      </c>
      <c r="J4793">
        <v>324.46</v>
      </c>
      <c r="K4793" t="s">
        <v>353</v>
      </c>
    </row>
    <row r="4794" spans="1:11">
      <c r="A4794" t="str">
        <f>"688238"</f>
        <v>688238</v>
      </c>
      <c r="B4794" t="s">
        <v>5151</v>
      </c>
      <c r="C4794">
        <v>49.43</v>
      </c>
      <c r="D4794">
        <v>21.17</v>
      </c>
      <c r="E4794">
        <v>14.81</v>
      </c>
      <c r="F4794">
        <v>6.49</v>
      </c>
      <c r="G4794">
        <v>6.41</v>
      </c>
      <c r="H4794">
        <v>14047</v>
      </c>
      <c r="I4794">
        <v>3.38</v>
      </c>
      <c r="J4794" t="s">
        <v>14</v>
      </c>
      <c r="K4794" t="s">
        <v>1595</v>
      </c>
    </row>
    <row r="4795" spans="1:11">
      <c r="A4795" t="str">
        <f>"688239"</f>
        <v>688239</v>
      </c>
      <c r="B4795" t="s">
        <v>5152</v>
      </c>
      <c r="C4795">
        <v>123.95</v>
      </c>
      <c r="D4795">
        <v>47.01</v>
      </c>
      <c r="E4795">
        <v>19.53</v>
      </c>
      <c r="F4795">
        <v>1.91</v>
      </c>
      <c r="G4795">
        <v>1.91</v>
      </c>
      <c r="H4795">
        <v>9828</v>
      </c>
      <c r="I4795">
        <v>6.29</v>
      </c>
      <c r="J4795">
        <v>63.72</v>
      </c>
      <c r="K4795" t="s">
        <v>353</v>
      </c>
    </row>
    <row r="4796" spans="1:11">
      <c r="A4796" t="str">
        <f>"688244"</f>
        <v>688244</v>
      </c>
      <c r="B4796" t="s">
        <v>5153</v>
      </c>
      <c r="C4796">
        <v>40.17</v>
      </c>
      <c r="D4796">
        <v>11.09</v>
      </c>
      <c r="E4796">
        <v>9.68</v>
      </c>
      <c r="F4796">
        <v>1.51</v>
      </c>
      <c r="G4796">
        <v>1.51</v>
      </c>
      <c r="H4796">
        <v>6011</v>
      </c>
      <c r="I4796">
        <v>4.15</v>
      </c>
      <c r="J4796" t="s">
        <v>14</v>
      </c>
      <c r="K4796" t="s">
        <v>117</v>
      </c>
    </row>
    <row r="4797" spans="1:11">
      <c r="A4797" t="str">
        <f>"688246"</f>
        <v>688246</v>
      </c>
      <c r="B4797" t="s">
        <v>5154</v>
      </c>
      <c r="C4797">
        <v>48.29</v>
      </c>
      <c r="D4797">
        <v>22.23</v>
      </c>
      <c r="E4797">
        <v>13.82</v>
      </c>
      <c r="F4797">
        <v>1.38</v>
      </c>
      <c r="G4797">
        <v>1.38</v>
      </c>
      <c r="H4797">
        <v>8282</v>
      </c>
      <c r="I4797">
        <v>3.49</v>
      </c>
      <c r="J4797" t="s">
        <v>14</v>
      </c>
      <c r="K4797" t="s">
        <v>117</v>
      </c>
    </row>
    <row r="4798" spans="1:11">
      <c r="A4798" t="str">
        <f>"688247"</f>
        <v>688247</v>
      </c>
      <c r="B4798" t="s">
        <v>5155</v>
      </c>
      <c r="C4798">
        <v>48.64</v>
      </c>
      <c r="D4798">
        <v>14.56</v>
      </c>
      <c r="E4798">
        <v>13.08</v>
      </c>
      <c r="F4798">
        <v>4.53</v>
      </c>
      <c r="G4798">
        <v>4.53</v>
      </c>
      <c r="H4798">
        <v>7759</v>
      </c>
      <c r="I4798">
        <v>3.72</v>
      </c>
      <c r="J4798">
        <v>57.49</v>
      </c>
      <c r="K4798" t="s">
        <v>109</v>
      </c>
    </row>
    <row r="4799" spans="1:11">
      <c r="A4799" t="str">
        <f>"688248"</f>
        <v>688248</v>
      </c>
      <c r="B4799" t="s">
        <v>5156</v>
      </c>
      <c r="C4799">
        <v>300.53</v>
      </c>
      <c r="D4799">
        <v>47.99</v>
      </c>
      <c r="E4799">
        <v>31.99</v>
      </c>
      <c r="F4799">
        <v>5.65</v>
      </c>
      <c r="G4799">
        <v>5.65</v>
      </c>
      <c r="H4799">
        <v>9626</v>
      </c>
      <c r="I4799">
        <v>9.39</v>
      </c>
      <c r="J4799">
        <v>78.61</v>
      </c>
      <c r="K4799" t="s">
        <v>127</v>
      </c>
    </row>
    <row r="4800" spans="1:11">
      <c r="A4800" t="str">
        <f>"688249"</f>
        <v>688249</v>
      </c>
      <c r="B4800" t="s">
        <v>5157</v>
      </c>
      <c r="C4800">
        <v>423.01</v>
      </c>
      <c r="D4800">
        <v>522.14</v>
      </c>
      <c r="E4800">
        <v>213.95</v>
      </c>
      <c r="F4800">
        <v>20.08</v>
      </c>
      <c r="G4800">
        <v>11.88</v>
      </c>
      <c r="H4800">
        <v>59700</v>
      </c>
      <c r="I4800">
        <v>3.34</v>
      </c>
      <c r="J4800">
        <v>97.43</v>
      </c>
      <c r="K4800" t="s">
        <v>2240</v>
      </c>
    </row>
    <row r="4801" spans="1:11">
      <c r="A4801" t="str">
        <f>"688251"</f>
        <v>688251</v>
      </c>
      <c r="B4801" t="s">
        <v>5158</v>
      </c>
      <c r="C4801">
        <v>27.4</v>
      </c>
      <c r="D4801">
        <v>16.58</v>
      </c>
      <c r="E4801">
        <v>8.37</v>
      </c>
      <c r="F4801">
        <v>1.01</v>
      </c>
      <c r="G4801">
        <v>1</v>
      </c>
      <c r="H4801">
        <v>4160</v>
      </c>
      <c r="I4801">
        <v>3.3</v>
      </c>
      <c r="J4801">
        <v>256.5</v>
      </c>
      <c r="K4801" t="s">
        <v>744</v>
      </c>
    </row>
    <row r="4802" spans="1:11">
      <c r="A4802" t="str">
        <f>"688252"</f>
        <v>688252</v>
      </c>
      <c r="B4802" t="s">
        <v>5159</v>
      </c>
      <c r="C4802">
        <v>41.19</v>
      </c>
      <c r="D4802">
        <v>27.43</v>
      </c>
      <c r="E4802">
        <v>23.56</v>
      </c>
      <c r="F4802">
        <v>4.09</v>
      </c>
      <c r="G4802">
        <v>1.82</v>
      </c>
      <c r="H4802">
        <v>16244</v>
      </c>
      <c r="I4802">
        <v>3.92</v>
      </c>
      <c r="J4802">
        <v>35.5</v>
      </c>
      <c r="K4802" t="s">
        <v>691</v>
      </c>
    </row>
    <row r="4803" spans="1:11">
      <c r="A4803" t="str">
        <f>"688253"</f>
        <v>688253</v>
      </c>
      <c r="B4803" t="s">
        <v>5160</v>
      </c>
      <c r="C4803">
        <v>24.73</v>
      </c>
      <c r="D4803">
        <v>21.57</v>
      </c>
      <c r="E4803">
        <v>20.32</v>
      </c>
      <c r="F4803">
        <v>1.37</v>
      </c>
      <c r="G4803">
        <v>0.69</v>
      </c>
      <c r="H4803">
        <v>8037</v>
      </c>
      <c r="I4803">
        <v>2.4</v>
      </c>
      <c r="J4803">
        <v>27.93</v>
      </c>
      <c r="K4803" t="s">
        <v>2179</v>
      </c>
    </row>
    <row r="4804" spans="1:11">
      <c r="A4804" t="str">
        <f>"688255"</f>
        <v>688255</v>
      </c>
      <c r="B4804" t="s">
        <v>5161</v>
      </c>
      <c r="C4804">
        <v>41.39</v>
      </c>
      <c r="D4804">
        <v>12.53</v>
      </c>
      <c r="E4804">
        <v>10.59</v>
      </c>
      <c r="F4804">
        <v>1.1</v>
      </c>
      <c r="G4804">
        <v>1.1</v>
      </c>
      <c r="H4804">
        <v>7102</v>
      </c>
      <c r="I4804">
        <v>3.91</v>
      </c>
      <c r="J4804">
        <v>243.44</v>
      </c>
      <c r="K4804" t="s">
        <v>1527</v>
      </c>
    </row>
    <row r="4805" spans="1:11">
      <c r="A4805" t="str">
        <f>"688256"</f>
        <v>688256</v>
      </c>
      <c r="B4805" t="s">
        <v>5162</v>
      </c>
      <c r="C4805">
        <v>6020.56</v>
      </c>
      <c r="D4805">
        <v>125.92</v>
      </c>
      <c r="E4805">
        <v>113.11</v>
      </c>
      <c r="F4805">
        <v>4.22</v>
      </c>
      <c r="G4805">
        <v>4.18</v>
      </c>
      <c r="H4805">
        <v>61993</v>
      </c>
      <c r="I4805">
        <v>53.23</v>
      </c>
      <c r="J4805">
        <v>283.64</v>
      </c>
      <c r="K4805" t="s">
        <v>691</v>
      </c>
    </row>
    <row r="4806" spans="1:11">
      <c r="A4806" t="str">
        <f>"688257"</f>
        <v>688257</v>
      </c>
      <c r="B4806" t="s">
        <v>5163</v>
      </c>
      <c r="C4806">
        <v>104.47</v>
      </c>
      <c r="D4806">
        <v>47.19</v>
      </c>
      <c r="E4806">
        <v>23.17</v>
      </c>
      <c r="F4806">
        <v>2.52</v>
      </c>
      <c r="G4806">
        <v>2.52</v>
      </c>
      <c r="H4806">
        <v>8295</v>
      </c>
      <c r="I4806">
        <v>4.51</v>
      </c>
      <c r="J4806">
        <v>47.38</v>
      </c>
      <c r="K4806" t="s">
        <v>63</v>
      </c>
    </row>
    <row r="4807" spans="1:11">
      <c r="A4807" t="str">
        <f>"688258"</f>
        <v>688258</v>
      </c>
      <c r="B4807" t="s">
        <v>5164</v>
      </c>
      <c r="C4807">
        <v>198.67</v>
      </c>
      <c r="D4807">
        <v>15.73</v>
      </c>
      <c r="E4807">
        <v>8.75</v>
      </c>
      <c r="F4807">
        <v>1.21</v>
      </c>
      <c r="G4807">
        <v>1.21</v>
      </c>
      <c r="H4807">
        <v>8970</v>
      </c>
      <c r="I4807">
        <v>22.7</v>
      </c>
      <c r="J4807">
        <v>334.09</v>
      </c>
      <c r="K4807" t="s">
        <v>974</v>
      </c>
    </row>
    <row r="4808" spans="1:11">
      <c r="A4808" t="str">
        <f>"688259"</f>
        <v>688259</v>
      </c>
      <c r="B4808" t="s">
        <v>5165</v>
      </c>
      <c r="C4808">
        <v>48.94</v>
      </c>
      <c r="D4808">
        <v>18.15</v>
      </c>
      <c r="E4808">
        <v>15.75</v>
      </c>
      <c r="F4808">
        <v>1.12</v>
      </c>
      <c r="G4808">
        <v>1.12</v>
      </c>
      <c r="H4808">
        <v>9346</v>
      </c>
      <c r="I4808">
        <v>3.11</v>
      </c>
      <c r="J4808">
        <v>53.4</v>
      </c>
      <c r="K4808" t="s">
        <v>691</v>
      </c>
    </row>
    <row r="4809" spans="1:11">
      <c r="A4809" t="str">
        <f>"688260"</f>
        <v>688260</v>
      </c>
      <c r="B4809" t="s">
        <v>5166</v>
      </c>
      <c r="C4809">
        <v>43.62</v>
      </c>
      <c r="D4809">
        <v>15.16</v>
      </c>
      <c r="E4809">
        <v>1.23</v>
      </c>
      <c r="F4809">
        <v>1.2</v>
      </c>
      <c r="G4809">
        <v>1.2</v>
      </c>
      <c r="H4809">
        <v>5213</v>
      </c>
      <c r="I4809">
        <v>35.39</v>
      </c>
      <c r="J4809" t="s">
        <v>14</v>
      </c>
      <c r="K4809" t="s">
        <v>41</v>
      </c>
    </row>
    <row r="4810" spans="1:11">
      <c r="A4810" t="str">
        <f>"688261"</f>
        <v>688261</v>
      </c>
      <c r="B4810" t="s">
        <v>5167</v>
      </c>
      <c r="C4810">
        <v>123.11</v>
      </c>
      <c r="D4810">
        <v>31.54</v>
      </c>
      <c r="E4810">
        <v>29.49</v>
      </c>
      <c r="F4810">
        <v>1.23</v>
      </c>
      <c r="G4810">
        <v>1.22</v>
      </c>
      <c r="H4810">
        <v>12628</v>
      </c>
      <c r="I4810">
        <v>4.19</v>
      </c>
      <c r="J4810">
        <v>190.93</v>
      </c>
      <c r="K4810" t="s">
        <v>1852</v>
      </c>
    </row>
    <row r="4811" spans="1:11">
      <c r="A4811" t="str">
        <f>"688262"</f>
        <v>688262</v>
      </c>
      <c r="B4811" t="s">
        <v>5168</v>
      </c>
      <c r="C4811">
        <v>107.25</v>
      </c>
      <c r="D4811">
        <v>32.46</v>
      </c>
      <c r="E4811">
        <v>20.62</v>
      </c>
      <c r="F4811">
        <v>3.36</v>
      </c>
      <c r="G4811">
        <v>3.36</v>
      </c>
      <c r="H4811">
        <v>25677</v>
      </c>
      <c r="I4811">
        <v>5.2</v>
      </c>
      <c r="J4811" t="s">
        <v>14</v>
      </c>
      <c r="K4811" t="s">
        <v>691</v>
      </c>
    </row>
    <row r="4812" spans="1:11">
      <c r="A4812" t="str">
        <f>"688265"</f>
        <v>688265</v>
      </c>
      <c r="B4812" t="s">
        <v>5169</v>
      </c>
      <c r="C4812">
        <v>42.88</v>
      </c>
      <c r="D4812">
        <v>18.99</v>
      </c>
      <c r="E4812">
        <v>17.02</v>
      </c>
      <c r="F4812">
        <v>0.78</v>
      </c>
      <c r="G4812">
        <v>0.78</v>
      </c>
      <c r="H4812">
        <v>6687</v>
      </c>
      <c r="I4812">
        <v>2.52</v>
      </c>
      <c r="J4812">
        <v>120.16</v>
      </c>
      <c r="K4812" t="s">
        <v>1595</v>
      </c>
    </row>
    <row r="4813" spans="1:11">
      <c r="A4813" t="str">
        <f>"688266"</f>
        <v>688266</v>
      </c>
      <c r="B4813" t="s">
        <v>5170</v>
      </c>
      <c r="C4813">
        <v>248.88</v>
      </c>
      <c r="D4813">
        <v>30.13</v>
      </c>
      <c r="E4813">
        <v>11.49</v>
      </c>
      <c r="F4813">
        <v>2.65</v>
      </c>
      <c r="G4813">
        <v>2.65</v>
      </c>
      <c r="H4813">
        <v>8809</v>
      </c>
      <c r="I4813">
        <v>21.66</v>
      </c>
      <c r="J4813" t="s">
        <v>14</v>
      </c>
      <c r="K4813" t="s">
        <v>210</v>
      </c>
    </row>
    <row r="4814" spans="1:11">
      <c r="A4814" t="str">
        <f>"688267"</f>
        <v>688267</v>
      </c>
      <c r="B4814" t="s">
        <v>5171</v>
      </c>
      <c r="C4814">
        <v>51.59</v>
      </c>
      <c r="D4814">
        <v>30.71</v>
      </c>
      <c r="E4814">
        <v>28.47</v>
      </c>
      <c r="F4814">
        <v>1.76</v>
      </c>
      <c r="G4814">
        <v>1.76</v>
      </c>
      <c r="H4814">
        <v>7511</v>
      </c>
      <c r="I4814">
        <v>1.81</v>
      </c>
      <c r="J4814">
        <v>22.36</v>
      </c>
      <c r="K4814" t="s">
        <v>511</v>
      </c>
    </row>
    <row r="4815" spans="1:11">
      <c r="A4815" t="str">
        <f>"688268"</f>
        <v>688268</v>
      </c>
      <c r="B4815" t="s">
        <v>5172</v>
      </c>
      <c r="C4815">
        <v>76.26</v>
      </c>
      <c r="D4815">
        <v>35.35</v>
      </c>
      <c r="E4815">
        <v>20.03</v>
      </c>
      <c r="F4815">
        <v>1.2</v>
      </c>
      <c r="G4815">
        <v>1.2</v>
      </c>
      <c r="H4815">
        <v>14140</v>
      </c>
      <c r="I4815">
        <v>4.15</v>
      </c>
      <c r="J4815">
        <v>48.1</v>
      </c>
      <c r="K4815" t="s">
        <v>884</v>
      </c>
    </row>
    <row r="4816" spans="1:11">
      <c r="A4816" t="str">
        <f>"688269"</f>
        <v>688269</v>
      </c>
      <c r="B4816" t="s">
        <v>5173</v>
      </c>
      <c r="C4816">
        <v>52.46</v>
      </c>
      <c r="D4816">
        <v>21.01</v>
      </c>
      <c r="E4816">
        <v>10.29</v>
      </c>
      <c r="F4816">
        <v>1.31</v>
      </c>
      <c r="G4816">
        <v>1.31</v>
      </c>
      <c r="H4816">
        <v>6026</v>
      </c>
      <c r="I4816">
        <v>5.1</v>
      </c>
      <c r="J4816">
        <v>47.36</v>
      </c>
      <c r="K4816" t="s">
        <v>511</v>
      </c>
    </row>
    <row r="4817" spans="1:11">
      <c r="A4817" t="str">
        <f>"688270"</f>
        <v>688270</v>
      </c>
      <c r="B4817" t="s">
        <v>5174</v>
      </c>
      <c r="C4817">
        <v>397.11</v>
      </c>
      <c r="D4817">
        <v>23.93</v>
      </c>
      <c r="E4817">
        <v>22.24</v>
      </c>
      <c r="F4817">
        <v>2.14</v>
      </c>
      <c r="G4817">
        <v>2.14</v>
      </c>
      <c r="H4817">
        <v>23557</v>
      </c>
      <c r="I4817">
        <v>17.86</v>
      </c>
      <c r="J4817">
        <v>287.06</v>
      </c>
      <c r="K4817" t="s">
        <v>691</v>
      </c>
    </row>
    <row r="4818" spans="1:11">
      <c r="A4818" t="str">
        <f>"688271"</f>
        <v>688271</v>
      </c>
      <c r="B4818" t="s">
        <v>5175</v>
      </c>
      <c r="C4818">
        <v>1194.04</v>
      </c>
      <c r="D4818">
        <v>297.57</v>
      </c>
      <c r="E4818">
        <v>208.09</v>
      </c>
      <c r="F4818">
        <v>8.24</v>
      </c>
      <c r="G4818">
        <v>8.24</v>
      </c>
      <c r="H4818">
        <v>32390</v>
      </c>
      <c r="I4818">
        <v>5.74</v>
      </c>
      <c r="J4818">
        <v>79.94</v>
      </c>
      <c r="K4818" t="s">
        <v>1836</v>
      </c>
    </row>
    <row r="4819" spans="1:11">
      <c r="A4819" t="str">
        <f>"688272"</f>
        <v>688272</v>
      </c>
      <c r="B4819" t="s">
        <v>5176</v>
      </c>
      <c r="C4819">
        <v>23.93</v>
      </c>
      <c r="D4819">
        <v>7.34</v>
      </c>
      <c r="E4819">
        <v>4.54</v>
      </c>
      <c r="F4819">
        <v>0.76</v>
      </c>
      <c r="G4819">
        <v>0.76</v>
      </c>
      <c r="H4819">
        <v>4598</v>
      </c>
      <c r="I4819">
        <v>5.27</v>
      </c>
      <c r="J4819" t="s">
        <v>14</v>
      </c>
      <c r="K4819" t="s">
        <v>223</v>
      </c>
    </row>
    <row r="4820" spans="1:11">
      <c r="A4820" t="str">
        <f>"688273"</f>
        <v>688273</v>
      </c>
      <c r="B4820" t="s">
        <v>5177</v>
      </c>
      <c r="C4820">
        <v>19.04</v>
      </c>
      <c r="D4820">
        <v>15.41</v>
      </c>
      <c r="E4820">
        <v>13.68</v>
      </c>
      <c r="F4820">
        <v>1</v>
      </c>
      <c r="G4820">
        <v>0.37</v>
      </c>
      <c r="H4820">
        <v>6402</v>
      </c>
      <c r="I4820">
        <v>3.78</v>
      </c>
      <c r="J4820">
        <v>40.39</v>
      </c>
      <c r="K4820" t="s">
        <v>1836</v>
      </c>
    </row>
    <row r="4821" spans="1:11">
      <c r="A4821" t="str">
        <f>"688275"</f>
        <v>688275</v>
      </c>
      <c r="B4821" t="s">
        <v>5178</v>
      </c>
      <c r="C4821">
        <v>61.45</v>
      </c>
      <c r="D4821">
        <v>181.98</v>
      </c>
      <c r="E4821">
        <v>52.26</v>
      </c>
      <c r="F4821">
        <v>1.26</v>
      </c>
      <c r="G4821">
        <v>0.85</v>
      </c>
      <c r="H4821">
        <v>16589</v>
      </c>
      <c r="I4821">
        <v>1.75</v>
      </c>
      <c r="J4821" t="s">
        <v>14</v>
      </c>
      <c r="K4821" t="s">
        <v>24</v>
      </c>
    </row>
    <row r="4822" spans="1:11">
      <c r="A4822" t="str">
        <f>"688276"</f>
        <v>688276</v>
      </c>
      <c r="B4822" t="s">
        <v>5179</v>
      </c>
      <c r="C4822">
        <v>84.14</v>
      </c>
      <c r="D4822">
        <v>52.1</v>
      </c>
      <c r="E4822">
        <v>39.58</v>
      </c>
      <c r="F4822">
        <v>4.14</v>
      </c>
      <c r="G4822">
        <v>4.14</v>
      </c>
      <c r="H4822">
        <v>10824</v>
      </c>
      <c r="I4822">
        <v>2.13</v>
      </c>
      <c r="J4822" t="s">
        <v>14</v>
      </c>
      <c r="K4822" t="s">
        <v>1921</v>
      </c>
    </row>
    <row r="4823" spans="1:11">
      <c r="A4823" t="str">
        <f>"688277"</f>
        <v>688277</v>
      </c>
      <c r="B4823" t="s">
        <v>5180</v>
      </c>
      <c r="C4823">
        <v>113.77</v>
      </c>
      <c r="D4823">
        <v>17.77</v>
      </c>
      <c r="E4823">
        <v>12.49</v>
      </c>
      <c r="F4823">
        <v>4.56</v>
      </c>
      <c r="G4823">
        <v>4.56</v>
      </c>
      <c r="H4823">
        <v>17347</v>
      </c>
      <c r="I4823">
        <v>9.04</v>
      </c>
      <c r="J4823" t="s">
        <v>14</v>
      </c>
      <c r="K4823" t="s">
        <v>1836</v>
      </c>
    </row>
    <row r="4824" spans="1:11">
      <c r="A4824" t="str">
        <f>"688278"</f>
        <v>688278</v>
      </c>
      <c r="B4824" t="s">
        <v>5181</v>
      </c>
      <c r="C4824">
        <v>305.9</v>
      </c>
      <c r="D4824">
        <v>37.86</v>
      </c>
      <c r="E4824">
        <v>30.09</v>
      </c>
      <c r="F4824">
        <v>4.08</v>
      </c>
      <c r="G4824">
        <v>4.08</v>
      </c>
      <c r="H4824">
        <v>8608</v>
      </c>
      <c r="I4824">
        <v>10.13</v>
      </c>
      <c r="J4824">
        <v>34.44</v>
      </c>
      <c r="K4824" t="s">
        <v>210</v>
      </c>
    </row>
    <row r="4825" spans="1:11">
      <c r="A4825" t="str">
        <f>"688279"</f>
        <v>688279</v>
      </c>
      <c r="B4825" t="s">
        <v>5182</v>
      </c>
      <c r="C4825">
        <v>186.56</v>
      </c>
      <c r="D4825">
        <v>51.14</v>
      </c>
      <c r="E4825">
        <v>49.67</v>
      </c>
      <c r="F4825">
        <v>1.15</v>
      </c>
      <c r="G4825">
        <v>0.93</v>
      </c>
      <c r="H4825">
        <v>6601</v>
      </c>
      <c r="I4825">
        <v>4.59</v>
      </c>
      <c r="J4825">
        <v>103</v>
      </c>
      <c r="K4825" t="s">
        <v>691</v>
      </c>
    </row>
    <row r="4826" spans="1:11">
      <c r="A4826" t="str">
        <f>"688280"</f>
        <v>688280</v>
      </c>
      <c r="B4826" t="s">
        <v>5183</v>
      </c>
      <c r="C4826">
        <v>47.06</v>
      </c>
      <c r="D4826">
        <v>30.6</v>
      </c>
      <c r="E4826">
        <v>6.66</v>
      </c>
      <c r="F4826">
        <v>5.9</v>
      </c>
      <c r="G4826">
        <v>5.21</v>
      </c>
      <c r="H4826">
        <v>17113</v>
      </c>
      <c r="I4826">
        <v>8.01</v>
      </c>
      <c r="J4826">
        <v>47.9</v>
      </c>
      <c r="K4826" t="s">
        <v>51</v>
      </c>
    </row>
    <row r="4827" spans="1:11">
      <c r="A4827" t="str">
        <f>"688281"</f>
        <v>688281</v>
      </c>
      <c r="B4827" t="s">
        <v>5184</v>
      </c>
      <c r="C4827">
        <v>256.3</v>
      </c>
      <c r="D4827">
        <v>67.43</v>
      </c>
      <c r="E4827">
        <v>46.58</v>
      </c>
      <c r="F4827">
        <v>2.73</v>
      </c>
      <c r="G4827">
        <v>2.73</v>
      </c>
      <c r="H4827">
        <v>8251</v>
      </c>
      <c r="I4827">
        <v>5.5</v>
      </c>
      <c r="J4827">
        <v>79.11</v>
      </c>
      <c r="K4827" t="s">
        <v>353</v>
      </c>
    </row>
    <row r="4828" spans="1:11">
      <c r="A4828" t="str">
        <f>"688282"</f>
        <v>688282</v>
      </c>
      <c r="B4828" t="s">
        <v>5185</v>
      </c>
      <c r="C4828">
        <v>73.93</v>
      </c>
      <c r="D4828">
        <v>16.17</v>
      </c>
      <c r="E4828">
        <v>12.79</v>
      </c>
      <c r="F4828">
        <v>0.88</v>
      </c>
      <c r="G4828">
        <v>0.88</v>
      </c>
      <c r="H4828">
        <v>4824</v>
      </c>
      <c r="I4828">
        <v>5.78</v>
      </c>
      <c r="J4828" t="s">
        <v>14</v>
      </c>
      <c r="K4828" t="s">
        <v>223</v>
      </c>
    </row>
    <row r="4829" spans="1:11">
      <c r="A4829" t="str">
        <f>"688283"</f>
        <v>688283</v>
      </c>
      <c r="B4829" t="s">
        <v>5186</v>
      </c>
      <c r="C4829">
        <v>59.58</v>
      </c>
      <c r="D4829">
        <v>11.5</v>
      </c>
      <c r="E4829">
        <v>9.67</v>
      </c>
      <c r="F4829">
        <v>1.22</v>
      </c>
      <c r="G4829">
        <v>1.22</v>
      </c>
      <c r="H4829">
        <v>3240</v>
      </c>
      <c r="I4829">
        <v>6.16</v>
      </c>
      <c r="J4829">
        <v>170.63</v>
      </c>
      <c r="K4829" t="s">
        <v>952</v>
      </c>
    </row>
    <row r="4830" spans="1:11">
      <c r="A4830" t="str">
        <f>"688285"</f>
        <v>688285</v>
      </c>
      <c r="B4830" t="s">
        <v>5187</v>
      </c>
      <c r="C4830">
        <v>34.96</v>
      </c>
      <c r="D4830">
        <v>30.12</v>
      </c>
      <c r="E4830">
        <v>16.75</v>
      </c>
      <c r="F4830">
        <v>3.76</v>
      </c>
      <c r="G4830">
        <v>3.76</v>
      </c>
      <c r="H4830">
        <v>7180</v>
      </c>
      <c r="I4830">
        <v>2.09</v>
      </c>
      <c r="J4830">
        <v>72.17</v>
      </c>
      <c r="K4830" t="s">
        <v>22</v>
      </c>
    </row>
    <row r="4831" spans="1:11">
      <c r="A4831" t="str">
        <f>"688286"</f>
        <v>688286</v>
      </c>
      <c r="B4831" t="s">
        <v>5188</v>
      </c>
      <c r="C4831">
        <v>46.15</v>
      </c>
      <c r="D4831">
        <v>12.49</v>
      </c>
      <c r="E4831">
        <v>10.71</v>
      </c>
      <c r="F4831">
        <v>0.56</v>
      </c>
      <c r="G4831">
        <v>0.56</v>
      </c>
      <c r="H4831">
        <v>9762</v>
      </c>
      <c r="I4831">
        <v>4.31</v>
      </c>
      <c r="J4831">
        <v>94.72</v>
      </c>
      <c r="K4831" t="s">
        <v>691</v>
      </c>
    </row>
    <row r="4832" spans="1:11">
      <c r="A4832" t="str">
        <f>"688287"</f>
        <v>688287</v>
      </c>
      <c r="B4832" t="s">
        <v>5189</v>
      </c>
      <c r="C4832">
        <v>24.16</v>
      </c>
      <c r="D4832">
        <v>8.59</v>
      </c>
      <c r="E4832">
        <v>7.67</v>
      </c>
      <c r="F4832">
        <v>3.71</v>
      </c>
      <c r="G4832">
        <v>3.71</v>
      </c>
      <c r="H4832">
        <v>9663</v>
      </c>
      <c r="I4832">
        <v>3.15</v>
      </c>
      <c r="J4832" t="s">
        <v>14</v>
      </c>
      <c r="K4832" t="s">
        <v>353</v>
      </c>
    </row>
    <row r="4833" spans="1:11">
      <c r="A4833" t="str">
        <f>"688288"</f>
        <v>688288</v>
      </c>
      <c r="B4833" t="s">
        <v>5190</v>
      </c>
      <c r="C4833">
        <v>28.93</v>
      </c>
      <c r="D4833">
        <v>11.7</v>
      </c>
      <c r="E4833">
        <v>7.74</v>
      </c>
      <c r="F4833">
        <v>1</v>
      </c>
      <c r="G4833">
        <v>1</v>
      </c>
      <c r="H4833">
        <v>5530</v>
      </c>
      <c r="I4833">
        <v>3.74</v>
      </c>
      <c r="J4833">
        <v>52.84</v>
      </c>
      <c r="K4833" t="s">
        <v>88</v>
      </c>
    </row>
    <row r="4834" spans="1:11">
      <c r="A4834" t="str">
        <f>"688289"</f>
        <v>688289</v>
      </c>
      <c r="B4834" t="s">
        <v>5191</v>
      </c>
      <c r="C4834">
        <v>119.06</v>
      </c>
      <c r="D4834">
        <v>94.64</v>
      </c>
      <c r="E4834">
        <v>71.31</v>
      </c>
      <c r="F4834">
        <v>5.79</v>
      </c>
      <c r="G4834">
        <v>5.79</v>
      </c>
      <c r="H4834">
        <v>21641</v>
      </c>
      <c r="I4834">
        <v>1.67</v>
      </c>
      <c r="J4834">
        <v>46.67</v>
      </c>
      <c r="K4834" t="s">
        <v>775</v>
      </c>
    </row>
    <row r="4835" spans="1:11">
      <c r="A4835" t="str">
        <f>"688290"</f>
        <v>688290</v>
      </c>
      <c r="B4835" t="s">
        <v>5192</v>
      </c>
      <c r="C4835">
        <v>63.72</v>
      </c>
      <c r="D4835">
        <v>16.76</v>
      </c>
      <c r="E4835">
        <v>12.64</v>
      </c>
      <c r="F4835">
        <v>1.02</v>
      </c>
      <c r="G4835">
        <v>1.02</v>
      </c>
      <c r="H4835">
        <v>5454</v>
      </c>
      <c r="I4835">
        <v>5.04</v>
      </c>
      <c r="J4835" t="s">
        <v>14</v>
      </c>
      <c r="K4835" t="s">
        <v>1527</v>
      </c>
    </row>
    <row r="4836" spans="1:11">
      <c r="A4836" t="str">
        <f>"688291"</f>
        <v>688291</v>
      </c>
      <c r="B4836" t="s">
        <v>5193</v>
      </c>
      <c r="C4836">
        <v>44.67</v>
      </c>
      <c r="D4836">
        <v>10.5</v>
      </c>
      <c r="E4836">
        <v>9.51</v>
      </c>
      <c r="F4836">
        <v>1.03</v>
      </c>
      <c r="G4836">
        <v>1.03</v>
      </c>
      <c r="H4836">
        <v>7734</v>
      </c>
      <c r="I4836">
        <v>4.69</v>
      </c>
      <c r="J4836">
        <v>91.76</v>
      </c>
      <c r="K4836" t="s">
        <v>117</v>
      </c>
    </row>
    <row r="4837" spans="1:11">
      <c r="A4837" t="str">
        <f>"688292"</f>
        <v>688292</v>
      </c>
      <c r="B4837" t="s">
        <v>5194</v>
      </c>
      <c r="C4837">
        <v>37.55</v>
      </c>
      <c r="D4837">
        <v>16.3</v>
      </c>
      <c r="E4837">
        <v>10.49</v>
      </c>
      <c r="F4837">
        <v>1.58</v>
      </c>
      <c r="G4837">
        <v>1.01</v>
      </c>
      <c r="H4837">
        <v>7875</v>
      </c>
      <c r="I4837">
        <v>5.81</v>
      </c>
      <c r="J4837" t="s">
        <v>14</v>
      </c>
      <c r="K4837" t="s">
        <v>933</v>
      </c>
    </row>
    <row r="4838" spans="1:11">
      <c r="A4838" t="str">
        <f>"688293"</f>
        <v>688293</v>
      </c>
      <c r="B4838" t="s">
        <v>5195</v>
      </c>
      <c r="C4838">
        <v>64.41</v>
      </c>
      <c r="D4838">
        <v>22.72</v>
      </c>
      <c r="E4838">
        <v>21.01</v>
      </c>
      <c r="F4838">
        <v>1.14</v>
      </c>
      <c r="G4838">
        <v>1.14</v>
      </c>
      <c r="H4838">
        <v>3682</v>
      </c>
      <c r="I4838">
        <v>3.06</v>
      </c>
      <c r="J4838">
        <v>97.74</v>
      </c>
      <c r="K4838" t="s">
        <v>1595</v>
      </c>
    </row>
    <row r="4839" spans="1:11">
      <c r="A4839" t="str">
        <f>"688295"</f>
        <v>688295</v>
      </c>
      <c r="B4839" t="s">
        <v>5196</v>
      </c>
      <c r="C4839">
        <v>293.85</v>
      </c>
      <c r="D4839">
        <v>94.38</v>
      </c>
      <c r="E4839">
        <v>46.9</v>
      </c>
      <c r="F4839">
        <v>9</v>
      </c>
      <c r="G4839">
        <v>9</v>
      </c>
      <c r="H4839">
        <v>11538</v>
      </c>
      <c r="I4839">
        <v>6.27</v>
      </c>
      <c r="J4839">
        <v>350.18</v>
      </c>
      <c r="K4839" t="s">
        <v>2480</v>
      </c>
    </row>
    <row r="4840" spans="1:11">
      <c r="A4840" t="str">
        <f>"688296"</f>
        <v>688296</v>
      </c>
      <c r="B4840" t="s">
        <v>5197</v>
      </c>
      <c r="C4840">
        <v>16.21</v>
      </c>
      <c r="D4840">
        <v>9.57</v>
      </c>
      <c r="E4840">
        <v>6.35</v>
      </c>
      <c r="F4840">
        <v>1.08</v>
      </c>
      <c r="G4840">
        <v>1.07</v>
      </c>
      <c r="H4840">
        <v>5083</v>
      </c>
      <c r="I4840">
        <v>2.56</v>
      </c>
      <c r="J4840" t="s">
        <v>14</v>
      </c>
      <c r="K4840" t="s">
        <v>117</v>
      </c>
    </row>
    <row r="4841" spans="1:11">
      <c r="A4841" t="str">
        <f>"688297"</f>
        <v>688297</v>
      </c>
      <c r="B4841" t="s">
        <v>5198</v>
      </c>
      <c r="C4841">
        <v>351.61</v>
      </c>
      <c r="D4841">
        <v>94.26</v>
      </c>
      <c r="E4841">
        <v>57.25</v>
      </c>
      <c r="F4841">
        <v>6.75</v>
      </c>
      <c r="G4841">
        <v>6.75</v>
      </c>
      <c r="H4841">
        <v>31763</v>
      </c>
      <c r="I4841">
        <v>6.14</v>
      </c>
      <c r="J4841">
        <v>779.28</v>
      </c>
      <c r="K4841" t="s">
        <v>353</v>
      </c>
    </row>
    <row r="4842" spans="1:11">
      <c r="A4842" t="str">
        <f>"688298"</f>
        <v>688298</v>
      </c>
      <c r="B4842" t="s">
        <v>5199</v>
      </c>
      <c r="C4842">
        <v>51.71</v>
      </c>
      <c r="D4842">
        <v>75.08</v>
      </c>
      <c r="E4842">
        <v>63.61</v>
      </c>
      <c r="F4842">
        <v>2.02</v>
      </c>
      <c r="G4842">
        <v>2.02</v>
      </c>
      <c r="H4842">
        <v>13289</v>
      </c>
      <c r="I4842">
        <v>0.81</v>
      </c>
      <c r="J4842" t="s">
        <v>14</v>
      </c>
      <c r="K4842" t="s">
        <v>775</v>
      </c>
    </row>
    <row r="4843" spans="1:11">
      <c r="A4843" t="str">
        <f>"688299"</f>
        <v>688299</v>
      </c>
      <c r="B4843" t="s">
        <v>5200</v>
      </c>
      <c r="C4843">
        <v>51.93</v>
      </c>
      <c r="D4843">
        <v>33.66</v>
      </c>
      <c r="E4843">
        <v>20.82</v>
      </c>
      <c r="F4843">
        <v>2.87</v>
      </c>
      <c r="G4843">
        <v>2.87</v>
      </c>
      <c r="H4843">
        <v>22597</v>
      </c>
      <c r="I4843">
        <v>2.49</v>
      </c>
      <c r="J4843" t="s">
        <v>14</v>
      </c>
      <c r="K4843" t="s">
        <v>66</v>
      </c>
    </row>
    <row r="4844" spans="1:11">
      <c r="A4844" t="str">
        <f>"688300"</f>
        <v>688300</v>
      </c>
      <c r="B4844" t="s">
        <v>5201</v>
      </c>
      <c r="C4844">
        <v>146.26</v>
      </c>
      <c r="D4844">
        <v>22.19</v>
      </c>
      <c r="E4844">
        <v>16.33</v>
      </c>
      <c r="F4844">
        <v>2.41</v>
      </c>
      <c r="G4844">
        <v>2.41</v>
      </c>
      <c r="H4844">
        <v>10961</v>
      </c>
      <c r="I4844">
        <v>8.95</v>
      </c>
      <c r="J4844">
        <v>49.86</v>
      </c>
      <c r="K4844" t="s">
        <v>682</v>
      </c>
    </row>
    <row r="4845" spans="1:11">
      <c r="A4845" t="str">
        <f>"688301"</f>
        <v>688301</v>
      </c>
      <c r="B4845" t="s">
        <v>5202</v>
      </c>
      <c r="C4845">
        <v>225.21</v>
      </c>
      <c r="D4845">
        <v>113.29</v>
      </c>
      <c r="E4845">
        <v>60.77</v>
      </c>
      <c r="F4845">
        <v>2.11</v>
      </c>
      <c r="G4845">
        <v>2</v>
      </c>
      <c r="H4845">
        <v>8011</v>
      </c>
      <c r="I4845">
        <v>3.86</v>
      </c>
      <c r="J4845">
        <v>37.87</v>
      </c>
      <c r="K4845" t="s">
        <v>1836</v>
      </c>
    </row>
    <row r="4846" spans="1:11">
      <c r="A4846" t="str">
        <f>"688302"</f>
        <v>688302</v>
      </c>
      <c r="B4846" t="s">
        <v>5203</v>
      </c>
      <c r="C4846">
        <v>51.21</v>
      </c>
      <c r="D4846">
        <v>13.63</v>
      </c>
      <c r="E4846">
        <v>11.01</v>
      </c>
      <c r="F4846">
        <v>0.99</v>
      </c>
      <c r="G4846">
        <v>0.99</v>
      </c>
      <c r="H4846">
        <v>6815</v>
      </c>
      <c r="I4846">
        <v>4.65</v>
      </c>
      <c r="J4846" t="s">
        <v>14</v>
      </c>
      <c r="K4846" t="s">
        <v>210</v>
      </c>
    </row>
    <row r="4847" spans="1:11">
      <c r="A4847" t="str">
        <f>"688303"</f>
        <v>688303</v>
      </c>
      <c r="B4847" t="s">
        <v>5204</v>
      </c>
      <c r="C4847">
        <v>560.54</v>
      </c>
      <c r="D4847">
        <v>425.8</v>
      </c>
      <c r="E4847">
        <v>390.89</v>
      </c>
      <c r="F4847">
        <v>21.45</v>
      </c>
      <c r="G4847">
        <v>21.45</v>
      </c>
      <c r="H4847">
        <v>39996</v>
      </c>
      <c r="I4847">
        <v>1.43</v>
      </c>
      <c r="J4847" t="s">
        <v>14</v>
      </c>
      <c r="K4847" t="s">
        <v>2134</v>
      </c>
    </row>
    <row r="4848" spans="1:11">
      <c r="A4848" t="str">
        <f>"688305"</f>
        <v>688305</v>
      </c>
      <c r="B4848" t="s">
        <v>5205</v>
      </c>
      <c r="C4848">
        <v>85.91</v>
      </c>
      <c r="D4848">
        <v>22.69</v>
      </c>
      <c r="E4848">
        <v>18.78</v>
      </c>
      <c r="F4848">
        <v>1.33</v>
      </c>
      <c r="G4848">
        <v>1.32</v>
      </c>
      <c r="H4848">
        <v>13201</v>
      </c>
      <c r="I4848">
        <v>4.6</v>
      </c>
      <c r="J4848">
        <v>101.32</v>
      </c>
      <c r="K4848" t="s">
        <v>141</v>
      </c>
    </row>
    <row r="4849" spans="1:11">
      <c r="A4849" t="str">
        <f>"688306"</f>
        <v>688306</v>
      </c>
      <c r="B4849" t="s">
        <v>5206</v>
      </c>
      <c r="C4849">
        <v>139.53</v>
      </c>
      <c r="D4849">
        <v>51.96</v>
      </c>
      <c r="E4849">
        <v>18.09</v>
      </c>
      <c r="F4849">
        <v>12.28</v>
      </c>
      <c r="G4849">
        <v>12.28</v>
      </c>
      <c r="H4849">
        <v>29972</v>
      </c>
      <c r="I4849">
        <v>7.71</v>
      </c>
      <c r="J4849" t="s">
        <v>14</v>
      </c>
      <c r="K4849" t="s">
        <v>493</v>
      </c>
    </row>
    <row r="4850" spans="1:11">
      <c r="A4850" t="str">
        <f>"688307"</f>
        <v>688307</v>
      </c>
      <c r="B4850" t="s">
        <v>5207</v>
      </c>
      <c r="C4850">
        <v>26.32</v>
      </c>
      <c r="D4850">
        <v>14.87</v>
      </c>
      <c r="E4850">
        <v>8.85</v>
      </c>
      <c r="F4850">
        <v>0.89</v>
      </c>
      <c r="G4850">
        <v>0.59</v>
      </c>
      <c r="H4850">
        <v>7216</v>
      </c>
      <c r="I4850">
        <v>4.48</v>
      </c>
      <c r="J4850">
        <v>75.05</v>
      </c>
      <c r="K4850" t="s">
        <v>66</v>
      </c>
    </row>
    <row r="4851" spans="1:11">
      <c r="A4851" t="str">
        <f>"688308"</f>
        <v>688308</v>
      </c>
      <c r="B4851" t="s">
        <v>5208</v>
      </c>
      <c r="C4851">
        <v>50.78</v>
      </c>
      <c r="D4851">
        <v>38.38</v>
      </c>
      <c r="E4851">
        <v>25.78</v>
      </c>
      <c r="F4851">
        <v>1.59</v>
      </c>
      <c r="G4851">
        <v>1.59</v>
      </c>
      <c r="H4851">
        <v>7667</v>
      </c>
      <c r="I4851">
        <v>1.97</v>
      </c>
      <c r="J4851">
        <v>74.49</v>
      </c>
      <c r="K4851" t="s">
        <v>63</v>
      </c>
    </row>
    <row r="4852" spans="1:11">
      <c r="A4852" t="str">
        <f>"688309"</f>
        <v>688309</v>
      </c>
      <c r="B4852" t="s">
        <v>5209</v>
      </c>
      <c r="C4852">
        <v>19.72</v>
      </c>
      <c r="D4852">
        <v>9.48</v>
      </c>
      <c r="E4852">
        <v>7.5</v>
      </c>
      <c r="F4852">
        <v>0.79</v>
      </c>
      <c r="G4852">
        <v>0.79</v>
      </c>
      <c r="H4852">
        <v>4985</v>
      </c>
      <c r="I4852">
        <v>2.65</v>
      </c>
      <c r="J4852">
        <v>102.25</v>
      </c>
      <c r="K4852" t="s">
        <v>228</v>
      </c>
    </row>
    <row r="4853" spans="1:11">
      <c r="A4853" t="str">
        <f>"688310"</f>
        <v>688310</v>
      </c>
      <c r="B4853" t="s">
        <v>5210</v>
      </c>
      <c r="C4853">
        <v>26.51</v>
      </c>
      <c r="D4853">
        <v>11.98</v>
      </c>
      <c r="E4853">
        <v>8.06</v>
      </c>
      <c r="F4853">
        <v>1.66</v>
      </c>
      <c r="G4853">
        <v>1.66</v>
      </c>
      <c r="H4853">
        <v>4528</v>
      </c>
      <c r="I4853">
        <v>3.29</v>
      </c>
      <c r="J4853">
        <v>225.02</v>
      </c>
      <c r="K4853" t="s">
        <v>1972</v>
      </c>
    </row>
    <row r="4854" spans="1:11">
      <c r="A4854" t="str">
        <f>"688311"</f>
        <v>688311</v>
      </c>
      <c r="B4854" t="s">
        <v>5211</v>
      </c>
      <c r="C4854">
        <v>87.12</v>
      </c>
      <c r="D4854">
        <v>23.44</v>
      </c>
      <c r="E4854">
        <v>15.94</v>
      </c>
      <c r="F4854">
        <v>1.68</v>
      </c>
      <c r="G4854">
        <v>1.68</v>
      </c>
      <c r="H4854">
        <v>9404</v>
      </c>
      <c r="I4854">
        <v>5.51</v>
      </c>
      <c r="J4854" t="s">
        <v>14</v>
      </c>
      <c r="K4854" t="s">
        <v>223</v>
      </c>
    </row>
    <row r="4855" spans="1:11">
      <c r="A4855" t="str">
        <f>"688312"</f>
        <v>688312</v>
      </c>
      <c r="B4855" t="s">
        <v>5212</v>
      </c>
      <c r="C4855">
        <v>50.98</v>
      </c>
      <c r="D4855">
        <v>17.96</v>
      </c>
      <c r="E4855">
        <v>14.78</v>
      </c>
      <c r="F4855">
        <v>1.46</v>
      </c>
      <c r="G4855">
        <v>1.46</v>
      </c>
      <c r="H4855">
        <v>9025</v>
      </c>
      <c r="I4855">
        <v>3.45</v>
      </c>
      <c r="J4855">
        <v>39.64</v>
      </c>
      <c r="K4855" t="s">
        <v>493</v>
      </c>
    </row>
    <row r="4856" spans="1:11">
      <c r="A4856" t="str">
        <f>"688313"</f>
        <v>688313</v>
      </c>
      <c r="B4856" t="s">
        <v>5213</v>
      </c>
      <c r="C4856">
        <v>368.28</v>
      </c>
      <c r="D4856">
        <v>25.48</v>
      </c>
      <c r="E4856">
        <v>14.76</v>
      </c>
      <c r="F4856">
        <v>4.52</v>
      </c>
      <c r="G4856">
        <v>4.52</v>
      </c>
      <c r="H4856">
        <v>44323</v>
      </c>
      <c r="I4856">
        <v>25.33</v>
      </c>
      <c r="J4856">
        <v>92.16</v>
      </c>
      <c r="K4856" t="s">
        <v>972</v>
      </c>
    </row>
    <row r="4857" spans="1:11">
      <c r="A4857" t="str">
        <f>"688314"</f>
        <v>688314</v>
      </c>
      <c r="B4857" t="s">
        <v>5214</v>
      </c>
      <c r="C4857">
        <v>32.02</v>
      </c>
      <c r="D4857">
        <v>7.91</v>
      </c>
      <c r="E4857">
        <v>6.88</v>
      </c>
      <c r="F4857">
        <v>0.81</v>
      </c>
      <c r="G4857">
        <v>0.81</v>
      </c>
      <c r="H4857">
        <v>5879</v>
      </c>
      <c r="I4857">
        <v>4.65</v>
      </c>
      <c r="J4857">
        <v>31.3</v>
      </c>
      <c r="K4857" t="s">
        <v>1173</v>
      </c>
    </row>
    <row r="4858" spans="1:11">
      <c r="A4858" t="str">
        <f>"688315"</f>
        <v>688315</v>
      </c>
      <c r="B4858" t="s">
        <v>5215</v>
      </c>
      <c r="C4858">
        <v>66.72</v>
      </c>
      <c r="D4858">
        <v>37.08</v>
      </c>
      <c r="E4858">
        <v>25.95</v>
      </c>
      <c r="F4858">
        <v>4.16</v>
      </c>
      <c r="G4858">
        <v>4.16</v>
      </c>
      <c r="H4858">
        <v>9680</v>
      </c>
      <c r="I4858">
        <v>2.57</v>
      </c>
      <c r="J4858">
        <v>44.33</v>
      </c>
      <c r="K4858" t="s">
        <v>368</v>
      </c>
    </row>
    <row r="4859" spans="1:11">
      <c r="A4859" t="str">
        <f>"688316"</f>
        <v>688316</v>
      </c>
      <c r="B4859" t="s">
        <v>5216</v>
      </c>
      <c r="C4859">
        <v>34.3</v>
      </c>
      <c r="D4859">
        <v>3.93</v>
      </c>
      <c r="E4859">
        <v>0.38</v>
      </c>
      <c r="F4859">
        <v>0.48</v>
      </c>
      <c r="G4859">
        <v>0.48</v>
      </c>
      <c r="H4859">
        <v>11101</v>
      </c>
      <c r="I4859">
        <v>89.84</v>
      </c>
      <c r="J4859" t="s">
        <v>14</v>
      </c>
      <c r="K4859" t="s">
        <v>463</v>
      </c>
    </row>
    <row r="4860" spans="1:11">
      <c r="A4860" t="str">
        <f>"688317"</f>
        <v>688317</v>
      </c>
      <c r="B4860" t="s">
        <v>5217</v>
      </c>
      <c r="C4860">
        <v>40.51</v>
      </c>
      <c r="D4860">
        <v>37.21</v>
      </c>
      <c r="E4860">
        <v>33.94</v>
      </c>
      <c r="F4860">
        <v>1.92</v>
      </c>
      <c r="G4860">
        <v>1.92</v>
      </c>
      <c r="H4860">
        <v>14435</v>
      </c>
      <c r="I4860">
        <v>1.19</v>
      </c>
      <c r="J4860" t="s">
        <v>14</v>
      </c>
      <c r="K4860" t="s">
        <v>775</v>
      </c>
    </row>
    <row r="4861" spans="1:11">
      <c r="A4861" t="str">
        <f>"688318"</f>
        <v>688318</v>
      </c>
      <c r="B4861" t="s">
        <v>5218</v>
      </c>
      <c r="C4861">
        <v>387.23</v>
      </c>
      <c r="D4861">
        <v>38.9</v>
      </c>
      <c r="E4861">
        <v>37.05</v>
      </c>
      <c r="F4861">
        <v>2.56</v>
      </c>
      <c r="G4861">
        <v>2.56</v>
      </c>
      <c r="H4861">
        <v>24154</v>
      </c>
      <c r="I4861">
        <v>10.45</v>
      </c>
      <c r="J4861">
        <v>157.65</v>
      </c>
      <c r="K4861" t="s">
        <v>117</v>
      </c>
    </row>
    <row r="4862" spans="1:11">
      <c r="A4862" t="str">
        <f>"688319"</f>
        <v>688319</v>
      </c>
      <c r="B4862" t="s">
        <v>5219</v>
      </c>
      <c r="C4862">
        <v>118.46</v>
      </c>
      <c r="D4862">
        <v>19.45</v>
      </c>
      <c r="E4862">
        <v>9.6</v>
      </c>
      <c r="F4862">
        <v>4.06</v>
      </c>
      <c r="G4862">
        <v>4.05</v>
      </c>
      <c r="H4862">
        <v>10200</v>
      </c>
      <c r="I4862">
        <v>12.36</v>
      </c>
      <c r="J4862">
        <v>187.26</v>
      </c>
      <c r="K4862" t="s">
        <v>1921</v>
      </c>
    </row>
    <row r="4863" spans="1:11">
      <c r="A4863" t="str">
        <f>"688320"</f>
        <v>688320</v>
      </c>
      <c r="B4863" t="s">
        <v>5220</v>
      </c>
      <c r="C4863">
        <v>55.24</v>
      </c>
      <c r="D4863">
        <v>20.22</v>
      </c>
      <c r="E4863">
        <v>12.5</v>
      </c>
      <c r="F4863">
        <v>1.51</v>
      </c>
      <c r="G4863">
        <v>1.51</v>
      </c>
      <c r="H4863">
        <v>12460</v>
      </c>
      <c r="I4863">
        <v>4.42</v>
      </c>
      <c r="J4863" t="s">
        <v>14</v>
      </c>
      <c r="K4863" t="s">
        <v>663</v>
      </c>
    </row>
    <row r="4864" spans="1:11">
      <c r="A4864" t="str">
        <f>"688321"</f>
        <v>688321</v>
      </c>
      <c r="B4864" t="s">
        <v>5221</v>
      </c>
      <c r="C4864">
        <v>141.51</v>
      </c>
      <c r="D4864">
        <v>36.33</v>
      </c>
      <c r="E4864">
        <v>16.56</v>
      </c>
      <c r="F4864">
        <v>4.08</v>
      </c>
      <c r="G4864">
        <v>4.08</v>
      </c>
      <c r="H4864">
        <v>24446</v>
      </c>
      <c r="I4864">
        <v>9.24</v>
      </c>
      <c r="J4864">
        <v>149.97</v>
      </c>
      <c r="K4864" t="s">
        <v>109</v>
      </c>
    </row>
    <row r="4865" spans="1:11">
      <c r="A4865" t="str">
        <f>"688322"</f>
        <v>688322</v>
      </c>
      <c r="B4865" t="s">
        <v>5222</v>
      </c>
      <c r="C4865">
        <v>290.63</v>
      </c>
      <c r="D4865">
        <v>34.1</v>
      </c>
      <c r="E4865">
        <v>29.77</v>
      </c>
      <c r="F4865">
        <v>4.01</v>
      </c>
      <c r="G4865">
        <v>3.19</v>
      </c>
      <c r="H4865">
        <v>29224</v>
      </c>
      <c r="I4865">
        <v>12.29</v>
      </c>
      <c r="J4865">
        <v>254.01</v>
      </c>
      <c r="K4865" t="s">
        <v>66</v>
      </c>
    </row>
    <row r="4866" spans="1:11">
      <c r="A4866" t="str">
        <f>"688323"</f>
        <v>688323</v>
      </c>
      <c r="B4866" t="s">
        <v>5223</v>
      </c>
      <c r="C4866">
        <v>41.53</v>
      </c>
      <c r="D4866">
        <v>25.46</v>
      </c>
      <c r="E4866">
        <v>8.8</v>
      </c>
      <c r="F4866">
        <v>1.8</v>
      </c>
      <c r="G4866">
        <v>1.8</v>
      </c>
      <c r="H4866">
        <v>6542</v>
      </c>
      <c r="I4866">
        <v>5.49</v>
      </c>
      <c r="J4866" t="s">
        <v>14</v>
      </c>
      <c r="K4866" t="s">
        <v>496</v>
      </c>
    </row>
    <row r="4867" spans="1:11">
      <c r="A4867" t="str">
        <f>"688325"</f>
        <v>688325</v>
      </c>
      <c r="B4867" t="s">
        <v>5224</v>
      </c>
      <c r="C4867">
        <v>78.54</v>
      </c>
      <c r="D4867">
        <v>18.64</v>
      </c>
      <c r="E4867">
        <v>17.2</v>
      </c>
      <c r="F4867">
        <v>0.86</v>
      </c>
      <c r="G4867">
        <v>0.8</v>
      </c>
      <c r="H4867">
        <v>7180</v>
      </c>
      <c r="I4867">
        <v>4.92</v>
      </c>
      <c r="J4867">
        <v>102.29</v>
      </c>
      <c r="K4867" t="s">
        <v>691</v>
      </c>
    </row>
    <row r="4868" spans="1:11">
      <c r="A4868" t="str">
        <f>"688326"</f>
        <v>688326</v>
      </c>
      <c r="B4868" t="s">
        <v>5225</v>
      </c>
      <c r="C4868">
        <v>147.34</v>
      </c>
      <c r="D4868">
        <v>97.05</v>
      </c>
      <c r="E4868">
        <v>39.42</v>
      </c>
      <c r="F4868">
        <v>1.2</v>
      </c>
      <c r="G4868">
        <v>1.12</v>
      </c>
      <c r="H4868">
        <v>6719</v>
      </c>
      <c r="I4868">
        <v>4.02</v>
      </c>
      <c r="J4868" t="s">
        <v>14</v>
      </c>
      <c r="K4868" t="s">
        <v>530</v>
      </c>
    </row>
    <row r="4869" spans="1:11">
      <c r="A4869" t="str">
        <f>"688327"</f>
        <v>688327</v>
      </c>
      <c r="B4869" t="s">
        <v>5226</v>
      </c>
      <c r="C4869">
        <v>149.94</v>
      </c>
      <c r="D4869">
        <v>17.7</v>
      </c>
      <c r="E4869">
        <v>9.49</v>
      </c>
      <c r="F4869">
        <v>10.39</v>
      </c>
      <c r="G4869">
        <v>8.33</v>
      </c>
      <c r="H4869">
        <v>51562</v>
      </c>
      <c r="I4869">
        <v>19.68</v>
      </c>
      <c r="J4869" t="s">
        <v>14</v>
      </c>
      <c r="K4869" t="s">
        <v>117</v>
      </c>
    </row>
    <row r="4870" spans="1:11">
      <c r="A4870" t="str">
        <f>"688328"</f>
        <v>688328</v>
      </c>
      <c r="B4870" t="s">
        <v>5227</v>
      </c>
      <c r="C4870">
        <v>29.18</v>
      </c>
      <c r="D4870">
        <v>15.94</v>
      </c>
      <c r="E4870">
        <v>8.29</v>
      </c>
      <c r="F4870">
        <v>0.94</v>
      </c>
      <c r="G4870">
        <v>0.94</v>
      </c>
      <c r="H4870">
        <v>7041</v>
      </c>
      <c r="I4870">
        <v>3.52</v>
      </c>
      <c r="J4870">
        <v>78.51</v>
      </c>
      <c r="K4870" t="s">
        <v>493</v>
      </c>
    </row>
    <row r="4871" spans="1:11">
      <c r="A4871" t="str">
        <f>"688329"</f>
        <v>688329</v>
      </c>
      <c r="B4871" t="s">
        <v>5228</v>
      </c>
      <c r="C4871">
        <v>18.22</v>
      </c>
      <c r="D4871">
        <v>13.84</v>
      </c>
      <c r="E4871">
        <v>7.77</v>
      </c>
      <c r="F4871">
        <v>0.77</v>
      </c>
      <c r="G4871">
        <v>0.77</v>
      </c>
      <c r="H4871">
        <v>4933</v>
      </c>
      <c r="I4871">
        <v>2.35</v>
      </c>
      <c r="J4871" t="s">
        <v>14</v>
      </c>
      <c r="K4871" t="s">
        <v>3039</v>
      </c>
    </row>
    <row r="4872" spans="1:11">
      <c r="A4872" t="str">
        <f>"688330"</f>
        <v>688330</v>
      </c>
      <c r="B4872" t="s">
        <v>5229</v>
      </c>
      <c r="C4872">
        <v>60.07</v>
      </c>
      <c r="D4872">
        <v>42.04</v>
      </c>
      <c r="E4872">
        <v>38.73</v>
      </c>
      <c r="F4872">
        <v>1.4</v>
      </c>
      <c r="G4872">
        <v>1.4</v>
      </c>
      <c r="H4872">
        <v>10814</v>
      </c>
      <c r="I4872">
        <v>1.55</v>
      </c>
      <c r="J4872">
        <v>31.11</v>
      </c>
      <c r="K4872" t="s">
        <v>127</v>
      </c>
    </row>
    <row r="4873" spans="1:11">
      <c r="A4873" t="str">
        <f>"688331"</f>
        <v>688331</v>
      </c>
      <c r="B4873" t="s">
        <v>5230</v>
      </c>
      <c r="C4873">
        <v>167.75</v>
      </c>
      <c r="D4873">
        <v>59.77</v>
      </c>
      <c r="E4873">
        <v>23.2</v>
      </c>
      <c r="F4873">
        <v>5.64</v>
      </c>
      <c r="G4873">
        <v>1.62</v>
      </c>
      <c r="H4873">
        <v>15267</v>
      </c>
      <c r="I4873">
        <v>25.11</v>
      </c>
      <c r="J4873" t="s">
        <v>14</v>
      </c>
      <c r="K4873" t="s">
        <v>2270</v>
      </c>
    </row>
    <row r="4874" spans="1:11">
      <c r="A4874" t="str">
        <f>"688332"</f>
        <v>688332</v>
      </c>
      <c r="B4874" t="s">
        <v>5231</v>
      </c>
      <c r="C4874">
        <v>63.73</v>
      </c>
      <c r="D4874">
        <v>44.56</v>
      </c>
      <c r="E4874">
        <v>40.95</v>
      </c>
      <c r="F4874">
        <v>1.21</v>
      </c>
      <c r="G4874">
        <v>0.44</v>
      </c>
      <c r="H4874">
        <v>18907</v>
      </c>
      <c r="I4874">
        <v>4.23</v>
      </c>
      <c r="J4874">
        <v>61.59</v>
      </c>
      <c r="K4874" t="s">
        <v>691</v>
      </c>
    </row>
    <row r="4875" spans="1:11">
      <c r="A4875" t="str">
        <f>"688333"</f>
        <v>688333</v>
      </c>
      <c r="B4875" t="s">
        <v>5232</v>
      </c>
      <c r="C4875">
        <v>336.13</v>
      </c>
      <c r="D4875">
        <v>86.04</v>
      </c>
      <c r="E4875">
        <v>49.32</v>
      </c>
      <c r="F4875">
        <v>2.74</v>
      </c>
      <c r="G4875">
        <v>2.74</v>
      </c>
      <c r="H4875">
        <v>15709</v>
      </c>
      <c r="I4875">
        <v>6.82</v>
      </c>
      <c r="J4875">
        <v>161.86</v>
      </c>
      <c r="K4875" t="s">
        <v>744</v>
      </c>
    </row>
    <row r="4876" spans="1:11">
      <c r="A4876" t="str">
        <f>"688334"</f>
        <v>688334</v>
      </c>
      <c r="B4876" t="s">
        <v>5233</v>
      </c>
      <c r="C4876">
        <v>32.39</v>
      </c>
      <c r="D4876">
        <v>36.81</v>
      </c>
      <c r="E4876">
        <v>28.58</v>
      </c>
      <c r="F4876">
        <v>3.17</v>
      </c>
      <c r="G4876">
        <v>1.57</v>
      </c>
      <c r="H4876">
        <v>11192</v>
      </c>
      <c r="I4876">
        <v>2.29</v>
      </c>
      <c r="J4876">
        <v>24.81</v>
      </c>
      <c r="K4876" t="s">
        <v>1733</v>
      </c>
    </row>
    <row r="4877" spans="1:11">
      <c r="A4877" t="str">
        <f>"688335"</f>
        <v>688335</v>
      </c>
      <c r="B4877" t="s">
        <v>5234</v>
      </c>
      <c r="C4877">
        <v>55.91</v>
      </c>
      <c r="D4877">
        <v>14.55</v>
      </c>
      <c r="E4877">
        <v>11.45</v>
      </c>
      <c r="F4877">
        <v>1.48</v>
      </c>
      <c r="G4877">
        <v>1.48</v>
      </c>
      <c r="H4877">
        <v>6437</v>
      </c>
      <c r="I4877">
        <v>4.88</v>
      </c>
      <c r="J4877">
        <v>1729.04</v>
      </c>
      <c r="K4877" t="s">
        <v>228</v>
      </c>
    </row>
    <row r="4878" spans="1:11">
      <c r="A4878" t="str">
        <f>"688336"</f>
        <v>688336</v>
      </c>
      <c r="B4878" t="s">
        <v>5235</v>
      </c>
      <c r="C4878">
        <v>363.35</v>
      </c>
      <c r="D4878">
        <v>88.11</v>
      </c>
      <c r="E4878">
        <v>58.99</v>
      </c>
      <c r="F4878">
        <v>6.17</v>
      </c>
      <c r="G4878">
        <v>6.17</v>
      </c>
      <c r="H4878">
        <v>11202</v>
      </c>
      <c r="I4878">
        <v>6.16</v>
      </c>
      <c r="J4878">
        <v>68.32</v>
      </c>
      <c r="K4878" t="s">
        <v>2270</v>
      </c>
    </row>
    <row r="4879" spans="1:11">
      <c r="A4879" t="str">
        <f>"688337"</f>
        <v>688337</v>
      </c>
      <c r="B4879" t="s">
        <v>5236</v>
      </c>
      <c r="C4879">
        <v>75.31</v>
      </c>
      <c r="D4879">
        <v>37.18</v>
      </c>
      <c r="E4879">
        <v>31.42</v>
      </c>
      <c r="F4879">
        <v>1.94</v>
      </c>
      <c r="G4879">
        <v>1.86</v>
      </c>
      <c r="H4879">
        <v>7894</v>
      </c>
      <c r="I4879">
        <v>2.5</v>
      </c>
      <c r="J4879">
        <v>144.87</v>
      </c>
      <c r="K4879" t="s">
        <v>952</v>
      </c>
    </row>
    <row r="4880" spans="1:11">
      <c r="A4880" t="str">
        <f>"688338"</f>
        <v>688338</v>
      </c>
      <c r="B4880" t="s">
        <v>5237</v>
      </c>
      <c r="C4880">
        <v>29.61</v>
      </c>
      <c r="D4880">
        <v>17.46</v>
      </c>
      <c r="E4880">
        <v>16.65</v>
      </c>
      <c r="F4880">
        <v>1.06</v>
      </c>
      <c r="G4880">
        <v>1.06</v>
      </c>
      <c r="H4880">
        <v>7065</v>
      </c>
      <c r="I4880">
        <v>1.78</v>
      </c>
      <c r="J4880">
        <v>34.4</v>
      </c>
      <c r="K4880" t="s">
        <v>775</v>
      </c>
    </row>
    <row r="4881" spans="1:11">
      <c r="A4881" t="str">
        <f>"688339"</f>
        <v>688339</v>
      </c>
      <c r="B4881" t="s">
        <v>5238</v>
      </c>
      <c r="C4881">
        <v>63.08</v>
      </c>
      <c r="D4881">
        <v>41.09</v>
      </c>
      <c r="E4881">
        <v>22.65</v>
      </c>
      <c r="F4881">
        <v>2.41</v>
      </c>
      <c r="G4881">
        <v>1.96</v>
      </c>
      <c r="H4881">
        <v>15687</v>
      </c>
      <c r="I4881">
        <v>3.3</v>
      </c>
      <c r="J4881" t="s">
        <v>14</v>
      </c>
      <c r="K4881" t="s">
        <v>1514</v>
      </c>
    </row>
    <row r="4882" spans="1:11">
      <c r="A4882" t="str">
        <f>"688343"</f>
        <v>688343</v>
      </c>
      <c r="B4882" t="s">
        <v>5239</v>
      </c>
      <c r="C4882">
        <v>223.38</v>
      </c>
      <c r="D4882">
        <v>56.98</v>
      </c>
      <c r="E4882">
        <v>38.79</v>
      </c>
      <c r="F4882">
        <v>3.59</v>
      </c>
      <c r="G4882">
        <v>2.64</v>
      </c>
      <c r="H4882">
        <v>42338</v>
      </c>
      <c r="I4882">
        <v>7.83</v>
      </c>
      <c r="J4882" t="s">
        <v>14</v>
      </c>
      <c r="K4882" t="s">
        <v>117</v>
      </c>
    </row>
    <row r="4883" spans="1:11">
      <c r="A4883" t="str">
        <f>"688345"</f>
        <v>688345</v>
      </c>
      <c r="B4883" t="s">
        <v>5240</v>
      </c>
      <c r="C4883">
        <v>34.36</v>
      </c>
      <c r="D4883">
        <v>30.12</v>
      </c>
      <c r="E4883">
        <v>11.04</v>
      </c>
      <c r="F4883">
        <v>1.01</v>
      </c>
      <c r="G4883">
        <v>1</v>
      </c>
      <c r="H4883">
        <v>6086</v>
      </c>
      <c r="I4883">
        <v>3.15</v>
      </c>
      <c r="J4883">
        <v>53.7</v>
      </c>
      <c r="K4883" t="s">
        <v>70</v>
      </c>
    </row>
    <row r="4884" spans="1:11">
      <c r="A4884" t="str">
        <f>"688347"</f>
        <v>688347</v>
      </c>
      <c r="B4884" t="s">
        <v>5241</v>
      </c>
      <c r="C4884">
        <v>512.87</v>
      </c>
      <c r="D4884">
        <v>875.03</v>
      </c>
      <c r="E4884">
        <v>445.04</v>
      </c>
      <c r="F4884">
        <v>17.38</v>
      </c>
      <c r="G4884">
        <v>4.08</v>
      </c>
      <c r="H4884">
        <v>49015</v>
      </c>
      <c r="I4884">
        <v>4.91</v>
      </c>
      <c r="J4884">
        <v>652.36</v>
      </c>
      <c r="K4884" t="s">
        <v>2240</v>
      </c>
    </row>
    <row r="4885" spans="1:11">
      <c r="A4885" t="str">
        <f>"688348"</f>
        <v>688348</v>
      </c>
      <c r="B4885" t="s">
        <v>5242</v>
      </c>
      <c r="C4885">
        <v>85.39</v>
      </c>
      <c r="D4885">
        <v>45.27</v>
      </c>
      <c r="E4885">
        <v>36.22</v>
      </c>
      <c r="F4885">
        <v>1.56</v>
      </c>
      <c r="G4885">
        <v>1.56</v>
      </c>
      <c r="H4885">
        <v>12810</v>
      </c>
      <c r="I4885">
        <v>2.36</v>
      </c>
      <c r="J4885">
        <v>96.33</v>
      </c>
      <c r="K4885" t="s">
        <v>2070</v>
      </c>
    </row>
    <row r="4886" spans="1:11">
      <c r="A4886" t="str">
        <f>"688349"</f>
        <v>688349</v>
      </c>
      <c r="B4886" t="s">
        <v>5243</v>
      </c>
      <c r="C4886">
        <v>319.85</v>
      </c>
      <c r="D4886">
        <v>452.07</v>
      </c>
      <c r="E4886">
        <v>132.73</v>
      </c>
      <c r="F4886">
        <v>12.26</v>
      </c>
      <c r="G4886">
        <v>11.89</v>
      </c>
      <c r="H4886">
        <v>12514</v>
      </c>
      <c r="I4886">
        <v>2.48</v>
      </c>
      <c r="J4886">
        <v>203.03</v>
      </c>
      <c r="K4886" t="s">
        <v>982</v>
      </c>
    </row>
    <row r="4887" spans="1:11">
      <c r="A4887" t="str">
        <f>"688350"</f>
        <v>688350</v>
      </c>
      <c r="B4887" t="s">
        <v>5244</v>
      </c>
      <c r="C4887">
        <v>33.87</v>
      </c>
      <c r="D4887">
        <v>27.49</v>
      </c>
      <c r="E4887">
        <v>14.42</v>
      </c>
      <c r="F4887">
        <v>1.19</v>
      </c>
      <c r="G4887">
        <v>1.19</v>
      </c>
      <c r="H4887">
        <v>4681</v>
      </c>
      <c r="I4887">
        <v>2.53</v>
      </c>
      <c r="J4887">
        <v>71.4</v>
      </c>
      <c r="K4887" t="s">
        <v>511</v>
      </c>
    </row>
    <row r="4888" spans="1:11">
      <c r="A4888" t="str">
        <f>"688351"</f>
        <v>688351</v>
      </c>
      <c r="B4888" t="s">
        <v>5245</v>
      </c>
      <c r="C4888">
        <v>33.03</v>
      </c>
      <c r="D4888">
        <v>19.63</v>
      </c>
      <c r="E4888">
        <v>17.91</v>
      </c>
      <c r="F4888">
        <v>4.71</v>
      </c>
      <c r="G4888">
        <v>1.25</v>
      </c>
      <c r="H4888">
        <v>9580</v>
      </c>
      <c r="I4888">
        <v>6.95</v>
      </c>
      <c r="J4888">
        <v>222.7</v>
      </c>
      <c r="K4888" t="s">
        <v>1173</v>
      </c>
    </row>
    <row r="4889" spans="1:11">
      <c r="A4889" t="str">
        <f>"688352"</f>
        <v>688352</v>
      </c>
      <c r="B4889" t="s">
        <v>5246</v>
      </c>
      <c r="C4889">
        <v>48.08</v>
      </c>
      <c r="D4889">
        <v>72.91</v>
      </c>
      <c r="E4889">
        <v>60.14</v>
      </c>
      <c r="F4889">
        <v>11.89</v>
      </c>
      <c r="G4889">
        <v>3.66</v>
      </c>
      <c r="H4889">
        <v>23809</v>
      </c>
      <c r="I4889">
        <v>2.6</v>
      </c>
      <c r="J4889">
        <v>63.5</v>
      </c>
      <c r="K4889" t="s">
        <v>838</v>
      </c>
    </row>
    <row r="4890" spans="1:11">
      <c r="A4890" t="str">
        <f>"688353"</f>
        <v>688353</v>
      </c>
      <c r="B4890" t="s">
        <v>5247</v>
      </c>
      <c r="C4890">
        <v>166.98</v>
      </c>
      <c r="D4890">
        <v>42.15</v>
      </c>
      <c r="E4890">
        <v>33.03</v>
      </c>
      <c r="F4890">
        <v>1.6</v>
      </c>
      <c r="G4890">
        <v>1.6</v>
      </c>
      <c r="H4890">
        <v>12690</v>
      </c>
      <c r="I4890">
        <v>5.06</v>
      </c>
      <c r="J4890" t="s">
        <v>14</v>
      </c>
      <c r="K4890" t="s">
        <v>24</v>
      </c>
    </row>
    <row r="4891" spans="1:11">
      <c r="A4891" t="str">
        <f>"688355"</f>
        <v>688355</v>
      </c>
      <c r="B4891" t="s">
        <v>5248</v>
      </c>
      <c r="C4891">
        <v>23.74</v>
      </c>
      <c r="D4891">
        <v>13.85</v>
      </c>
      <c r="E4891">
        <v>10.65</v>
      </c>
      <c r="F4891">
        <v>1.24</v>
      </c>
      <c r="G4891">
        <v>1.24</v>
      </c>
      <c r="H4891">
        <v>5353</v>
      </c>
      <c r="I4891">
        <v>2.23</v>
      </c>
      <c r="J4891">
        <v>40.32</v>
      </c>
      <c r="K4891" t="s">
        <v>63</v>
      </c>
    </row>
    <row r="4892" spans="1:11">
      <c r="A4892" t="str">
        <f>"688356"</f>
        <v>688356</v>
      </c>
      <c r="B4892" t="s">
        <v>5249</v>
      </c>
      <c r="C4892">
        <v>68.53</v>
      </c>
      <c r="D4892">
        <v>13.8</v>
      </c>
      <c r="E4892">
        <v>12.98</v>
      </c>
      <c r="F4892">
        <v>0.61</v>
      </c>
      <c r="G4892">
        <v>0.61</v>
      </c>
      <c r="H4892">
        <v>6608</v>
      </c>
      <c r="I4892">
        <v>5.28</v>
      </c>
      <c r="J4892">
        <v>126.21</v>
      </c>
      <c r="K4892" t="s">
        <v>404</v>
      </c>
    </row>
    <row r="4893" spans="1:11">
      <c r="A4893" t="str">
        <f>"688357"</f>
        <v>688357</v>
      </c>
      <c r="B4893" t="s">
        <v>5250</v>
      </c>
      <c r="C4893">
        <v>34.28</v>
      </c>
      <c r="D4893">
        <v>30.17</v>
      </c>
      <c r="E4893">
        <v>18.59</v>
      </c>
      <c r="F4893">
        <v>1</v>
      </c>
      <c r="G4893">
        <v>1</v>
      </c>
      <c r="H4893">
        <v>6257</v>
      </c>
      <c r="I4893">
        <v>1.97</v>
      </c>
      <c r="J4893">
        <v>35.35</v>
      </c>
      <c r="K4893" t="s">
        <v>682</v>
      </c>
    </row>
    <row r="4894" spans="1:11">
      <c r="A4894" t="str">
        <f>"688358"</f>
        <v>688358</v>
      </c>
      <c r="B4894" t="s">
        <v>5251</v>
      </c>
      <c r="C4894">
        <v>46.98</v>
      </c>
      <c r="D4894">
        <v>15.77</v>
      </c>
      <c r="E4894">
        <v>14</v>
      </c>
      <c r="F4894">
        <v>1.12</v>
      </c>
      <c r="G4894">
        <v>1.12</v>
      </c>
      <c r="H4894">
        <v>6167</v>
      </c>
      <c r="I4894">
        <v>3.36</v>
      </c>
      <c r="J4894">
        <v>37.57</v>
      </c>
      <c r="K4894" t="s">
        <v>1836</v>
      </c>
    </row>
    <row r="4895" spans="1:11">
      <c r="A4895" t="str">
        <f>"688359"</f>
        <v>688359</v>
      </c>
      <c r="B4895" t="s">
        <v>5252</v>
      </c>
      <c r="C4895">
        <v>67.74</v>
      </c>
      <c r="D4895">
        <v>13.64</v>
      </c>
      <c r="E4895">
        <v>6.22</v>
      </c>
      <c r="F4895">
        <v>0.98</v>
      </c>
      <c r="G4895">
        <v>0.98</v>
      </c>
      <c r="H4895">
        <v>4380</v>
      </c>
      <c r="I4895">
        <v>10.83</v>
      </c>
      <c r="J4895" t="s">
        <v>14</v>
      </c>
      <c r="K4895" t="s">
        <v>884</v>
      </c>
    </row>
    <row r="4896" spans="1:11">
      <c r="A4896" t="str">
        <f>"688360"</f>
        <v>688360</v>
      </c>
      <c r="B4896" t="s">
        <v>5253</v>
      </c>
      <c r="C4896">
        <v>53.36</v>
      </c>
      <c r="D4896">
        <v>34.5</v>
      </c>
      <c r="E4896">
        <v>14.7</v>
      </c>
      <c r="F4896">
        <v>2.64</v>
      </c>
      <c r="G4896">
        <v>2.52</v>
      </c>
      <c r="H4896">
        <v>13872</v>
      </c>
      <c r="I4896">
        <v>3.8</v>
      </c>
      <c r="J4896">
        <v>38.1</v>
      </c>
      <c r="K4896" t="s">
        <v>493</v>
      </c>
    </row>
    <row r="4897" spans="1:11">
      <c r="A4897" t="str">
        <f>"688361"</f>
        <v>688361</v>
      </c>
      <c r="B4897" t="s">
        <v>5254</v>
      </c>
      <c r="C4897">
        <v>447.87</v>
      </c>
      <c r="D4897">
        <v>52.03</v>
      </c>
      <c r="E4897">
        <v>25.48</v>
      </c>
      <c r="F4897">
        <v>3.5</v>
      </c>
      <c r="G4897">
        <v>2.48</v>
      </c>
      <c r="H4897">
        <v>13694</v>
      </c>
      <c r="I4897">
        <v>22.76</v>
      </c>
      <c r="J4897" t="s">
        <v>14</v>
      </c>
      <c r="K4897" t="s">
        <v>1160</v>
      </c>
    </row>
    <row r="4898" spans="1:11">
      <c r="A4898" t="str">
        <f>"688362"</f>
        <v>688362</v>
      </c>
      <c r="B4898" t="s">
        <v>5255</v>
      </c>
      <c r="C4898">
        <v>172.03</v>
      </c>
      <c r="D4898">
        <v>153.51</v>
      </c>
      <c r="E4898">
        <v>25.94</v>
      </c>
      <c r="F4898">
        <v>4.1</v>
      </c>
      <c r="G4898">
        <v>4.1</v>
      </c>
      <c r="H4898">
        <v>21044</v>
      </c>
      <c r="I4898">
        <v>6.74</v>
      </c>
      <c r="J4898">
        <v>204.4</v>
      </c>
      <c r="K4898" t="s">
        <v>838</v>
      </c>
    </row>
    <row r="4899" spans="1:11">
      <c r="A4899" t="str">
        <f>"688363"</f>
        <v>688363</v>
      </c>
      <c r="B4899" t="s">
        <v>5256</v>
      </c>
      <c r="C4899">
        <v>228.56</v>
      </c>
      <c r="D4899">
        <v>84.69</v>
      </c>
      <c r="E4899">
        <v>70.6</v>
      </c>
      <c r="F4899">
        <v>4.82</v>
      </c>
      <c r="G4899">
        <v>4.82</v>
      </c>
      <c r="H4899">
        <v>30077</v>
      </c>
      <c r="I4899">
        <v>3.24</v>
      </c>
      <c r="J4899">
        <v>67.92</v>
      </c>
      <c r="K4899" t="s">
        <v>2669</v>
      </c>
    </row>
    <row r="4900" spans="1:11">
      <c r="A4900" t="str">
        <f>"688365"</f>
        <v>688365</v>
      </c>
      <c r="B4900" t="s">
        <v>5257</v>
      </c>
      <c r="C4900">
        <v>145.63</v>
      </c>
      <c r="D4900">
        <v>17.71</v>
      </c>
      <c r="E4900">
        <v>9.48</v>
      </c>
      <c r="F4900">
        <v>4.26</v>
      </c>
      <c r="G4900">
        <v>4.26</v>
      </c>
      <c r="H4900">
        <v>14903</v>
      </c>
      <c r="I4900">
        <v>15.37</v>
      </c>
      <c r="J4900" t="s">
        <v>14</v>
      </c>
      <c r="K4900" t="s">
        <v>924</v>
      </c>
    </row>
    <row r="4901" spans="1:11">
      <c r="A4901" t="str">
        <f>"688366"</f>
        <v>688366</v>
      </c>
      <c r="B4901" t="s">
        <v>5258</v>
      </c>
      <c r="C4901">
        <v>94.7</v>
      </c>
      <c r="D4901">
        <v>71.18</v>
      </c>
      <c r="E4901">
        <v>56.16</v>
      </c>
      <c r="F4901">
        <v>2.31</v>
      </c>
      <c r="G4901">
        <v>1.94</v>
      </c>
      <c r="H4901">
        <v>8388</v>
      </c>
      <c r="I4901">
        <v>2.02</v>
      </c>
      <c r="J4901">
        <v>27.7</v>
      </c>
      <c r="K4901" t="s">
        <v>1173</v>
      </c>
    </row>
    <row r="4902" spans="1:11">
      <c r="A4902" t="str">
        <f>"688367"</f>
        <v>688367</v>
      </c>
      <c r="B4902" t="s">
        <v>5259</v>
      </c>
      <c r="C4902">
        <v>26.86</v>
      </c>
      <c r="D4902">
        <v>7.36</v>
      </c>
      <c r="E4902">
        <v>5.89</v>
      </c>
      <c r="F4902">
        <v>0.88</v>
      </c>
      <c r="G4902">
        <v>0.88</v>
      </c>
      <c r="H4902">
        <v>4033</v>
      </c>
      <c r="I4902">
        <v>4.56</v>
      </c>
      <c r="J4902">
        <v>425.8</v>
      </c>
      <c r="K4902" t="s">
        <v>22</v>
      </c>
    </row>
    <row r="4903" spans="1:11">
      <c r="A4903" t="str">
        <f>"688368"</f>
        <v>688368</v>
      </c>
      <c r="B4903" t="s">
        <v>5260</v>
      </c>
      <c r="C4903">
        <v>121.59</v>
      </c>
      <c r="D4903">
        <v>19.74</v>
      </c>
      <c r="E4903">
        <v>11.72</v>
      </c>
      <c r="F4903">
        <v>0.88</v>
      </c>
      <c r="G4903">
        <v>0.88</v>
      </c>
      <c r="H4903">
        <v>8574</v>
      </c>
      <c r="I4903">
        <v>10.37</v>
      </c>
      <c r="J4903">
        <v>390.88</v>
      </c>
      <c r="K4903" t="s">
        <v>691</v>
      </c>
    </row>
    <row r="4904" spans="1:11">
      <c r="A4904" t="str">
        <f>"688369"</f>
        <v>688369</v>
      </c>
      <c r="B4904" t="s">
        <v>5261</v>
      </c>
      <c r="C4904">
        <v>37.37</v>
      </c>
      <c r="D4904">
        <v>13.75</v>
      </c>
      <c r="E4904">
        <v>8.46</v>
      </c>
      <c r="F4904">
        <v>1.15</v>
      </c>
      <c r="G4904">
        <v>1.15</v>
      </c>
      <c r="H4904">
        <v>8561</v>
      </c>
      <c r="I4904">
        <v>4.42</v>
      </c>
      <c r="J4904" t="s">
        <v>14</v>
      </c>
      <c r="K4904" t="s">
        <v>117</v>
      </c>
    </row>
    <row r="4905" spans="1:11">
      <c r="A4905" t="str">
        <f>"688370"</f>
        <v>688370</v>
      </c>
      <c r="B4905" t="s">
        <v>5262</v>
      </c>
      <c r="C4905">
        <v>11.83</v>
      </c>
      <c r="D4905">
        <v>30.91</v>
      </c>
      <c r="E4905">
        <v>26.42</v>
      </c>
      <c r="F4905">
        <v>1.37</v>
      </c>
      <c r="G4905">
        <v>0.44</v>
      </c>
      <c r="H4905">
        <v>8118</v>
      </c>
      <c r="I4905">
        <v>1.4</v>
      </c>
      <c r="J4905">
        <v>180.52</v>
      </c>
      <c r="K4905" t="s">
        <v>59</v>
      </c>
    </row>
    <row r="4906" spans="1:11">
      <c r="A4906" t="str">
        <f>"688371"</f>
        <v>688371</v>
      </c>
      <c r="B4906" t="s">
        <v>5263</v>
      </c>
      <c r="C4906">
        <v>68.5</v>
      </c>
      <c r="D4906">
        <v>20.88</v>
      </c>
      <c r="E4906">
        <v>19.69</v>
      </c>
      <c r="F4906">
        <v>3.35</v>
      </c>
      <c r="G4906">
        <v>3.35</v>
      </c>
      <c r="H4906">
        <v>7450</v>
      </c>
      <c r="I4906">
        <v>3.48</v>
      </c>
      <c r="J4906">
        <v>177.3</v>
      </c>
      <c r="K4906" t="s">
        <v>41</v>
      </c>
    </row>
    <row r="4907" spans="1:11">
      <c r="A4907" t="str">
        <f>"688372"</f>
        <v>688372</v>
      </c>
      <c r="B4907" t="s">
        <v>5264</v>
      </c>
      <c r="C4907">
        <v>185.6</v>
      </c>
      <c r="D4907">
        <v>69.07</v>
      </c>
      <c r="E4907">
        <v>28.53</v>
      </c>
      <c r="F4907">
        <v>1.49</v>
      </c>
      <c r="G4907">
        <v>1.49</v>
      </c>
      <c r="H4907">
        <v>14272</v>
      </c>
      <c r="I4907">
        <v>6.55</v>
      </c>
      <c r="J4907">
        <v>68.76</v>
      </c>
      <c r="K4907" t="s">
        <v>838</v>
      </c>
    </row>
    <row r="4908" spans="1:11">
      <c r="A4908" t="str">
        <f>"688373"</f>
        <v>688373</v>
      </c>
      <c r="B4908" t="s">
        <v>5265</v>
      </c>
      <c r="C4908">
        <v>40.84</v>
      </c>
      <c r="D4908">
        <v>7.27</v>
      </c>
      <c r="E4908">
        <v>2.58</v>
      </c>
      <c r="F4908">
        <v>6.56</v>
      </c>
      <c r="G4908">
        <v>6.05</v>
      </c>
      <c r="H4908">
        <v>16492</v>
      </c>
      <c r="I4908">
        <v>17.18</v>
      </c>
      <c r="J4908" t="s">
        <v>14</v>
      </c>
      <c r="K4908" t="s">
        <v>109</v>
      </c>
    </row>
    <row r="4909" spans="1:11">
      <c r="A4909" t="str">
        <f>"688375"</f>
        <v>688375</v>
      </c>
      <c r="B4909" t="s">
        <v>5266</v>
      </c>
      <c r="C4909">
        <v>1008.7</v>
      </c>
      <c r="D4909">
        <v>78.35</v>
      </c>
      <c r="E4909">
        <v>61.99</v>
      </c>
      <c r="F4909">
        <v>5.96</v>
      </c>
      <c r="G4909">
        <v>5.96</v>
      </c>
      <c r="H4909">
        <v>7039</v>
      </c>
      <c r="I4909">
        <v>16.27</v>
      </c>
      <c r="J4909">
        <v>306.14</v>
      </c>
      <c r="K4909" t="s">
        <v>223</v>
      </c>
    </row>
    <row r="4910" spans="1:11">
      <c r="A4910" t="str">
        <f>"688376"</f>
        <v>688376</v>
      </c>
      <c r="B4910" t="s">
        <v>5267</v>
      </c>
      <c r="C4910">
        <v>84.94</v>
      </c>
      <c r="D4910">
        <v>40.63</v>
      </c>
      <c r="E4910">
        <v>19.31</v>
      </c>
      <c r="F4910">
        <v>1.35</v>
      </c>
      <c r="G4910">
        <v>1.35</v>
      </c>
      <c r="H4910">
        <v>5817</v>
      </c>
      <c r="I4910">
        <v>4.37</v>
      </c>
      <c r="J4910">
        <v>45.22</v>
      </c>
      <c r="K4910" t="s">
        <v>228</v>
      </c>
    </row>
    <row r="4911" spans="1:11">
      <c r="A4911" t="str">
        <f>"688377"</f>
        <v>688377</v>
      </c>
      <c r="B4911" t="s">
        <v>5268</v>
      </c>
      <c r="C4911">
        <v>80.77</v>
      </c>
      <c r="D4911">
        <v>28.31</v>
      </c>
      <c r="E4911">
        <v>18.61</v>
      </c>
      <c r="F4911">
        <v>1.95</v>
      </c>
      <c r="G4911">
        <v>1.95</v>
      </c>
      <c r="H4911">
        <v>4884</v>
      </c>
      <c r="I4911">
        <v>4.34</v>
      </c>
      <c r="J4911">
        <v>67.52</v>
      </c>
      <c r="K4911" t="s">
        <v>491</v>
      </c>
    </row>
    <row r="4912" spans="1:11">
      <c r="A4912" t="str">
        <f>"688378"</f>
        <v>688378</v>
      </c>
      <c r="B4912" t="s">
        <v>5269</v>
      </c>
      <c r="C4912">
        <v>79.97</v>
      </c>
      <c r="D4912">
        <v>23.53</v>
      </c>
      <c r="E4912">
        <v>16.65</v>
      </c>
      <c r="F4912">
        <v>2.49</v>
      </c>
      <c r="G4912">
        <v>2.41</v>
      </c>
      <c r="H4912">
        <v>8114</v>
      </c>
      <c r="I4912">
        <v>4.97</v>
      </c>
      <c r="J4912">
        <v>197.89</v>
      </c>
      <c r="K4912" t="s">
        <v>493</v>
      </c>
    </row>
    <row r="4913" spans="1:11">
      <c r="A4913" t="str">
        <f>"688379"</f>
        <v>688379</v>
      </c>
      <c r="B4913" t="s">
        <v>5270</v>
      </c>
      <c r="C4913">
        <v>49.04</v>
      </c>
      <c r="D4913">
        <v>27.74</v>
      </c>
      <c r="E4913">
        <v>11.34</v>
      </c>
      <c r="F4913">
        <v>0.9</v>
      </c>
      <c r="G4913">
        <v>0.9</v>
      </c>
      <c r="H4913">
        <v>9368</v>
      </c>
      <c r="I4913">
        <v>4.32</v>
      </c>
      <c r="J4913">
        <v>23.3</v>
      </c>
      <c r="K4913" t="s">
        <v>63</v>
      </c>
    </row>
    <row r="4914" spans="1:11">
      <c r="A4914" t="str">
        <f>"688380"</f>
        <v>688380</v>
      </c>
      <c r="B4914" t="s">
        <v>5271</v>
      </c>
      <c r="C4914">
        <v>57.56</v>
      </c>
      <c r="D4914">
        <v>35.2</v>
      </c>
      <c r="E4914">
        <v>30.46</v>
      </c>
      <c r="F4914">
        <v>4</v>
      </c>
      <c r="G4914">
        <v>1.69</v>
      </c>
      <c r="H4914">
        <v>24437</v>
      </c>
      <c r="I4914">
        <v>4.47</v>
      </c>
      <c r="J4914">
        <v>67.1</v>
      </c>
      <c r="K4914" t="s">
        <v>691</v>
      </c>
    </row>
    <row r="4915" spans="1:11">
      <c r="A4915" t="str">
        <f>"688381"</f>
        <v>688381</v>
      </c>
      <c r="B4915" t="s">
        <v>5272</v>
      </c>
      <c r="C4915">
        <v>47.06</v>
      </c>
      <c r="D4915">
        <v>27.76</v>
      </c>
      <c r="E4915">
        <v>25.96</v>
      </c>
      <c r="F4915">
        <v>2.48</v>
      </c>
      <c r="G4915">
        <v>1.92</v>
      </c>
      <c r="H4915">
        <v>16022</v>
      </c>
      <c r="I4915">
        <v>2.34</v>
      </c>
      <c r="J4915" t="s">
        <v>14</v>
      </c>
      <c r="K4915" t="s">
        <v>691</v>
      </c>
    </row>
    <row r="4916" spans="1:11">
      <c r="A4916" t="str">
        <f>"688382"</f>
        <v>688382</v>
      </c>
      <c r="B4916" t="s">
        <v>5273</v>
      </c>
      <c r="C4916">
        <v>132.56</v>
      </c>
      <c r="D4916">
        <v>17.64</v>
      </c>
      <c r="E4916">
        <v>16.65</v>
      </c>
      <c r="F4916">
        <v>5.78</v>
      </c>
      <c r="G4916">
        <v>4.18</v>
      </c>
      <c r="H4916">
        <v>12352</v>
      </c>
      <c r="I4916">
        <v>11.02</v>
      </c>
      <c r="J4916" t="s">
        <v>14</v>
      </c>
      <c r="K4916" t="s">
        <v>210</v>
      </c>
    </row>
    <row r="4917" spans="1:11">
      <c r="A4917" t="str">
        <f>"688383"</f>
        <v>688383</v>
      </c>
      <c r="B4917" t="s">
        <v>5274</v>
      </c>
      <c r="C4917">
        <v>79.1</v>
      </c>
      <c r="D4917">
        <v>29.46</v>
      </c>
      <c r="E4917">
        <v>13.68</v>
      </c>
      <c r="F4917">
        <v>1.02</v>
      </c>
      <c r="G4917">
        <v>1.02</v>
      </c>
      <c r="H4917">
        <v>4791</v>
      </c>
      <c r="I4917">
        <v>5.78</v>
      </c>
      <c r="J4917">
        <v>759.16</v>
      </c>
      <c r="K4917" t="s">
        <v>493</v>
      </c>
    </row>
    <row r="4918" spans="1:11">
      <c r="A4918" t="str">
        <f>"688385"</f>
        <v>688385</v>
      </c>
      <c r="B4918" t="s">
        <v>5275</v>
      </c>
      <c r="C4918">
        <v>465.13</v>
      </c>
      <c r="D4918">
        <v>92.84</v>
      </c>
      <c r="E4918">
        <v>61.77</v>
      </c>
      <c r="F4918">
        <v>8.21</v>
      </c>
      <c r="G4918">
        <v>5.37</v>
      </c>
      <c r="H4918">
        <v>24465</v>
      </c>
      <c r="I4918">
        <v>11.52</v>
      </c>
      <c r="J4918">
        <v>161.53</v>
      </c>
      <c r="K4918" t="s">
        <v>691</v>
      </c>
    </row>
    <row r="4919" spans="1:11">
      <c r="A4919" t="str">
        <f>"688386"</f>
        <v>688386</v>
      </c>
      <c r="B4919" t="s">
        <v>5276</v>
      </c>
      <c r="C4919">
        <v>81.18</v>
      </c>
      <c r="D4919">
        <v>16.55</v>
      </c>
      <c r="E4919">
        <v>8.09</v>
      </c>
      <c r="F4919">
        <v>0.91</v>
      </c>
      <c r="G4919">
        <v>0.91</v>
      </c>
      <c r="H4919">
        <v>4035</v>
      </c>
      <c r="I4919">
        <v>10.03</v>
      </c>
      <c r="J4919">
        <v>67.12</v>
      </c>
      <c r="K4919" t="s">
        <v>496</v>
      </c>
    </row>
    <row r="4920" spans="1:11">
      <c r="A4920" t="str">
        <f>"688387"</f>
        <v>688387</v>
      </c>
      <c r="B4920" t="s">
        <v>5277</v>
      </c>
      <c r="C4920">
        <v>400.94</v>
      </c>
      <c r="D4920">
        <v>127.71</v>
      </c>
      <c r="E4920">
        <v>60.87</v>
      </c>
      <c r="F4920">
        <v>34.19</v>
      </c>
      <c r="G4920">
        <v>20.17</v>
      </c>
      <c r="H4920">
        <v>48001</v>
      </c>
      <c r="I4920">
        <v>11.16</v>
      </c>
      <c r="J4920" t="s">
        <v>14</v>
      </c>
      <c r="K4920" t="s">
        <v>84</v>
      </c>
    </row>
    <row r="4921" spans="1:11">
      <c r="A4921" t="str">
        <f>"688388"</f>
        <v>688388</v>
      </c>
      <c r="B4921" t="s">
        <v>5278</v>
      </c>
      <c r="C4921">
        <v>188.96</v>
      </c>
      <c r="D4921">
        <v>142.6</v>
      </c>
      <c r="E4921">
        <v>69.92</v>
      </c>
      <c r="F4921">
        <v>4.26</v>
      </c>
      <c r="G4921">
        <v>4.26</v>
      </c>
      <c r="H4921">
        <v>21990</v>
      </c>
      <c r="I4921">
        <v>2.77</v>
      </c>
      <c r="J4921">
        <v>346.7</v>
      </c>
      <c r="K4921" t="s">
        <v>70</v>
      </c>
    </row>
    <row r="4922" spans="1:11">
      <c r="A4922" t="str">
        <f>"688389"</f>
        <v>688389</v>
      </c>
      <c r="B4922" t="s">
        <v>5279</v>
      </c>
      <c r="C4922">
        <v>60.46</v>
      </c>
      <c r="D4922">
        <v>26.46</v>
      </c>
      <c r="E4922">
        <v>21.01</v>
      </c>
      <c r="F4922">
        <v>4.28</v>
      </c>
      <c r="G4922">
        <v>4.28</v>
      </c>
      <c r="H4922">
        <v>11859</v>
      </c>
      <c r="I4922">
        <v>2.88</v>
      </c>
      <c r="J4922">
        <v>27.81</v>
      </c>
      <c r="K4922" t="s">
        <v>2179</v>
      </c>
    </row>
    <row r="4923" spans="1:11">
      <c r="A4923" t="str">
        <f>"688390"</f>
        <v>688390</v>
      </c>
      <c r="B4923" t="s">
        <v>5280</v>
      </c>
      <c r="C4923">
        <v>176.27</v>
      </c>
      <c r="D4923">
        <v>84.85</v>
      </c>
      <c r="E4923">
        <v>27.16</v>
      </c>
      <c r="F4923">
        <v>2.43</v>
      </c>
      <c r="G4923">
        <v>2.43</v>
      </c>
      <c r="H4923">
        <v>18714</v>
      </c>
      <c r="I4923">
        <v>6.48</v>
      </c>
      <c r="J4923">
        <v>162.97</v>
      </c>
      <c r="K4923" t="s">
        <v>2070</v>
      </c>
    </row>
    <row r="4924" spans="1:11">
      <c r="A4924" t="str">
        <f>"688391"</f>
        <v>688391</v>
      </c>
      <c r="B4924" t="s">
        <v>5281</v>
      </c>
      <c r="C4924">
        <v>35.48</v>
      </c>
      <c r="D4924">
        <v>19.74</v>
      </c>
      <c r="E4924">
        <v>18.59</v>
      </c>
      <c r="F4924">
        <v>1.15</v>
      </c>
      <c r="G4924">
        <v>1.15</v>
      </c>
      <c r="H4924">
        <v>7277</v>
      </c>
      <c r="I4924">
        <v>1.91</v>
      </c>
      <c r="J4924">
        <v>59.74</v>
      </c>
      <c r="K4924" t="s">
        <v>691</v>
      </c>
    </row>
    <row r="4925" spans="1:11">
      <c r="A4925" t="str">
        <f>"688392"</f>
        <v>688392</v>
      </c>
      <c r="B4925" t="s">
        <v>5282</v>
      </c>
      <c r="C4925">
        <v>158.45</v>
      </c>
      <c r="D4925">
        <v>23.35</v>
      </c>
      <c r="E4925">
        <v>18</v>
      </c>
      <c r="F4925">
        <v>1.16</v>
      </c>
      <c r="G4925">
        <v>1.16</v>
      </c>
      <c r="H4925">
        <v>8133</v>
      </c>
      <c r="I4925">
        <v>8.8</v>
      </c>
      <c r="J4925">
        <v>126.39</v>
      </c>
      <c r="K4925" t="s">
        <v>493</v>
      </c>
    </row>
    <row r="4926" spans="1:11">
      <c r="A4926" t="str">
        <f>"688393"</f>
        <v>688393</v>
      </c>
      <c r="B4926" t="s">
        <v>5283</v>
      </c>
      <c r="C4926">
        <v>32.56</v>
      </c>
      <c r="D4926">
        <v>13.12</v>
      </c>
      <c r="E4926">
        <v>12.26</v>
      </c>
      <c r="F4926">
        <v>0.94</v>
      </c>
      <c r="G4926">
        <v>0.94</v>
      </c>
      <c r="H4926">
        <v>7567</v>
      </c>
      <c r="I4926">
        <v>2.66</v>
      </c>
      <c r="J4926" t="s">
        <v>14</v>
      </c>
      <c r="K4926" t="s">
        <v>775</v>
      </c>
    </row>
    <row r="4927" spans="1:11">
      <c r="A4927" t="str">
        <f>"688395"</f>
        <v>688395</v>
      </c>
      <c r="B4927" t="s">
        <v>5284</v>
      </c>
      <c r="C4927">
        <v>21.67</v>
      </c>
      <c r="D4927">
        <v>9.44</v>
      </c>
      <c r="E4927">
        <v>7.79</v>
      </c>
      <c r="F4927">
        <v>0.87</v>
      </c>
      <c r="G4927">
        <v>0.87</v>
      </c>
      <c r="H4927">
        <v>4665</v>
      </c>
      <c r="I4927">
        <v>2.78</v>
      </c>
      <c r="J4927">
        <v>55.05</v>
      </c>
      <c r="K4927" t="s">
        <v>663</v>
      </c>
    </row>
    <row r="4928" spans="1:11">
      <c r="A4928" t="str">
        <f>"688396"</f>
        <v>688396</v>
      </c>
      <c r="B4928" t="s">
        <v>5285</v>
      </c>
      <c r="C4928">
        <v>744.48</v>
      </c>
      <c r="D4928">
        <v>301.11</v>
      </c>
      <c r="E4928">
        <v>228.94</v>
      </c>
      <c r="F4928">
        <v>13.28</v>
      </c>
      <c r="G4928">
        <v>13.28</v>
      </c>
      <c r="H4928">
        <v>52451</v>
      </c>
      <c r="I4928">
        <v>3.25</v>
      </c>
      <c r="J4928">
        <v>106.25</v>
      </c>
      <c r="K4928" t="s">
        <v>1852</v>
      </c>
    </row>
    <row r="4929" spans="1:11">
      <c r="A4929" t="str">
        <f>"688398"</f>
        <v>688398</v>
      </c>
      <c r="B4929" t="s">
        <v>5286</v>
      </c>
      <c r="C4929">
        <v>30.42</v>
      </c>
      <c r="D4929">
        <v>20.91</v>
      </c>
      <c r="E4929">
        <v>11.46</v>
      </c>
      <c r="F4929">
        <v>1.68</v>
      </c>
      <c r="G4929">
        <v>1.68</v>
      </c>
      <c r="H4929">
        <v>5506</v>
      </c>
      <c r="I4929">
        <v>2.95</v>
      </c>
      <c r="J4929">
        <v>89.67</v>
      </c>
      <c r="K4929" t="s">
        <v>682</v>
      </c>
    </row>
    <row r="4930" spans="1:11">
      <c r="A4930" t="str">
        <f>"688399"</f>
        <v>688399</v>
      </c>
      <c r="B4930" t="s">
        <v>5287</v>
      </c>
      <c r="C4930">
        <v>67.51</v>
      </c>
      <c r="D4930">
        <v>36.49</v>
      </c>
      <c r="E4930">
        <v>29.68</v>
      </c>
      <c r="F4930">
        <v>0.84</v>
      </c>
      <c r="G4930">
        <v>0.84</v>
      </c>
      <c r="H4930">
        <v>8573</v>
      </c>
      <c r="I4930">
        <v>2.27</v>
      </c>
      <c r="J4930">
        <v>1606.52</v>
      </c>
      <c r="K4930" t="s">
        <v>775</v>
      </c>
    </row>
    <row r="4931" spans="1:11">
      <c r="A4931" t="str">
        <f>"688400"</f>
        <v>688400</v>
      </c>
      <c r="B4931" t="s">
        <v>5288</v>
      </c>
      <c r="C4931">
        <v>207.02</v>
      </c>
      <c r="D4931">
        <v>60.05</v>
      </c>
      <c r="E4931">
        <v>40.38</v>
      </c>
      <c r="F4931">
        <v>4.61</v>
      </c>
      <c r="G4931">
        <v>4.61</v>
      </c>
      <c r="H4931">
        <v>31269</v>
      </c>
      <c r="I4931">
        <v>5.13</v>
      </c>
      <c r="J4931">
        <v>117.04</v>
      </c>
      <c r="K4931" t="s">
        <v>493</v>
      </c>
    </row>
    <row r="4932" spans="1:11">
      <c r="A4932" t="str">
        <f>"688401"</f>
        <v>688401</v>
      </c>
      <c r="B4932" t="s">
        <v>5289</v>
      </c>
      <c r="C4932">
        <v>112.24</v>
      </c>
      <c r="D4932">
        <v>29.12</v>
      </c>
      <c r="E4932">
        <v>15.97</v>
      </c>
      <c r="F4932">
        <v>1.93</v>
      </c>
      <c r="G4932">
        <v>1.93</v>
      </c>
      <c r="H4932">
        <v>10569</v>
      </c>
      <c r="I4932">
        <v>7.39</v>
      </c>
      <c r="J4932">
        <v>49.01</v>
      </c>
      <c r="K4932" t="s">
        <v>884</v>
      </c>
    </row>
    <row r="4933" spans="1:11">
      <c r="A4933" t="str">
        <f>"688403"</f>
        <v>688403</v>
      </c>
      <c r="B4933" t="s">
        <v>5290</v>
      </c>
      <c r="C4933">
        <v>157.89</v>
      </c>
      <c r="D4933">
        <v>48.43</v>
      </c>
      <c r="E4933">
        <v>34.75</v>
      </c>
      <c r="F4933">
        <v>8.69</v>
      </c>
      <c r="G4933">
        <v>8.69</v>
      </c>
      <c r="H4933">
        <v>23541</v>
      </c>
      <c r="I4933">
        <v>4.53</v>
      </c>
      <c r="J4933">
        <v>95.31</v>
      </c>
      <c r="K4933" t="s">
        <v>838</v>
      </c>
    </row>
    <row r="4934" spans="1:11">
      <c r="A4934" t="str">
        <f>"688408"</f>
        <v>688408</v>
      </c>
      <c r="B4934" t="s">
        <v>5291</v>
      </c>
      <c r="C4934">
        <v>100.51</v>
      </c>
      <c r="D4934">
        <v>99.3</v>
      </c>
      <c r="E4934">
        <v>42.55</v>
      </c>
      <c r="F4934">
        <v>2.19</v>
      </c>
      <c r="G4934">
        <v>2.19</v>
      </c>
      <c r="H4934">
        <v>15266</v>
      </c>
      <c r="I4934">
        <v>2.36</v>
      </c>
      <c r="J4934">
        <v>62.1</v>
      </c>
      <c r="K4934" t="s">
        <v>667</v>
      </c>
    </row>
    <row r="4935" spans="1:11">
      <c r="A4935" t="str">
        <f>"688409"</f>
        <v>688409</v>
      </c>
      <c r="B4935" t="s">
        <v>5292</v>
      </c>
      <c r="C4935">
        <v>237.62</v>
      </c>
      <c r="D4935">
        <v>90.26</v>
      </c>
      <c r="E4935">
        <v>46.04</v>
      </c>
      <c r="F4935">
        <v>3.06</v>
      </c>
      <c r="G4935">
        <v>3.06</v>
      </c>
      <c r="H4935">
        <v>14460</v>
      </c>
      <c r="I4935">
        <v>5.16</v>
      </c>
      <c r="J4935">
        <v>475.44</v>
      </c>
      <c r="K4935" t="s">
        <v>1160</v>
      </c>
    </row>
    <row r="4936" spans="1:11">
      <c r="A4936" t="str">
        <f>"688410"</f>
        <v>688410</v>
      </c>
      <c r="B4936" t="s">
        <v>5293</v>
      </c>
      <c r="C4936">
        <v>52.13</v>
      </c>
      <c r="D4936">
        <v>21.73</v>
      </c>
      <c r="E4936">
        <v>17.73</v>
      </c>
      <c r="F4936">
        <v>3.2</v>
      </c>
      <c r="G4936">
        <v>3.2</v>
      </c>
      <c r="H4936">
        <v>11196</v>
      </c>
      <c r="I4936">
        <v>2.96</v>
      </c>
      <c r="J4936">
        <v>37.42</v>
      </c>
      <c r="K4936" t="s">
        <v>1836</v>
      </c>
    </row>
    <row r="4937" spans="1:11">
      <c r="A4937" t="str">
        <f>"688411"</f>
        <v>688411</v>
      </c>
      <c r="B4937" t="s">
        <v>5294</v>
      </c>
      <c r="C4937">
        <v>89.25</v>
      </c>
      <c r="D4937">
        <v>141.21</v>
      </c>
      <c r="E4937">
        <v>44.81</v>
      </c>
      <c r="F4937">
        <v>1.8</v>
      </c>
      <c r="G4937">
        <v>0.38</v>
      </c>
      <c r="H4937">
        <v>9378</v>
      </c>
      <c r="I4937">
        <v>9.46</v>
      </c>
      <c r="J4937">
        <v>51.04</v>
      </c>
      <c r="K4937" t="s">
        <v>1365</v>
      </c>
    </row>
    <row r="4938" spans="1:11">
      <c r="A4938" t="str">
        <f>"688416"</f>
        <v>688416</v>
      </c>
      <c r="B4938" t="s">
        <v>5295</v>
      </c>
      <c r="C4938">
        <v>45.82</v>
      </c>
      <c r="D4938">
        <v>13.95</v>
      </c>
      <c r="E4938">
        <v>12.69</v>
      </c>
      <c r="F4938">
        <v>0.83</v>
      </c>
      <c r="G4938">
        <v>0.65</v>
      </c>
      <c r="H4938">
        <v>10139</v>
      </c>
      <c r="I4938">
        <v>4.59</v>
      </c>
      <c r="J4938" t="s">
        <v>14</v>
      </c>
      <c r="K4938" t="s">
        <v>691</v>
      </c>
    </row>
    <row r="4939" spans="1:11">
      <c r="A4939" t="str">
        <f>"688418"</f>
        <v>688418</v>
      </c>
      <c r="B4939" t="s">
        <v>5296</v>
      </c>
      <c r="C4939">
        <v>116.73</v>
      </c>
      <c r="D4939">
        <v>18.4</v>
      </c>
      <c r="E4939">
        <v>8.73</v>
      </c>
      <c r="F4939">
        <v>1.93</v>
      </c>
      <c r="G4939">
        <v>1.93</v>
      </c>
      <c r="H4939">
        <v>12051</v>
      </c>
      <c r="I4939">
        <v>13.37</v>
      </c>
      <c r="J4939" t="s">
        <v>14</v>
      </c>
      <c r="K4939" t="s">
        <v>933</v>
      </c>
    </row>
    <row r="4940" spans="1:11">
      <c r="A4940" t="str">
        <f>"688419"</f>
        <v>688419</v>
      </c>
      <c r="B4940" t="s">
        <v>5297</v>
      </c>
      <c r="C4940">
        <v>23.3</v>
      </c>
      <c r="D4940">
        <v>12.03</v>
      </c>
      <c r="E4940">
        <v>10.24</v>
      </c>
      <c r="F4940">
        <v>1.15</v>
      </c>
      <c r="G4940">
        <v>0.6</v>
      </c>
      <c r="H4940">
        <v>6865</v>
      </c>
      <c r="I4940">
        <v>4.38</v>
      </c>
      <c r="J4940">
        <v>50.78</v>
      </c>
      <c r="K4940" t="s">
        <v>1160</v>
      </c>
    </row>
    <row r="4941" spans="1:11">
      <c r="A4941" t="str">
        <f>"688420"</f>
        <v>688420</v>
      </c>
      <c r="B4941" t="s">
        <v>5298</v>
      </c>
      <c r="C4941">
        <v>10.79</v>
      </c>
      <c r="D4941">
        <v>19.24</v>
      </c>
      <c r="E4941">
        <v>14.36</v>
      </c>
      <c r="F4941">
        <v>0.88</v>
      </c>
      <c r="G4941">
        <v>0.42</v>
      </c>
      <c r="H4941">
        <v>5069</v>
      </c>
      <c r="I4941">
        <v>1.59</v>
      </c>
      <c r="J4941">
        <v>267.48</v>
      </c>
      <c r="K4941" t="s">
        <v>493</v>
      </c>
    </row>
    <row r="4942" spans="1:11">
      <c r="A4942" t="str">
        <f>"688425"</f>
        <v>688425</v>
      </c>
      <c r="B4942" t="s">
        <v>5299</v>
      </c>
      <c r="C4942">
        <v>281.61</v>
      </c>
      <c r="D4942">
        <v>274.34</v>
      </c>
      <c r="E4942">
        <v>181.06</v>
      </c>
      <c r="F4942">
        <v>53.33</v>
      </c>
      <c r="G4942">
        <v>53.33</v>
      </c>
      <c r="H4942">
        <v>69267</v>
      </c>
      <c r="I4942">
        <v>1.56</v>
      </c>
      <c r="J4942">
        <v>21.04</v>
      </c>
      <c r="K4942" t="s">
        <v>115</v>
      </c>
    </row>
    <row r="4943" spans="1:11">
      <c r="A4943" t="str">
        <f>"688426"</f>
        <v>688426</v>
      </c>
      <c r="B4943" t="s">
        <v>5300</v>
      </c>
      <c r="C4943">
        <v>10.54</v>
      </c>
      <c r="D4943">
        <v>15.51</v>
      </c>
      <c r="E4943">
        <v>13.91</v>
      </c>
      <c r="F4943">
        <v>1.12</v>
      </c>
      <c r="G4943">
        <v>0.38</v>
      </c>
      <c r="H4943">
        <v>3905</v>
      </c>
      <c r="I4943">
        <v>2.22</v>
      </c>
      <c r="J4943" t="s">
        <v>14</v>
      </c>
      <c r="K4943" t="s">
        <v>775</v>
      </c>
    </row>
    <row r="4944" spans="1:11">
      <c r="A4944" t="str">
        <f>"688428"</f>
        <v>688428</v>
      </c>
      <c r="B4944" t="s">
        <v>5301</v>
      </c>
      <c r="C4944">
        <v>59.23</v>
      </c>
      <c r="D4944">
        <v>95.24</v>
      </c>
      <c r="E4944">
        <v>66.65</v>
      </c>
      <c r="F4944">
        <v>17.65</v>
      </c>
      <c r="G4944">
        <v>2.68</v>
      </c>
      <c r="H4944">
        <v>18100</v>
      </c>
      <c r="I4944">
        <v>5.84</v>
      </c>
      <c r="J4944" t="s">
        <v>14</v>
      </c>
      <c r="K4944" t="s">
        <v>210</v>
      </c>
    </row>
    <row r="4945" spans="1:11">
      <c r="A4945" t="str">
        <f>"688429"</f>
        <v>688429</v>
      </c>
      <c r="B4945" t="s">
        <v>5302</v>
      </c>
      <c r="C4945">
        <v>16.52</v>
      </c>
      <c r="D4945">
        <v>46.38</v>
      </c>
      <c r="E4945">
        <v>14.43</v>
      </c>
      <c r="F4945">
        <v>4</v>
      </c>
      <c r="G4945">
        <v>1.2</v>
      </c>
      <c r="H4945">
        <v>5720</v>
      </c>
      <c r="I4945">
        <v>3.82</v>
      </c>
      <c r="J4945" t="s">
        <v>14</v>
      </c>
      <c r="K4945" t="s">
        <v>815</v>
      </c>
    </row>
    <row r="4946" spans="1:11">
      <c r="A4946" t="str">
        <f>"688432"</f>
        <v>688432</v>
      </c>
      <c r="B4946" t="s">
        <v>5303</v>
      </c>
      <c r="C4946">
        <v>166.54</v>
      </c>
      <c r="D4946">
        <v>53.85</v>
      </c>
      <c r="E4946">
        <v>44.45</v>
      </c>
      <c r="F4946">
        <v>12.5</v>
      </c>
      <c r="G4946">
        <v>12.5</v>
      </c>
      <c r="H4946">
        <v>22013</v>
      </c>
      <c r="I4946">
        <v>3.74</v>
      </c>
      <c r="J4946">
        <v>80.01</v>
      </c>
      <c r="K4946" t="s">
        <v>884</v>
      </c>
    </row>
    <row r="4947" spans="1:11">
      <c r="A4947" t="str">
        <f>"688433"</f>
        <v>688433</v>
      </c>
      <c r="B4947" t="s">
        <v>5304</v>
      </c>
      <c r="C4947">
        <v>155.22</v>
      </c>
      <c r="D4947">
        <v>25.88</v>
      </c>
      <c r="E4947">
        <v>19.78</v>
      </c>
      <c r="F4947">
        <v>4.14</v>
      </c>
      <c r="G4947">
        <v>2.02</v>
      </c>
      <c r="H4947">
        <v>6800</v>
      </c>
      <c r="I4947">
        <v>16.08</v>
      </c>
      <c r="J4947">
        <v>1638.69</v>
      </c>
      <c r="K4947" t="s">
        <v>493</v>
      </c>
    </row>
    <row r="4948" spans="1:11">
      <c r="A4948" t="str">
        <f>"688435"</f>
        <v>688435</v>
      </c>
      <c r="B4948" t="s">
        <v>5305</v>
      </c>
      <c r="C4948">
        <v>25.87</v>
      </c>
      <c r="D4948">
        <v>11.72</v>
      </c>
      <c r="E4948">
        <v>10.99</v>
      </c>
      <c r="F4948">
        <v>0.83</v>
      </c>
      <c r="G4948">
        <v>0.47</v>
      </c>
      <c r="H4948">
        <v>6509</v>
      </c>
      <c r="I4948">
        <v>4.17</v>
      </c>
      <c r="J4948" t="s">
        <v>14</v>
      </c>
      <c r="K4948" t="s">
        <v>117</v>
      </c>
    </row>
    <row r="4949" spans="1:11">
      <c r="A4949" t="str">
        <f>"688439"</f>
        <v>688439</v>
      </c>
      <c r="B4949" t="s">
        <v>5306</v>
      </c>
      <c r="C4949">
        <v>130.84</v>
      </c>
      <c r="D4949">
        <v>55.66</v>
      </c>
      <c r="E4949">
        <v>49.84</v>
      </c>
      <c r="F4949">
        <v>2</v>
      </c>
      <c r="G4949">
        <v>2</v>
      </c>
      <c r="H4949">
        <v>12968</v>
      </c>
      <c r="I4949">
        <v>2.63</v>
      </c>
      <c r="J4949">
        <v>107.72</v>
      </c>
      <c r="K4949" t="s">
        <v>223</v>
      </c>
    </row>
    <row r="4950" spans="1:11">
      <c r="A4950" t="str">
        <f>"688443"</f>
        <v>688443</v>
      </c>
      <c r="B4950" t="s">
        <v>5307</v>
      </c>
      <c r="C4950">
        <v>35.94</v>
      </c>
      <c r="D4950">
        <v>30.45</v>
      </c>
      <c r="E4950">
        <v>17.88</v>
      </c>
      <c r="F4950">
        <v>3.67</v>
      </c>
      <c r="G4950">
        <v>1.17</v>
      </c>
      <c r="H4950">
        <v>12640</v>
      </c>
      <c r="I4950">
        <v>6.32</v>
      </c>
      <c r="J4950" t="s">
        <v>14</v>
      </c>
      <c r="K4950" t="s">
        <v>210</v>
      </c>
    </row>
    <row r="4951" spans="1:11">
      <c r="A4951" t="str">
        <f>"688448"</f>
        <v>688448</v>
      </c>
      <c r="B4951" t="s">
        <v>5308</v>
      </c>
      <c r="C4951">
        <v>24.59</v>
      </c>
      <c r="D4951">
        <v>14.27</v>
      </c>
      <c r="E4951">
        <v>10.12</v>
      </c>
      <c r="F4951">
        <v>0.72</v>
      </c>
      <c r="G4951">
        <v>0.48</v>
      </c>
      <c r="H4951">
        <v>6192</v>
      </c>
      <c r="I4951">
        <v>3.63</v>
      </c>
      <c r="J4951">
        <v>308.46</v>
      </c>
      <c r="K4951" t="s">
        <v>493</v>
      </c>
    </row>
    <row r="4952" spans="1:11">
      <c r="A4952" t="str">
        <f>"688449"</f>
        <v>688449</v>
      </c>
      <c r="B4952" t="s">
        <v>5309</v>
      </c>
      <c r="C4952">
        <v>148.13</v>
      </c>
      <c r="D4952">
        <v>22.72</v>
      </c>
      <c r="E4952">
        <v>18.4</v>
      </c>
      <c r="F4952">
        <v>4.6</v>
      </c>
      <c r="G4952">
        <v>2.93</v>
      </c>
      <c r="H4952">
        <v>19164</v>
      </c>
      <c r="I4952">
        <v>12.63</v>
      </c>
      <c r="J4952">
        <v>193.54</v>
      </c>
      <c r="K4952" t="s">
        <v>691</v>
      </c>
    </row>
    <row r="4953" spans="1:11">
      <c r="A4953" t="str">
        <f>"688450"</f>
        <v>688450</v>
      </c>
      <c r="B4953" t="s">
        <v>5310</v>
      </c>
      <c r="C4953">
        <v>14.7</v>
      </c>
      <c r="D4953">
        <v>12.67</v>
      </c>
      <c r="E4953">
        <v>9.6</v>
      </c>
      <c r="F4953">
        <v>0.66</v>
      </c>
      <c r="G4953">
        <v>0.49</v>
      </c>
      <c r="H4953">
        <v>6487</v>
      </c>
      <c r="I4953">
        <v>2.07</v>
      </c>
      <c r="J4953" t="s">
        <v>14</v>
      </c>
      <c r="K4953" t="s">
        <v>952</v>
      </c>
    </row>
    <row r="4954" spans="1:11">
      <c r="A4954" t="str">
        <f>"688455"</f>
        <v>688455</v>
      </c>
      <c r="B4954" t="s">
        <v>5311</v>
      </c>
      <c r="C4954">
        <v>25.98</v>
      </c>
      <c r="D4954">
        <v>38.7</v>
      </c>
      <c r="E4954">
        <v>8.67</v>
      </c>
      <c r="F4954">
        <v>1.68</v>
      </c>
      <c r="G4954">
        <v>1.17</v>
      </c>
      <c r="H4954">
        <v>9493</v>
      </c>
      <c r="I4954">
        <v>4.63</v>
      </c>
      <c r="J4954" t="s">
        <v>14</v>
      </c>
      <c r="K4954" t="s">
        <v>744</v>
      </c>
    </row>
    <row r="4955" spans="1:11">
      <c r="A4955" t="str">
        <f>"688456"</f>
        <v>688456</v>
      </c>
      <c r="B4955" t="s">
        <v>5312</v>
      </c>
      <c r="C4955">
        <v>65.4</v>
      </c>
      <c r="D4955">
        <v>21.49</v>
      </c>
      <c r="E4955">
        <v>12.48</v>
      </c>
      <c r="F4955">
        <v>1.04</v>
      </c>
      <c r="G4955">
        <v>1.04</v>
      </c>
      <c r="H4955">
        <v>5662</v>
      </c>
      <c r="I4955">
        <v>5.24</v>
      </c>
      <c r="J4955">
        <v>94.94</v>
      </c>
      <c r="K4955" t="s">
        <v>303</v>
      </c>
    </row>
    <row r="4956" spans="1:11">
      <c r="A4956" t="str">
        <f>"688458"</f>
        <v>688458</v>
      </c>
      <c r="B4956" t="s">
        <v>5313</v>
      </c>
      <c r="C4956">
        <v>34.9</v>
      </c>
      <c r="D4956">
        <v>19.7</v>
      </c>
      <c r="E4956">
        <v>18.52</v>
      </c>
      <c r="F4956">
        <v>1.12</v>
      </c>
      <c r="G4956">
        <v>0.85</v>
      </c>
      <c r="H4956">
        <v>7977</v>
      </c>
      <c r="I4956">
        <v>2.47</v>
      </c>
      <c r="J4956">
        <v>332.6</v>
      </c>
      <c r="K4956" t="s">
        <v>691</v>
      </c>
    </row>
    <row r="4957" spans="1:11">
      <c r="A4957" t="str">
        <f>"688459"</f>
        <v>688459</v>
      </c>
      <c r="B4957" t="s">
        <v>5314</v>
      </c>
      <c r="C4957">
        <v>17.4</v>
      </c>
      <c r="D4957">
        <v>41.21</v>
      </c>
      <c r="E4957">
        <v>34.01</v>
      </c>
      <c r="F4957">
        <v>4.8</v>
      </c>
      <c r="G4957">
        <v>1.76</v>
      </c>
      <c r="H4957">
        <v>14761</v>
      </c>
      <c r="I4957">
        <v>1.4</v>
      </c>
      <c r="J4957">
        <v>63.13</v>
      </c>
      <c r="K4957" t="s">
        <v>22</v>
      </c>
    </row>
    <row r="4958" spans="1:11">
      <c r="A4958" t="str">
        <f>"688466"</f>
        <v>688466</v>
      </c>
      <c r="B4958" t="s">
        <v>5315</v>
      </c>
      <c r="C4958">
        <v>21.37</v>
      </c>
      <c r="D4958">
        <v>22.43</v>
      </c>
      <c r="E4958">
        <v>11.55</v>
      </c>
      <c r="F4958">
        <v>1.23</v>
      </c>
      <c r="G4958">
        <v>1.23</v>
      </c>
      <c r="H4958">
        <v>4639</v>
      </c>
      <c r="I4958">
        <v>1.85</v>
      </c>
      <c r="J4958">
        <v>39.87</v>
      </c>
      <c r="K4958" t="s">
        <v>90</v>
      </c>
    </row>
    <row r="4959" spans="1:11">
      <c r="A4959" t="str">
        <f>"688468"</f>
        <v>688468</v>
      </c>
      <c r="B4959" t="s">
        <v>5316</v>
      </c>
      <c r="C4959">
        <v>32.57</v>
      </c>
      <c r="D4959">
        <v>17.72</v>
      </c>
      <c r="E4959">
        <v>14.09</v>
      </c>
      <c r="F4959">
        <v>4.01</v>
      </c>
      <c r="G4959">
        <v>4.01</v>
      </c>
      <c r="H4959">
        <v>10395</v>
      </c>
      <c r="I4959">
        <v>2.31</v>
      </c>
      <c r="J4959">
        <v>58.77</v>
      </c>
      <c r="K4959" t="s">
        <v>775</v>
      </c>
    </row>
    <row r="4960" spans="1:11">
      <c r="A4960" t="str">
        <f>"688469"</f>
        <v>688469</v>
      </c>
      <c r="B4960" t="s">
        <v>5317</v>
      </c>
      <c r="C4960">
        <v>303.44</v>
      </c>
      <c r="D4960">
        <v>321.69</v>
      </c>
      <c r="E4960">
        <v>132.15</v>
      </c>
      <c r="F4960">
        <v>83.83</v>
      </c>
      <c r="G4960">
        <v>44.3</v>
      </c>
      <c r="H4960">
        <v>139700</v>
      </c>
      <c r="I4960">
        <v>4.34</v>
      </c>
      <c r="J4960" t="s">
        <v>14</v>
      </c>
      <c r="K4960" t="s">
        <v>2240</v>
      </c>
    </row>
    <row r="4961" spans="1:11">
      <c r="A4961" t="str">
        <f>"688472"</f>
        <v>688472</v>
      </c>
      <c r="B4961" t="s">
        <v>5318</v>
      </c>
      <c r="C4961">
        <v>233.95</v>
      </c>
      <c r="D4961">
        <v>689.68</v>
      </c>
      <c r="E4961">
        <v>234.83</v>
      </c>
      <c r="F4961">
        <v>36.43</v>
      </c>
      <c r="G4961">
        <v>13.48</v>
      </c>
      <c r="H4961">
        <v>48806</v>
      </c>
      <c r="I4961">
        <v>2.73</v>
      </c>
      <c r="J4961">
        <v>47.96</v>
      </c>
      <c r="K4961" t="s">
        <v>815</v>
      </c>
    </row>
    <row r="4962" spans="1:11">
      <c r="A4962" t="str">
        <f>"688475"</f>
        <v>688475</v>
      </c>
      <c r="B4962" t="s">
        <v>5319</v>
      </c>
      <c r="C4962">
        <v>258.22</v>
      </c>
      <c r="D4962">
        <v>85.3</v>
      </c>
      <c r="E4962">
        <v>56.43</v>
      </c>
      <c r="F4962">
        <v>7.88</v>
      </c>
      <c r="G4962">
        <v>7.88</v>
      </c>
      <c r="H4962">
        <v>14523</v>
      </c>
      <c r="I4962">
        <v>4.58</v>
      </c>
      <c r="J4962">
        <v>45.86</v>
      </c>
      <c r="K4962" t="s">
        <v>689</v>
      </c>
    </row>
    <row r="4963" spans="1:11">
      <c r="A4963" t="str">
        <f>"688478"</f>
        <v>688478</v>
      </c>
      <c r="B4963" t="s">
        <v>5320</v>
      </c>
      <c r="C4963">
        <v>40.88</v>
      </c>
      <c r="D4963">
        <v>16.98</v>
      </c>
      <c r="E4963">
        <v>15.35</v>
      </c>
      <c r="F4963">
        <v>1.38</v>
      </c>
      <c r="G4963">
        <v>1.03</v>
      </c>
      <c r="H4963">
        <v>6648</v>
      </c>
      <c r="I4963">
        <v>3.56</v>
      </c>
      <c r="J4963" t="s">
        <v>14</v>
      </c>
      <c r="K4963" t="s">
        <v>1160</v>
      </c>
    </row>
    <row r="4964" spans="1:11">
      <c r="A4964" t="str">
        <f>"688479"</f>
        <v>688479</v>
      </c>
      <c r="B4964" t="s">
        <v>5321</v>
      </c>
      <c r="C4964">
        <v>15.59</v>
      </c>
      <c r="D4964">
        <v>20.66</v>
      </c>
      <c r="E4964">
        <v>18.51</v>
      </c>
      <c r="F4964">
        <v>1.44</v>
      </c>
      <c r="G4964">
        <v>0.62</v>
      </c>
      <c r="H4964">
        <v>9922</v>
      </c>
      <c r="I4964">
        <v>1.95</v>
      </c>
      <c r="J4964">
        <v>132.88</v>
      </c>
      <c r="K4964" t="s">
        <v>117</v>
      </c>
    </row>
    <row r="4965" spans="1:11">
      <c r="A4965" t="str">
        <f>"688480"</f>
        <v>688480</v>
      </c>
      <c r="B4965" t="s">
        <v>5322</v>
      </c>
      <c r="C4965">
        <v>65.47</v>
      </c>
      <c r="D4965">
        <v>19.4</v>
      </c>
      <c r="E4965">
        <v>10.94</v>
      </c>
      <c r="F4965">
        <v>0.95</v>
      </c>
      <c r="G4965">
        <v>0.95</v>
      </c>
      <c r="H4965">
        <v>2382</v>
      </c>
      <c r="I4965">
        <v>5.98</v>
      </c>
      <c r="J4965">
        <v>66.32</v>
      </c>
      <c r="K4965" t="s">
        <v>90</v>
      </c>
    </row>
    <row r="4966" spans="1:11">
      <c r="A4966" t="str">
        <f>"688484"</f>
        <v>688484</v>
      </c>
      <c r="B4966" t="s">
        <v>5323</v>
      </c>
      <c r="C4966">
        <v>123.89</v>
      </c>
      <c r="D4966">
        <v>48.32</v>
      </c>
      <c r="E4966">
        <v>40.84</v>
      </c>
      <c r="F4966">
        <v>4.28</v>
      </c>
      <c r="G4966">
        <v>2.95</v>
      </c>
      <c r="H4966">
        <v>14440</v>
      </c>
      <c r="I4966">
        <v>4.37</v>
      </c>
      <c r="J4966">
        <v>70.42</v>
      </c>
      <c r="K4966" t="s">
        <v>691</v>
      </c>
    </row>
    <row r="4967" spans="1:11">
      <c r="A4967" t="str">
        <f>"688485"</f>
        <v>688485</v>
      </c>
      <c r="B4967" t="s">
        <v>5324</v>
      </c>
      <c r="C4967">
        <v>16.91</v>
      </c>
      <c r="D4967">
        <v>14.27</v>
      </c>
      <c r="E4967">
        <v>12.53</v>
      </c>
      <c r="F4967">
        <v>1.5</v>
      </c>
      <c r="G4967">
        <v>0.88</v>
      </c>
      <c r="H4967">
        <v>5845</v>
      </c>
      <c r="I4967">
        <v>2.3</v>
      </c>
      <c r="J4967" t="s">
        <v>14</v>
      </c>
      <c r="K4967" t="s">
        <v>22</v>
      </c>
    </row>
    <row r="4968" spans="1:11">
      <c r="A4968" t="str">
        <f>"688486"</f>
        <v>688486</v>
      </c>
      <c r="B4968" t="s">
        <v>5325</v>
      </c>
      <c r="C4968">
        <v>58.77</v>
      </c>
      <c r="D4968">
        <v>15.85</v>
      </c>
      <c r="E4968">
        <v>15.1</v>
      </c>
      <c r="F4968">
        <v>1.33</v>
      </c>
      <c r="G4968">
        <v>0.74</v>
      </c>
      <c r="H4968">
        <v>10691</v>
      </c>
      <c r="I4968">
        <v>6.98</v>
      </c>
      <c r="J4968">
        <v>63.46</v>
      </c>
      <c r="K4968" t="s">
        <v>691</v>
      </c>
    </row>
    <row r="4969" spans="1:11">
      <c r="A4969" t="str">
        <f>"688488"</f>
        <v>688488</v>
      </c>
      <c r="B4969" t="s">
        <v>5326</v>
      </c>
      <c r="C4969">
        <v>83.44</v>
      </c>
      <c r="D4969">
        <v>18.45</v>
      </c>
      <c r="E4969">
        <v>9.78</v>
      </c>
      <c r="F4969">
        <v>4.21</v>
      </c>
      <c r="G4969">
        <v>4.21</v>
      </c>
      <c r="H4969">
        <v>12123</v>
      </c>
      <c r="I4969">
        <v>8.53</v>
      </c>
      <c r="J4969" t="s">
        <v>14</v>
      </c>
      <c r="K4969" t="s">
        <v>210</v>
      </c>
    </row>
    <row r="4970" spans="1:11">
      <c r="A4970" t="str">
        <f>"688489"</f>
        <v>688489</v>
      </c>
      <c r="B4970" t="s">
        <v>5327</v>
      </c>
      <c r="C4970">
        <v>55.06</v>
      </c>
      <c r="D4970">
        <v>20.72</v>
      </c>
      <c r="E4970">
        <v>18.28</v>
      </c>
      <c r="F4970">
        <v>1.15</v>
      </c>
      <c r="G4970">
        <v>1.14</v>
      </c>
      <c r="H4970">
        <v>6122</v>
      </c>
      <c r="I4970">
        <v>3.05</v>
      </c>
      <c r="J4970" t="s">
        <v>14</v>
      </c>
      <c r="K4970" t="s">
        <v>1022</v>
      </c>
    </row>
    <row r="4971" spans="1:11">
      <c r="A4971" t="str">
        <f>"688496"</f>
        <v>688496</v>
      </c>
      <c r="B4971" t="s">
        <v>5328</v>
      </c>
      <c r="C4971">
        <v>14.87</v>
      </c>
      <c r="D4971">
        <v>18.29</v>
      </c>
      <c r="E4971">
        <v>9.8</v>
      </c>
      <c r="F4971">
        <v>4.5</v>
      </c>
      <c r="G4971">
        <v>2.38</v>
      </c>
      <c r="H4971">
        <v>7053</v>
      </c>
      <c r="I4971">
        <v>2.87</v>
      </c>
      <c r="J4971" t="s">
        <v>14</v>
      </c>
      <c r="K4971" t="s">
        <v>39</v>
      </c>
    </row>
    <row r="4972" spans="1:11">
      <c r="A4972" t="str">
        <f>"688498"</f>
        <v>688498</v>
      </c>
      <c r="B4972" t="s">
        <v>5329</v>
      </c>
      <c r="C4972">
        <v>591.36</v>
      </c>
      <c r="D4972">
        <v>23.88</v>
      </c>
      <c r="E4972">
        <v>21.71</v>
      </c>
      <c r="F4972">
        <v>0.86</v>
      </c>
      <c r="G4972">
        <v>0.84</v>
      </c>
      <c r="H4972">
        <v>9929</v>
      </c>
      <c r="I4972">
        <v>27.87</v>
      </c>
      <c r="J4972">
        <v>428.55</v>
      </c>
      <c r="K4972" t="s">
        <v>691</v>
      </c>
    </row>
    <row r="4973" spans="1:11">
      <c r="A4973" t="str">
        <f>"688499"</f>
        <v>688499</v>
      </c>
      <c r="B4973" t="s">
        <v>5330</v>
      </c>
      <c r="C4973">
        <v>110.42</v>
      </c>
      <c r="D4973">
        <v>81.28</v>
      </c>
      <c r="E4973">
        <v>22.91</v>
      </c>
      <c r="F4973">
        <v>1.69</v>
      </c>
      <c r="G4973">
        <v>1.69</v>
      </c>
      <c r="H4973">
        <v>24592</v>
      </c>
      <c r="I4973">
        <v>4.82</v>
      </c>
      <c r="J4973">
        <v>174.37</v>
      </c>
      <c r="K4973" t="s">
        <v>1975</v>
      </c>
    </row>
    <row r="4974" spans="1:11">
      <c r="A4974" t="str">
        <f>"688500"</f>
        <v>688500</v>
      </c>
      <c r="B4974" t="s">
        <v>5331</v>
      </c>
      <c r="C4974">
        <v>55.06</v>
      </c>
      <c r="D4974">
        <v>9.94</v>
      </c>
      <c r="E4974">
        <v>7.12</v>
      </c>
      <c r="F4974">
        <v>0.75</v>
      </c>
      <c r="G4974">
        <v>0.73</v>
      </c>
      <c r="H4974">
        <v>5513</v>
      </c>
      <c r="I4974">
        <v>7.94</v>
      </c>
      <c r="J4974" t="s">
        <v>14</v>
      </c>
      <c r="K4974" t="s">
        <v>117</v>
      </c>
    </row>
    <row r="4975" spans="1:11">
      <c r="A4975" t="str">
        <f>"688501"</f>
        <v>688501</v>
      </c>
      <c r="B4975" t="s">
        <v>5332</v>
      </c>
      <c r="C4975">
        <v>33.94</v>
      </c>
      <c r="D4975">
        <v>28.35</v>
      </c>
      <c r="E4975">
        <v>10.69</v>
      </c>
      <c r="F4975">
        <v>1.24</v>
      </c>
      <c r="G4975">
        <v>1.24</v>
      </c>
      <c r="H4975">
        <v>4404</v>
      </c>
      <c r="I4975">
        <v>3.18</v>
      </c>
      <c r="J4975">
        <v>20.5</v>
      </c>
      <c r="K4975" t="s">
        <v>228</v>
      </c>
    </row>
    <row r="4976" spans="1:11">
      <c r="A4976" t="str">
        <f>"688502"</f>
        <v>688502</v>
      </c>
      <c r="B4976" t="s">
        <v>5333</v>
      </c>
      <c r="C4976">
        <v>66.79</v>
      </c>
      <c r="D4976">
        <v>15.69</v>
      </c>
      <c r="E4976">
        <v>12.04</v>
      </c>
      <c r="F4976">
        <v>0.53</v>
      </c>
      <c r="G4976">
        <v>0.17</v>
      </c>
      <c r="H4976">
        <v>9725</v>
      </c>
      <c r="I4976">
        <v>17.44</v>
      </c>
      <c r="J4976">
        <v>344.56</v>
      </c>
      <c r="K4976" t="s">
        <v>66</v>
      </c>
    </row>
    <row r="4977" spans="1:11">
      <c r="A4977" t="str">
        <f>"688503"</f>
        <v>688503</v>
      </c>
      <c r="B4977" t="s">
        <v>5334</v>
      </c>
      <c r="C4977">
        <v>148.46</v>
      </c>
      <c r="D4977">
        <v>118.24</v>
      </c>
      <c r="E4977">
        <v>48.47</v>
      </c>
      <c r="F4977">
        <v>2.42</v>
      </c>
      <c r="G4977">
        <v>2.01</v>
      </c>
      <c r="H4977">
        <v>22222</v>
      </c>
      <c r="I4977">
        <v>3.69</v>
      </c>
      <c r="J4977">
        <v>56.12</v>
      </c>
      <c r="K4977" t="s">
        <v>667</v>
      </c>
    </row>
    <row r="4978" spans="1:11">
      <c r="A4978" t="str">
        <f>"688505"</f>
        <v>688505</v>
      </c>
      <c r="B4978" t="s">
        <v>5335</v>
      </c>
      <c r="C4978">
        <v>63.24</v>
      </c>
      <c r="D4978">
        <v>24.66</v>
      </c>
      <c r="E4978">
        <v>22.58</v>
      </c>
      <c r="F4978">
        <v>10.37</v>
      </c>
      <c r="G4978">
        <v>7.11</v>
      </c>
      <c r="H4978">
        <v>21141</v>
      </c>
      <c r="I4978">
        <v>4.08</v>
      </c>
      <c r="J4978" t="s">
        <v>14</v>
      </c>
      <c r="K4978" t="s">
        <v>109</v>
      </c>
    </row>
    <row r="4979" spans="1:11">
      <c r="A4979" t="str">
        <f>"688506"</f>
        <v>688506</v>
      </c>
      <c r="B4979" t="s">
        <v>5336</v>
      </c>
      <c r="C4979">
        <v>1343.35</v>
      </c>
      <c r="D4979">
        <v>123.19</v>
      </c>
      <c r="E4979">
        <v>71.71</v>
      </c>
      <c r="F4979">
        <v>4.13</v>
      </c>
      <c r="G4979">
        <v>4.01</v>
      </c>
      <c r="H4979">
        <v>5979</v>
      </c>
      <c r="I4979">
        <v>19.29</v>
      </c>
      <c r="J4979" t="s">
        <v>14</v>
      </c>
      <c r="K4979" t="s">
        <v>109</v>
      </c>
    </row>
    <row r="4980" spans="1:11">
      <c r="A4980" t="str">
        <f>"688507"</f>
        <v>688507</v>
      </c>
      <c r="B4980" t="s">
        <v>5337</v>
      </c>
      <c r="C4980">
        <v>59.58</v>
      </c>
      <c r="D4980">
        <v>29.9</v>
      </c>
      <c r="E4980">
        <v>27.51</v>
      </c>
      <c r="F4980">
        <v>0.89</v>
      </c>
      <c r="G4980">
        <v>0.49</v>
      </c>
      <c r="H4980">
        <v>11339</v>
      </c>
      <c r="I4980">
        <v>3.92</v>
      </c>
      <c r="J4980" t="s">
        <v>14</v>
      </c>
      <c r="K4980" t="s">
        <v>117</v>
      </c>
    </row>
    <row r="4981" spans="1:11">
      <c r="A4981" t="str">
        <f>"688508"</f>
        <v>688508</v>
      </c>
      <c r="B4981" t="s">
        <v>5338</v>
      </c>
      <c r="C4981">
        <v>82.13</v>
      </c>
      <c r="D4981">
        <v>33.18</v>
      </c>
      <c r="E4981">
        <v>27.12</v>
      </c>
      <c r="F4981">
        <v>1.31</v>
      </c>
      <c r="G4981">
        <v>1.31</v>
      </c>
      <c r="H4981">
        <v>19176</v>
      </c>
      <c r="I4981">
        <v>3.03</v>
      </c>
      <c r="J4981">
        <v>34.64</v>
      </c>
      <c r="K4981" t="s">
        <v>691</v>
      </c>
    </row>
    <row r="4982" spans="1:11">
      <c r="A4982" t="str">
        <f>"688509"</f>
        <v>688509</v>
      </c>
      <c r="B4982" t="s">
        <v>5339</v>
      </c>
      <c r="C4982">
        <v>22.59</v>
      </c>
      <c r="D4982">
        <v>32.08</v>
      </c>
      <c r="E4982">
        <v>12.41</v>
      </c>
      <c r="F4982">
        <v>7.7</v>
      </c>
      <c r="G4982">
        <v>3.85</v>
      </c>
      <c r="H4982">
        <v>12465</v>
      </c>
      <c r="I4982">
        <v>3.64</v>
      </c>
      <c r="J4982" t="s">
        <v>14</v>
      </c>
      <c r="K4982" t="s">
        <v>117</v>
      </c>
    </row>
    <row r="4983" spans="1:11">
      <c r="A4983" t="str">
        <f>"688510"</f>
        <v>688510</v>
      </c>
      <c r="B4983" t="s">
        <v>5340</v>
      </c>
      <c r="C4983">
        <v>80.71</v>
      </c>
      <c r="D4983">
        <v>20.07</v>
      </c>
      <c r="E4983">
        <v>11.88</v>
      </c>
      <c r="F4983">
        <v>2.6</v>
      </c>
      <c r="G4983">
        <v>2.6</v>
      </c>
      <c r="H4983">
        <v>9849</v>
      </c>
      <c r="I4983">
        <v>6.76</v>
      </c>
      <c r="J4983">
        <v>77.74</v>
      </c>
      <c r="K4983" t="s">
        <v>353</v>
      </c>
    </row>
    <row r="4984" spans="1:11">
      <c r="A4984" t="str">
        <f>"688511"</f>
        <v>688511</v>
      </c>
      <c r="B4984" t="s">
        <v>5341</v>
      </c>
      <c r="C4984">
        <v>31.26</v>
      </c>
      <c r="D4984">
        <v>9.68</v>
      </c>
      <c r="E4984">
        <v>8.51</v>
      </c>
      <c r="F4984">
        <v>1.03</v>
      </c>
      <c r="G4984">
        <v>1.03</v>
      </c>
      <c r="H4984">
        <v>4157</v>
      </c>
      <c r="I4984">
        <v>3.68</v>
      </c>
      <c r="J4984">
        <v>57.16</v>
      </c>
      <c r="K4984" t="s">
        <v>223</v>
      </c>
    </row>
    <row r="4985" spans="1:11">
      <c r="A4985" t="str">
        <f>"688512"</f>
        <v>688512</v>
      </c>
      <c r="B4985" t="s">
        <v>5342</v>
      </c>
      <c r="C4985">
        <v>38.04</v>
      </c>
      <c r="D4985">
        <v>23.05</v>
      </c>
      <c r="E4985">
        <v>17.32</v>
      </c>
      <c r="F4985">
        <v>4.67</v>
      </c>
      <c r="G4985">
        <v>3.25</v>
      </c>
      <c r="H4985">
        <v>17739</v>
      </c>
      <c r="I4985">
        <v>3.16</v>
      </c>
      <c r="J4985" t="s">
        <v>14</v>
      </c>
      <c r="K4985" t="s">
        <v>691</v>
      </c>
    </row>
    <row r="4986" spans="1:11">
      <c r="A4986" t="str">
        <f>"688513"</f>
        <v>688513</v>
      </c>
      <c r="B4986" t="s">
        <v>5343</v>
      </c>
      <c r="C4986">
        <v>104.47</v>
      </c>
      <c r="D4986">
        <v>35.59</v>
      </c>
      <c r="E4986">
        <v>28.66</v>
      </c>
      <c r="F4986">
        <v>1.77</v>
      </c>
      <c r="G4986">
        <v>1.77</v>
      </c>
      <c r="H4986">
        <v>6482</v>
      </c>
      <c r="I4986">
        <v>3.65</v>
      </c>
      <c r="J4986">
        <v>35.59</v>
      </c>
      <c r="K4986" t="s">
        <v>109</v>
      </c>
    </row>
    <row r="4987" spans="1:11">
      <c r="A4987" t="str">
        <f>"688515"</f>
        <v>688515</v>
      </c>
      <c r="B4987" t="s">
        <v>5344</v>
      </c>
      <c r="C4987">
        <v>56.67</v>
      </c>
      <c r="D4987">
        <v>16.59</v>
      </c>
      <c r="E4987">
        <v>15.01</v>
      </c>
      <c r="F4987">
        <v>0.8</v>
      </c>
      <c r="G4987">
        <v>0.5</v>
      </c>
      <c r="H4987">
        <v>8684</v>
      </c>
      <c r="I4987">
        <v>6.06</v>
      </c>
      <c r="J4987" t="s">
        <v>14</v>
      </c>
      <c r="K4987" t="s">
        <v>691</v>
      </c>
    </row>
    <row r="4988" spans="1:11">
      <c r="A4988" t="str">
        <f>"688516"</f>
        <v>688516</v>
      </c>
      <c r="B4988" t="s">
        <v>5345</v>
      </c>
      <c r="C4988">
        <v>174.22</v>
      </c>
      <c r="D4988">
        <v>138.51</v>
      </c>
      <c r="E4988">
        <v>37.88</v>
      </c>
      <c r="F4988">
        <v>3.15</v>
      </c>
      <c r="G4988">
        <v>3.15</v>
      </c>
      <c r="H4988">
        <v>18045</v>
      </c>
      <c r="I4988">
        <v>4.8</v>
      </c>
      <c r="J4988">
        <v>33.56</v>
      </c>
      <c r="K4988" t="s">
        <v>469</v>
      </c>
    </row>
    <row r="4989" spans="1:11">
      <c r="A4989" t="str">
        <f>"688517"</f>
        <v>688517</v>
      </c>
      <c r="B4989" t="s">
        <v>5346</v>
      </c>
      <c r="C4989">
        <v>23.61</v>
      </c>
      <c r="D4989">
        <v>13.35</v>
      </c>
      <c r="E4989">
        <v>8</v>
      </c>
      <c r="F4989">
        <v>1.37</v>
      </c>
      <c r="G4989">
        <v>1.37</v>
      </c>
      <c r="H4989">
        <v>5923</v>
      </c>
      <c r="I4989">
        <v>2.95</v>
      </c>
      <c r="J4989">
        <v>29.93</v>
      </c>
      <c r="K4989" t="s">
        <v>943</v>
      </c>
    </row>
    <row r="4990" spans="1:11">
      <c r="A4990" t="str">
        <f>"688518"</f>
        <v>688518</v>
      </c>
      <c r="B4990" t="s">
        <v>5347</v>
      </c>
      <c r="C4990">
        <v>100.38</v>
      </c>
      <c r="D4990">
        <v>78.29</v>
      </c>
      <c r="E4990">
        <v>32.02</v>
      </c>
      <c r="F4990">
        <v>3.41</v>
      </c>
      <c r="G4990">
        <v>3.41</v>
      </c>
      <c r="H4990">
        <v>15130</v>
      </c>
      <c r="I4990">
        <v>3.13</v>
      </c>
      <c r="J4990">
        <v>69.65</v>
      </c>
      <c r="K4990" t="s">
        <v>604</v>
      </c>
    </row>
    <row r="4991" spans="1:11">
      <c r="A4991" t="str">
        <f>"688519"</f>
        <v>688519</v>
      </c>
      <c r="B4991" t="s">
        <v>5348</v>
      </c>
      <c r="C4991">
        <v>172.06</v>
      </c>
      <c r="D4991">
        <v>57.65</v>
      </c>
      <c r="E4991">
        <v>27.83</v>
      </c>
      <c r="F4991">
        <v>2.35</v>
      </c>
      <c r="G4991">
        <v>2.35</v>
      </c>
      <c r="H4991">
        <v>8024</v>
      </c>
      <c r="I4991">
        <v>6.18</v>
      </c>
      <c r="J4991">
        <v>81.62</v>
      </c>
      <c r="K4991" t="s">
        <v>472</v>
      </c>
    </row>
    <row r="4992" spans="1:11">
      <c r="A4992" t="str">
        <f>"688520"</f>
        <v>688520</v>
      </c>
      <c r="B4992" t="s">
        <v>5349</v>
      </c>
      <c r="C4992">
        <v>215.77</v>
      </c>
      <c r="D4992">
        <v>37.61</v>
      </c>
      <c r="E4992">
        <v>-0.48</v>
      </c>
      <c r="F4992">
        <v>4.45</v>
      </c>
      <c r="G4992">
        <v>4.45</v>
      </c>
      <c r="H4992">
        <v>13749</v>
      </c>
      <c r="I4992">
        <v>-29.8</v>
      </c>
      <c r="J4992" t="s">
        <v>14</v>
      </c>
      <c r="K4992" t="s">
        <v>2270</v>
      </c>
    </row>
    <row r="4993" spans="1:11">
      <c r="A4993" t="str">
        <f>"688521"</f>
        <v>688521</v>
      </c>
      <c r="B4993" t="s">
        <v>5350</v>
      </c>
      <c r="C4993">
        <v>951.65</v>
      </c>
      <c r="D4993">
        <v>64.79</v>
      </c>
      <c r="E4993">
        <v>35.51</v>
      </c>
      <c r="F4993">
        <v>5.26</v>
      </c>
      <c r="G4993">
        <v>5.26</v>
      </c>
      <c r="H4993">
        <v>49372</v>
      </c>
      <c r="I4993">
        <v>26.79</v>
      </c>
      <c r="J4993" t="s">
        <v>14</v>
      </c>
      <c r="K4993" t="s">
        <v>691</v>
      </c>
    </row>
    <row r="4994" spans="1:11">
      <c r="A4994" t="str">
        <f>"688522"</f>
        <v>688522</v>
      </c>
      <c r="B4994" t="s">
        <v>5351</v>
      </c>
      <c r="C4994">
        <v>52.53</v>
      </c>
      <c r="D4994">
        <v>26.31</v>
      </c>
      <c r="E4994">
        <v>22.74</v>
      </c>
      <c r="F4994">
        <v>3.03</v>
      </c>
      <c r="G4994">
        <v>1.21</v>
      </c>
      <c r="H4994">
        <v>13405</v>
      </c>
      <c r="I4994">
        <v>5.78</v>
      </c>
      <c r="J4994">
        <v>134.84</v>
      </c>
      <c r="K4994" t="s">
        <v>223</v>
      </c>
    </row>
    <row r="4995" spans="1:11">
      <c r="A4995" t="str">
        <f>"688523"</f>
        <v>688523</v>
      </c>
      <c r="B4995" t="s">
        <v>5352</v>
      </c>
      <c r="C4995">
        <v>68.56</v>
      </c>
      <c r="D4995">
        <v>24.78</v>
      </c>
      <c r="E4995">
        <v>16.83</v>
      </c>
      <c r="F4995">
        <v>4.07</v>
      </c>
      <c r="G4995">
        <v>0.97</v>
      </c>
      <c r="H4995">
        <v>10438</v>
      </c>
      <c r="I4995">
        <v>17.17</v>
      </c>
      <c r="J4995">
        <v>421.04</v>
      </c>
      <c r="K4995" t="s">
        <v>353</v>
      </c>
    </row>
    <row r="4996" spans="1:11">
      <c r="A4996" t="str">
        <f>"688525"</f>
        <v>688525</v>
      </c>
      <c r="B4996" t="s">
        <v>5353</v>
      </c>
      <c r="C4996">
        <v>681.55</v>
      </c>
      <c r="D4996">
        <v>131.94</v>
      </c>
      <c r="E4996">
        <v>46.76</v>
      </c>
      <c r="F4996">
        <v>4.67</v>
      </c>
      <c r="G4996">
        <v>4.67</v>
      </c>
      <c r="H4996">
        <v>41668</v>
      </c>
      <c r="I4996">
        <v>14.56</v>
      </c>
      <c r="J4996">
        <v>1680.68</v>
      </c>
      <c r="K4996" t="s">
        <v>691</v>
      </c>
    </row>
    <row r="4997" spans="1:11">
      <c r="A4997" t="str">
        <f>"688526"</f>
        <v>688526</v>
      </c>
      <c r="B4997" t="s">
        <v>5354</v>
      </c>
      <c r="C4997">
        <v>75.05</v>
      </c>
      <c r="D4997">
        <v>47.53</v>
      </c>
      <c r="E4997">
        <v>41.72</v>
      </c>
      <c r="F4997">
        <v>4.66</v>
      </c>
      <c r="G4997">
        <v>4.66</v>
      </c>
      <c r="H4997">
        <v>9713</v>
      </c>
      <c r="I4997">
        <v>1.8</v>
      </c>
      <c r="J4997">
        <v>16.66</v>
      </c>
      <c r="K4997" t="s">
        <v>912</v>
      </c>
    </row>
    <row r="4998" spans="1:11">
      <c r="A4998" t="str">
        <f>"688528"</f>
        <v>688528</v>
      </c>
      <c r="B4998" t="s">
        <v>5355</v>
      </c>
      <c r="C4998">
        <v>18.95</v>
      </c>
      <c r="D4998">
        <v>8.51</v>
      </c>
      <c r="E4998">
        <v>4.96</v>
      </c>
      <c r="F4998">
        <v>1.68</v>
      </c>
      <c r="G4998">
        <v>1.68</v>
      </c>
      <c r="H4998">
        <v>6303</v>
      </c>
      <c r="I4998">
        <v>3.82</v>
      </c>
      <c r="J4998" t="s">
        <v>14</v>
      </c>
      <c r="K4998" t="s">
        <v>952</v>
      </c>
    </row>
    <row r="4999" spans="1:11">
      <c r="A4999" t="str">
        <f>"688529"</f>
        <v>688529</v>
      </c>
      <c r="B4999" t="s">
        <v>5356</v>
      </c>
      <c r="C4999">
        <v>33.21</v>
      </c>
      <c r="D4999">
        <v>70.31</v>
      </c>
      <c r="E4999">
        <v>17.72</v>
      </c>
      <c r="F4999">
        <v>1.68</v>
      </c>
      <c r="G4999">
        <v>1.68</v>
      </c>
      <c r="H4999">
        <v>10030</v>
      </c>
      <c r="I4999">
        <v>1.87</v>
      </c>
      <c r="J4999" t="s">
        <v>14</v>
      </c>
      <c r="K4999" t="s">
        <v>493</v>
      </c>
    </row>
    <row r="5000" spans="1:11">
      <c r="A5000" t="str">
        <f>"688530"</f>
        <v>688530</v>
      </c>
      <c r="B5000" t="s">
        <v>5357</v>
      </c>
      <c r="C5000">
        <v>12.03</v>
      </c>
      <c r="D5000">
        <v>12.65</v>
      </c>
      <c r="E5000">
        <v>8.26</v>
      </c>
      <c r="F5000">
        <v>1.6</v>
      </c>
      <c r="G5000">
        <v>0.68</v>
      </c>
      <c r="H5000">
        <v>6352</v>
      </c>
      <c r="I5000">
        <v>3.44</v>
      </c>
      <c r="J5000" t="s">
        <v>14</v>
      </c>
      <c r="K5000" t="s">
        <v>884</v>
      </c>
    </row>
    <row r="5001" spans="1:11">
      <c r="A5001" t="str">
        <f>"688531"</f>
        <v>688531</v>
      </c>
      <c r="B5001" t="s">
        <v>5358</v>
      </c>
      <c r="C5001">
        <v>78.82</v>
      </c>
      <c r="D5001">
        <v>39.97</v>
      </c>
      <c r="E5001">
        <v>33.12</v>
      </c>
      <c r="F5001">
        <v>1.66</v>
      </c>
      <c r="G5001">
        <v>1.07</v>
      </c>
      <c r="H5001">
        <v>9257</v>
      </c>
      <c r="I5001">
        <v>3.68</v>
      </c>
      <c r="J5001">
        <v>73.33</v>
      </c>
      <c r="K5001" t="s">
        <v>493</v>
      </c>
    </row>
    <row r="5002" spans="1:11">
      <c r="A5002" t="str">
        <f>"688533"</f>
        <v>688533</v>
      </c>
      <c r="B5002" t="s">
        <v>5359</v>
      </c>
      <c r="C5002">
        <v>49.18</v>
      </c>
      <c r="D5002">
        <v>33.86</v>
      </c>
      <c r="E5002">
        <v>16.83</v>
      </c>
      <c r="F5002">
        <v>1.63</v>
      </c>
      <c r="G5002">
        <v>1.63</v>
      </c>
      <c r="H5002">
        <v>9221</v>
      </c>
      <c r="I5002">
        <v>2.98</v>
      </c>
      <c r="J5002">
        <v>27.34</v>
      </c>
      <c r="K5002" t="s">
        <v>530</v>
      </c>
    </row>
    <row r="5003" spans="1:11">
      <c r="A5003" t="str">
        <f>"688535"</f>
        <v>688535</v>
      </c>
      <c r="B5003" t="s">
        <v>5360</v>
      </c>
      <c r="C5003">
        <v>59.34</v>
      </c>
      <c r="D5003">
        <v>14.3</v>
      </c>
      <c r="E5003">
        <v>10.28</v>
      </c>
      <c r="F5003">
        <v>0.96</v>
      </c>
      <c r="G5003">
        <v>0.52</v>
      </c>
      <c r="H5003">
        <v>12892</v>
      </c>
      <c r="I5003">
        <v>8.88</v>
      </c>
      <c r="J5003">
        <v>406.3</v>
      </c>
      <c r="K5003" t="s">
        <v>884</v>
      </c>
    </row>
    <row r="5004" spans="1:11">
      <c r="A5004" t="str">
        <f>"688536"</f>
        <v>688536</v>
      </c>
      <c r="B5004" t="s">
        <v>5361</v>
      </c>
      <c r="C5004">
        <v>222.97</v>
      </c>
      <c r="D5004">
        <v>67.57</v>
      </c>
      <c r="E5004">
        <v>58.3</v>
      </c>
      <c r="F5004">
        <v>1.38</v>
      </c>
      <c r="G5004">
        <v>1.33</v>
      </c>
      <c r="H5004">
        <v>18112</v>
      </c>
      <c r="I5004">
        <v>3.91</v>
      </c>
      <c r="J5004">
        <v>138.01</v>
      </c>
      <c r="K5004" t="s">
        <v>691</v>
      </c>
    </row>
    <row r="5005" spans="1:11">
      <c r="A5005" t="str">
        <f>"688538"</f>
        <v>688538</v>
      </c>
      <c r="B5005" t="s">
        <v>5362</v>
      </c>
      <c r="C5005">
        <v>157.61</v>
      </c>
      <c r="D5005">
        <v>274.54</v>
      </c>
      <c r="E5005">
        <v>86.65</v>
      </c>
      <c r="F5005">
        <v>138.09</v>
      </c>
      <c r="G5005">
        <v>57.52</v>
      </c>
      <c r="H5005">
        <v>116020</v>
      </c>
      <c r="I5005">
        <v>4.37</v>
      </c>
      <c r="J5005" t="s">
        <v>14</v>
      </c>
      <c r="K5005" t="s">
        <v>39</v>
      </c>
    </row>
    <row r="5006" spans="1:11">
      <c r="A5006" t="str">
        <f>"688539"</f>
        <v>688539</v>
      </c>
      <c r="B5006" t="s">
        <v>5363</v>
      </c>
      <c r="C5006">
        <v>51.22</v>
      </c>
      <c r="D5006">
        <v>19.61</v>
      </c>
      <c r="E5006">
        <v>17.41</v>
      </c>
      <c r="F5006">
        <v>1.86</v>
      </c>
      <c r="G5006">
        <v>1.05</v>
      </c>
      <c r="H5006">
        <v>7515</v>
      </c>
      <c r="I5006">
        <v>5.22</v>
      </c>
      <c r="J5006">
        <v>131.18</v>
      </c>
      <c r="K5006" t="s">
        <v>952</v>
      </c>
    </row>
    <row r="5007" spans="1:11">
      <c r="A5007" t="str">
        <f>"688543"</f>
        <v>688543</v>
      </c>
      <c r="B5007" t="s">
        <v>5364</v>
      </c>
      <c r="C5007">
        <v>87.52</v>
      </c>
      <c r="D5007">
        <v>31.22</v>
      </c>
      <c r="E5007">
        <v>22.97</v>
      </c>
      <c r="F5007">
        <v>2.09</v>
      </c>
      <c r="G5007">
        <v>1.16</v>
      </c>
      <c r="H5007">
        <v>18652</v>
      </c>
      <c r="I5007">
        <v>6.86</v>
      </c>
      <c r="J5007">
        <v>82.69</v>
      </c>
      <c r="K5007" t="s">
        <v>186</v>
      </c>
    </row>
    <row r="5008" spans="1:11">
      <c r="A5008" t="str">
        <f>"688545"</f>
        <v>688545</v>
      </c>
      <c r="B5008" t="s">
        <v>5365</v>
      </c>
      <c r="C5008">
        <v>29.56</v>
      </c>
      <c r="D5008">
        <v>41.55</v>
      </c>
      <c r="E5008">
        <v>29.14</v>
      </c>
      <c r="F5008">
        <v>3.6</v>
      </c>
      <c r="G5008">
        <v>0.73</v>
      </c>
      <c r="H5008">
        <v>13666</v>
      </c>
      <c r="I5008">
        <v>5.01</v>
      </c>
      <c r="J5008">
        <v>66.22</v>
      </c>
      <c r="K5008" t="s">
        <v>884</v>
      </c>
    </row>
    <row r="5009" spans="1:11">
      <c r="A5009" t="str">
        <f>"688548"</f>
        <v>688548</v>
      </c>
      <c r="B5009" t="s">
        <v>5366</v>
      </c>
      <c r="C5009">
        <v>138.38</v>
      </c>
      <c r="D5009">
        <v>89.23</v>
      </c>
      <c r="E5009">
        <v>59.16</v>
      </c>
      <c r="F5009">
        <v>13.19</v>
      </c>
      <c r="G5009">
        <v>6.91</v>
      </c>
      <c r="H5009">
        <v>19386</v>
      </c>
      <c r="I5009">
        <v>4.46</v>
      </c>
      <c r="J5009">
        <v>98.76</v>
      </c>
      <c r="K5009" t="s">
        <v>884</v>
      </c>
    </row>
    <row r="5010" spans="1:11">
      <c r="A5010" t="str">
        <f>"688549"</f>
        <v>688549</v>
      </c>
      <c r="B5010" t="s">
        <v>5367</v>
      </c>
      <c r="C5010">
        <v>59.05</v>
      </c>
      <c r="D5010">
        <v>41.2</v>
      </c>
      <c r="E5010">
        <v>30.49</v>
      </c>
      <c r="F5010">
        <v>14.77</v>
      </c>
      <c r="G5010">
        <v>5.89</v>
      </c>
      <c r="H5010">
        <v>38248</v>
      </c>
      <c r="I5010">
        <v>4.85</v>
      </c>
      <c r="J5010">
        <v>440.38</v>
      </c>
      <c r="K5010" t="s">
        <v>82</v>
      </c>
    </row>
    <row r="5011" spans="1:11">
      <c r="A5011" t="str">
        <f>"688550"</f>
        <v>688550</v>
      </c>
      <c r="B5011" t="s">
        <v>5368</v>
      </c>
      <c r="C5011">
        <v>82.91</v>
      </c>
      <c r="D5011">
        <v>36.16</v>
      </c>
      <c r="E5011">
        <v>32.44</v>
      </c>
      <c r="F5011">
        <v>1.74</v>
      </c>
      <c r="G5011">
        <v>1.74</v>
      </c>
      <c r="H5011">
        <v>10835</v>
      </c>
      <c r="I5011">
        <v>2.55</v>
      </c>
      <c r="J5011">
        <v>22.14</v>
      </c>
      <c r="K5011" t="s">
        <v>884</v>
      </c>
    </row>
    <row r="5012" spans="1:11">
      <c r="A5012" t="str">
        <f>"688551"</f>
        <v>688551</v>
      </c>
      <c r="B5012" t="s">
        <v>5369</v>
      </c>
      <c r="C5012">
        <v>33.29</v>
      </c>
      <c r="D5012">
        <v>17.12</v>
      </c>
      <c r="E5012">
        <v>13.04</v>
      </c>
      <c r="F5012">
        <v>0.84</v>
      </c>
      <c r="G5012">
        <v>0.84</v>
      </c>
      <c r="H5012">
        <v>5488</v>
      </c>
      <c r="I5012">
        <v>2.55</v>
      </c>
      <c r="J5012">
        <v>48.39</v>
      </c>
      <c r="K5012" t="s">
        <v>1010</v>
      </c>
    </row>
    <row r="5013" spans="1:11">
      <c r="A5013" t="str">
        <f>"688552"</f>
        <v>688552</v>
      </c>
      <c r="B5013" t="s">
        <v>5370</v>
      </c>
      <c r="C5013">
        <v>36.14</v>
      </c>
      <c r="D5013">
        <v>31.83</v>
      </c>
      <c r="E5013">
        <v>25.93</v>
      </c>
      <c r="F5013">
        <v>3.37</v>
      </c>
      <c r="G5013">
        <v>0.87</v>
      </c>
      <c r="H5013">
        <v>14346</v>
      </c>
      <c r="I5013">
        <v>5.41</v>
      </c>
      <c r="J5013">
        <v>280.83</v>
      </c>
      <c r="K5013" t="s">
        <v>223</v>
      </c>
    </row>
    <row r="5014" spans="1:11">
      <c r="A5014" t="str">
        <f>"688553"</f>
        <v>688553</v>
      </c>
      <c r="B5014" t="s">
        <v>5371</v>
      </c>
      <c r="C5014">
        <v>75.61</v>
      </c>
      <c r="D5014">
        <v>48.76</v>
      </c>
      <c r="E5014">
        <v>37.31</v>
      </c>
      <c r="F5014">
        <v>4.24</v>
      </c>
      <c r="G5014">
        <v>3.44</v>
      </c>
      <c r="H5014">
        <v>13908</v>
      </c>
      <c r="I5014">
        <v>2.5</v>
      </c>
      <c r="J5014" t="s">
        <v>14</v>
      </c>
      <c r="K5014" t="s">
        <v>109</v>
      </c>
    </row>
    <row r="5015" spans="1:11">
      <c r="A5015" t="str">
        <f>"688556"</f>
        <v>688556</v>
      </c>
      <c r="B5015" t="s">
        <v>5372</v>
      </c>
      <c r="C5015">
        <v>106.67</v>
      </c>
      <c r="D5015">
        <v>77.41</v>
      </c>
      <c r="E5015">
        <v>39.02</v>
      </c>
      <c r="F5015">
        <v>8.31</v>
      </c>
      <c r="G5015">
        <v>8.31</v>
      </c>
      <c r="H5015">
        <v>21703</v>
      </c>
      <c r="I5015">
        <v>2.73</v>
      </c>
      <c r="J5015" t="s">
        <v>14</v>
      </c>
      <c r="K5015" t="s">
        <v>469</v>
      </c>
    </row>
    <row r="5016" spans="1:11">
      <c r="A5016" t="str">
        <f>"688557"</f>
        <v>688557</v>
      </c>
      <c r="B5016" t="s">
        <v>5373</v>
      </c>
      <c r="C5016">
        <v>41</v>
      </c>
      <c r="D5016">
        <v>23.11</v>
      </c>
      <c r="E5016">
        <v>12.27</v>
      </c>
      <c r="F5016">
        <v>1.03</v>
      </c>
      <c r="G5016">
        <v>1.03</v>
      </c>
      <c r="H5016">
        <v>5668</v>
      </c>
      <c r="I5016">
        <v>3.34</v>
      </c>
      <c r="J5016">
        <v>32.8</v>
      </c>
      <c r="K5016" t="s">
        <v>493</v>
      </c>
    </row>
    <row r="5017" spans="1:11">
      <c r="A5017" t="str">
        <f>"688558"</f>
        <v>688558</v>
      </c>
      <c r="B5017" t="s">
        <v>5374</v>
      </c>
      <c r="C5017">
        <v>42.36</v>
      </c>
      <c r="D5017">
        <v>22.46</v>
      </c>
      <c r="E5017">
        <v>16.79</v>
      </c>
      <c r="F5017">
        <v>1.32</v>
      </c>
      <c r="G5017">
        <v>1.32</v>
      </c>
      <c r="H5017">
        <v>7751</v>
      </c>
      <c r="I5017">
        <v>2.52</v>
      </c>
      <c r="J5017">
        <v>26.46</v>
      </c>
      <c r="K5017" t="s">
        <v>141</v>
      </c>
    </row>
    <row r="5018" spans="1:11">
      <c r="A5018" t="str">
        <f>"688559"</f>
        <v>688559</v>
      </c>
      <c r="B5018" t="s">
        <v>5375</v>
      </c>
      <c r="C5018">
        <v>147.84</v>
      </c>
      <c r="D5018">
        <v>137.4</v>
      </c>
      <c r="E5018">
        <v>23.62</v>
      </c>
      <c r="F5018">
        <v>2.48</v>
      </c>
      <c r="G5018">
        <v>2.48</v>
      </c>
      <c r="H5018">
        <v>17699</v>
      </c>
      <c r="I5018">
        <v>6.26</v>
      </c>
      <c r="J5018" t="s">
        <v>14</v>
      </c>
      <c r="K5018" t="s">
        <v>604</v>
      </c>
    </row>
    <row r="5019" spans="1:11">
      <c r="A5019" t="str">
        <f>"688560"</f>
        <v>688560</v>
      </c>
      <c r="B5019" t="s">
        <v>5376</v>
      </c>
      <c r="C5019">
        <v>38.23</v>
      </c>
      <c r="D5019">
        <v>28.68</v>
      </c>
      <c r="E5019">
        <v>26.55</v>
      </c>
      <c r="F5019">
        <v>2.01</v>
      </c>
      <c r="G5019">
        <v>2.01</v>
      </c>
      <c r="H5019">
        <v>10155</v>
      </c>
      <c r="I5019">
        <v>1.44</v>
      </c>
      <c r="J5019" t="s">
        <v>14</v>
      </c>
      <c r="K5019" t="s">
        <v>667</v>
      </c>
    </row>
    <row r="5020" spans="1:11">
      <c r="A5020" t="str">
        <f>"688561"</f>
        <v>688561</v>
      </c>
      <c r="B5020" t="s">
        <v>5377</v>
      </c>
      <c r="C5020">
        <v>279.38</v>
      </c>
      <c r="D5020">
        <v>147.21</v>
      </c>
      <c r="E5020">
        <v>81.43</v>
      </c>
      <c r="F5020">
        <v>6.82</v>
      </c>
      <c r="G5020">
        <v>6.82</v>
      </c>
      <c r="H5020">
        <v>29726</v>
      </c>
      <c r="I5020">
        <v>3.43</v>
      </c>
      <c r="J5020" t="s">
        <v>14</v>
      </c>
      <c r="K5020" t="s">
        <v>17</v>
      </c>
    </row>
    <row r="5021" spans="1:11">
      <c r="A5021" t="str">
        <f>"688562"</f>
        <v>688562</v>
      </c>
      <c r="B5021" t="s">
        <v>5378</v>
      </c>
      <c r="C5021">
        <v>45.59</v>
      </c>
      <c r="D5021">
        <v>30.75</v>
      </c>
      <c r="E5021">
        <v>16.34</v>
      </c>
      <c r="F5021">
        <v>4</v>
      </c>
      <c r="G5021">
        <v>1.73</v>
      </c>
      <c r="H5021">
        <v>12874</v>
      </c>
      <c r="I5021">
        <v>6.45</v>
      </c>
      <c r="J5021" t="s">
        <v>14</v>
      </c>
      <c r="K5021" t="s">
        <v>117</v>
      </c>
    </row>
    <row r="5022" spans="1:11">
      <c r="A5022" t="str">
        <f>"688563"</f>
        <v>688563</v>
      </c>
      <c r="B5022" t="s">
        <v>5379</v>
      </c>
      <c r="C5022">
        <v>71.69</v>
      </c>
      <c r="D5022">
        <v>119.88</v>
      </c>
      <c r="E5022">
        <v>105.25</v>
      </c>
      <c r="F5022">
        <v>4.5</v>
      </c>
      <c r="G5022">
        <v>1.17</v>
      </c>
      <c r="H5022">
        <v>23166</v>
      </c>
      <c r="I5022">
        <v>2.62</v>
      </c>
      <c r="J5022">
        <v>51.69</v>
      </c>
      <c r="K5022" t="s">
        <v>353</v>
      </c>
    </row>
    <row r="5023" spans="1:11">
      <c r="A5023" t="str">
        <f>"688565"</f>
        <v>688565</v>
      </c>
      <c r="B5023" t="s">
        <v>5380</v>
      </c>
      <c r="C5023">
        <v>18.3</v>
      </c>
      <c r="D5023">
        <v>8.76</v>
      </c>
      <c r="E5023">
        <v>4.92</v>
      </c>
      <c r="F5023">
        <v>1.5</v>
      </c>
      <c r="G5023">
        <v>1.5</v>
      </c>
      <c r="H5023">
        <v>4737</v>
      </c>
      <c r="I5023">
        <v>3.72</v>
      </c>
      <c r="J5023">
        <v>288.81</v>
      </c>
      <c r="K5023" t="s">
        <v>90</v>
      </c>
    </row>
    <row r="5024" spans="1:11">
      <c r="A5024" t="str">
        <f>"688566"</f>
        <v>688566</v>
      </c>
      <c r="B5024" t="s">
        <v>5381</v>
      </c>
      <c r="C5024">
        <v>59.83</v>
      </c>
      <c r="D5024">
        <v>26.4</v>
      </c>
      <c r="E5024">
        <v>23.58</v>
      </c>
      <c r="F5024">
        <v>1.99</v>
      </c>
      <c r="G5024">
        <v>1.99</v>
      </c>
      <c r="H5024">
        <v>7406</v>
      </c>
      <c r="I5024">
        <v>2.54</v>
      </c>
      <c r="J5024">
        <v>22.79</v>
      </c>
      <c r="K5024" t="s">
        <v>109</v>
      </c>
    </row>
    <row r="5025" spans="1:11">
      <c r="A5025" t="str">
        <f>"688567"</f>
        <v>688567</v>
      </c>
      <c r="B5025" t="s">
        <v>5382</v>
      </c>
      <c r="C5025">
        <v>195.54</v>
      </c>
      <c r="D5025">
        <v>245.16</v>
      </c>
      <c r="E5025">
        <v>96.23</v>
      </c>
      <c r="F5025">
        <v>12.22</v>
      </c>
      <c r="G5025">
        <v>12.22</v>
      </c>
      <c r="H5025">
        <v>30770</v>
      </c>
      <c r="I5025">
        <v>2.03</v>
      </c>
      <c r="J5025" t="s">
        <v>14</v>
      </c>
      <c r="K5025" t="s">
        <v>70</v>
      </c>
    </row>
    <row r="5026" spans="1:11">
      <c r="A5026" t="str">
        <f>"688568"</f>
        <v>688568</v>
      </c>
      <c r="B5026" t="s">
        <v>5383</v>
      </c>
      <c r="C5026">
        <v>775.59</v>
      </c>
      <c r="D5026">
        <v>86.48</v>
      </c>
      <c r="E5026">
        <v>38.67</v>
      </c>
      <c r="F5026">
        <v>8.08</v>
      </c>
      <c r="G5026">
        <v>8.08</v>
      </c>
      <c r="H5026">
        <v>28860</v>
      </c>
      <c r="I5026">
        <v>20.06</v>
      </c>
      <c r="J5026">
        <v>397.14</v>
      </c>
      <c r="K5026" t="s">
        <v>1970</v>
      </c>
    </row>
    <row r="5027" spans="1:11">
      <c r="A5027" t="str">
        <f>"688569"</f>
        <v>688569</v>
      </c>
      <c r="B5027" t="s">
        <v>5384</v>
      </c>
      <c r="C5027">
        <v>46.03</v>
      </c>
      <c r="D5027">
        <v>39.25</v>
      </c>
      <c r="E5027">
        <v>28.67</v>
      </c>
      <c r="F5027">
        <v>2.11</v>
      </c>
      <c r="G5027">
        <v>2.11</v>
      </c>
      <c r="H5027">
        <v>6682</v>
      </c>
      <c r="I5027">
        <v>1.61</v>
      </c>
      <c r="J5027">
        <v>38.15</v>
      </c>
      <c r="K5027" t="s">
        <v>22</v>
      </c>
    </row>
    <row r="5028" spans="1:11">
      <c r="A5028" t="str">
        <f>"688570"</f>
        <v>688570</v>
      </c>
      <c r="B5028" t="s">
        <v>5385</v>
      </c>
      <c r="C5028">
        <v>36.17</v>
      </c>
      <c r="D5028">
        <v>57.7</v>
      </c>
      <c r="E5028">
        <v>42.83</v>
      </c>
      <c r="F5028">
        <v>4.33</v>
      </c>
      <c r="G5028">
        <v>1.88</v>
      </c>
      <c r="H5028">
        <v>13248</v>
      </c>
      <c r="I5028">
        <v>1.94</v>
      </c>
      <c r="J5028">
        <v>79.16</v>
      </c>
      <c r="K5028" t="s">
        <v>663</v>
      </c>
    </row>
    <row r="5029" spans="1:11">
      <c r="A5029" t="str">
        <f>"688571"</f>
        <v>688571</v>
      </c>
      <c r="B5029" t="s">
        <v>5386</v>
      </c>
      <c r="C5029">
        <v>33.51</v>
      </c>
      <c r="D5029">
        <v>22.12</v>
      </c>
      <c r="E5029">
        <v>16.1</v>
      </c>
      <c r="F5029">
        <v>4.24</v>
      </c>
      <c r="G5029">
        <v>4.24</v>
      </c>
      <c r="H5029">
        <v>8168</v>
      </c>
      <c r="I5029">
        <v>2.08</v>
      </c>
      <c r="J5029">
        <v>33.1</v>
      </c>
      <c r="K5029" t="s">
        <v>246</v>
      </c>
    </row>
    <row r="5030" spans="1:11">
      <c r="A5030" t="str">
        <f>"688573"</f>
        <v>688573</v>
      </c>
      <c r="B5030" t="s">
        <v>5387</v>
      </c>
      <c r="C5030">
        <v>12.98</v>
      </c>
      <c r="D5030">
        <v>20.74</v>
      </c>
      <c r="E5030">
        <v>6.35</v>
      </c>
      <c r="F5030">
        <v>0.98</v>
      </c>
      <c r="G5030">
        <v>0.53</v>
      </c>
      <c r="H5030">
        <v>8315</v>
      </c>
      <c r="I5030">
        <v>3.76</v>
      </c>
      <c r="J5030" t="s">
        <v>14</v>
      </c>
      <c r="K5030" t="s">
        <v>1975</v>
      </c>
    </row>
    <row r="5031" spans="1:11">
      <c r="A5031" t="str">
        <f>"688575"</f>
        <v>688575</v>
      </c>
      <c r="B5031" t="s">
        <v>5388</v>
      </c>
      <c r="C5031">
        <v>89.08</v>
      </c>
      <c r="D5031">
        <v>42.38</v>
      </c>
      <c r="E5031">
        <v>27.03</v>
      </c>
      <c r="F5031">
        <v>5.71</v>
      </c>
      <c r="G5031">
        <v>5.71</v>
      </c>
      <c r="H5031">
        <v>12791</v>
      </c>
      <c r="I5031">
        <v>3.29</v>
      </c>
      <c r="J5031">
        <v>110.57</v>
      </c>
      <c r="K5031" t="s">
        <v>775</v>
      </c>
    </row>
    <row r="5032" spans="1:11">
      <c r="A5032" t="str">
        <f>"688576"</f>
        <v>688576</v>
      </c>
      <c r="B5032" t="s">
        <v>5389</v>
      </c>
      <c r="C5032">
        <v>15.08</v>
      </c>
      <c r="D5032">
        <v>18.7</v>
      </c>
      <c r="E5032">
        <v>17.18</v>
      </c>
      <c r="F5032">
        <v>0.46</v>
      </c>
      <c r="G5032">
        <v>0.22</v>
      </c>
      <c r="H5032">
        <v>5214</v>
      </c>
      <c r="I5032">
        <v>1.83</v>
      </c>
      <c r="J5032">
        <v>54.41</v>
      </c>
      <c r="K5032" t="s">
        <v>1836</v>
      </c>
    </row>
    <row r="5033" spans="1:11">
      <c r="A5033" t="str">
        <f>"688577"</f>
        <v>688577</v>
      </c>
      <c r="B5033" t="s">
        <v>5390</v>
      </c>
      <c r="C5033">
        <v>100.37</v>
      </c>
      <c r="D5033">
        <v>16.55</v>
      </c>
      <c r="E5033">
        <v>9.98</v>
      </c>
      <c r="F5033">
        <v>1.11</v>
      </c>
      <c r="G5033">
        <v>1.11</v>
      </c>
      <c r="H5033">
        <v>5575</v>
      </c>
      <c r="I5033">
        <v>10.06</v>
      </c>
      <c r="J5033">
        <v>243.73</v>
      </c>
      <c r="K5033" t="s">
        <v>141</v>
      </c>
    </row>
    <row r="5034" spans="1:11">
      <c r="A5034" t="str">
        <f>"688578"</f>
        <v>688578</v>
      </c>
      <c r="B5034" t="s">
        <v>5391</v>
      </c>
      <c r="C5034">
        <v>459.9</v>
      </c>
      <c r="D5034">
        <v>72.59</v>
      </c>
      <c r="E5034">
        <v>64.99</v>
      </c>
      <c r="F5034">
        <v>4.5</v>
      </c>
      <c r="G5034">
        <v>4.5</v>
      </c>
      <c r="H5034">
        <v>19107</v>
      </c>
      <c r="I5034">
        <v>7.08</v>
      </c>
      <c r="J5034">
        <v>21.35</v>
      </c>
      <c r="K5034" t="s">
        <v>2270</v>
      </c>
    </row>
    <row r="5035" spans="1:11">
      <c r="A5035" t="str">
        <f>"688579"</f>
        <v>688579</v>
      </c>
      <c r="B5035" t="s">
        <v>5392</v>
      </c>
      <c r="C5035">
        <v>49.84</v>
      </c>
      <c r="D5035">
        <v>16.28</v>
      </c>
      <c r="E5035">
        <v>13.79</v>
      </c>
      <c r="F5035">
        <v>4</v>
      </c>
      <c r="G5035">
        <v>4</v>
      </c>
      <c r="H5035">
        <v>11791</v>
      </c>
      <c r="I5035">
        <v>3.61</v>
      </c>
      <c r="J5035">
        <v>118.61</v>
      </c>
      <c r="K5035" t="s">
        <v>117</v>
      </c>
    </row>
    <row r="5036" spans="1:11">
      <c r="A5036" t="str">
        <f>"688580"</f>
        <v>688580</v>
      </c>
      <c r="B5036" t="s">
        <v>5393</v>
      </c>
      <c r="C5036">
        <v>64.22</v>
      </c>
      <c r="D5036">
        <v>18.23</v>
      </c>
      <c r="E5036">
        <v>16.58</v>
      </c>
      <c r="F5036">
        <v>0.96</v>
      </c>
      <c r="G5036">
        <v>0.96</v>
      </c>
      <c r="H5036">
        <v>8098</v>
      </c>
      <c r="I5036">
        <v>3.87</v>
      </c>
      <c r="J5036">
        <v>47.16</v>
      </c>
      <c r="K5036" t="s">
        <v>1836</v>
      </c>
    </row>
    <row r="5037" spans="1:11">
      <c r="A5037" t="str">
        <f>"688581"</f>
        <v>688581</v>
      </c>
      <c r="B5037" t="s">
        <v>5394</v>
      </c>
      <c r="C5037">
        <v>27.59</v>
      </c>
      <c r="D5037">
        <v>25.96</v>
      </c>
      <c r="E5037">
        <v>24.88</v>
      </c>
      <c r="F5037">
        <v>0.81</v>
      </c>
      <c r="G5037">
        <v>0.42</v>
      </c>
      <c r="H5037">
        <v>6786</v>
      </c>
      <c r="I5037">
        <v>2.16</v>
      </c>
      <c r="J5037">
        <v>22.82</v>
      </c>
      <c r="K5037" t="s">
        <v>1836</v>
      </c>
    </row>
    <row r="5038" spans="1:11">
      <c r="A5038" t="str">
        <f>"688582"</f>
        <v>688582</v>
      </c>
      <c r="B5038" t="s">
        <v>5395</v>
      </c>
      <c r="C5038">
        <v>177.48</v>
      </c>
      <c r="D5038">
        <v>25.04</v>
      </c>
      <c r="E5038">
        <v>24.26</v>
      </c>
      <c r="F5038">
        <v>4.02</v>
      </c>
      <c r="G5038">
        <v>2.5</v>
      </c>
      <c r="H5038">
        <v>19737</v>
      </c>
      <c r="I5038">
        <v>11.72</v>
      </c>
      <c r="J5038">
        <v>89.51</v>
      </c>
      <c r="K5038" t="s">
        <v>310</v>
      </c>
    </row>
    <row r="5039" spans="1:11">
      <c r="A5039" t="str">
        <f>"688583"</f>
        <v>688583</v>
      </c>
      <c r="B5039" t="s">
        <v>5396</v>
      </c>
      <c r="C5039">
        <v>18.1</v>
      </c>
      <c r="D5039">
        <v>12.78</v>
      </c>
      <c r="E5039">
        <v>11.55</v>
      </c>
      <c r="F5039">
        <v>0.88</v>
      </c>
      <c r="G5039">
        <v>0.18</v>
      </c>
      <c r="H5039">
        <v>4287</v>
      </c>
      <c r="I5039">
        <v>7.84</v>
      </c>
      <c r="J5039">
        <v>85.85</v>
      </c>
      <c r="K5039" t="s">
        <v>952</v>
      </c>
    </row>
    <row r="5040" spans="1:11">
      <c r="A5040" t="str">
        <f>"688584"</f>
        <v>688584</v>
      </c>
      <c r="B5040" t="s">
        <v>5397</v>
      </c>
      <c r="C5040">
        <v>78.73</v>
      </c>
      <c r="D5040">
        <v>47.08</v>
      </c>
      <c r="E5040">
        <v>41.23</v>
      </c>
      <c r="F5040">
        <v>6.65</v>
      </c>
      <c r="G5040">
        <v>3.4</v>
      </c>
      <c r="H5040">
        <v>16132</v>
      </c>
      <c r="I5040">
        <v>3.74</v>
      </c>
      <c r="J5040">
        <v>110.35</v>
      </c>
      <c r="K5040" t="s">
        <v>884</v>
      </c>
    </row>
    <row r="5041" spans="1:11">
      <c r="A5041" t="str">
        <f>"688585"</f>
        <v>688585</v>
      </c>
      <c r="B5041" t="s">
        <v>5398</v>
      </c>
      <c r="C5041">
        <v>650.5</v>
      </c>
      <c r="D5041">
        <v>22.44</v>
      </c>
      <c r="E5041">
        <v>13.34</v>
      </c>
      <c r="F5041">
        <v>4.03</v>
      </c>
      <c r="G5041">
        <v>4.03</v>
      </c>
      <c r="H5041">
        <v>19682</v>
      </c>
      <c r="I5041">
        <v>48.77</v>
      </c>
      <c r="J5041">
        <v>805.77</v>
      </c>
      <c r="K5041" t="s">
        <v>601</v>
      </c>
    </row>
    <row r="5042" spans="1:11">
      <c r="A5042" t="str">
        <f>"688586"</f>
        <v>688586</v>
      </c>
      <c r="B5042" t="s">
        <v>5399</v>
      </c>
      <c r="C5042">
        <v>122.18</v>
      </c>
      <c r="D5042">
        <v>36.05</v>
      </c>
      <c r="E5042">
        <v>24.67</v>
      </c>
      <c r="F5042">
        <v>7.91</v>
      </c>
      <c r="G5042">
        <v>7.91</v>
      </c>
      <c r="H5042">
        <v>17609</v>
      </c>
      <c r="I5042">
        <v>4.95</v>
      </c>
      <c r="J5042">
        <v>216.16</v>
      </c>
      <c r="K5042" t="s">
        <v>353</v>
      </c>
    </row>
    <row r="5043" spans="1:11">
      <c r="A5043" t="str">
        <f>"688588"</f>
        <v>688588</v>
      </c>
      <c r="B5043" t="s">
        <v>5400</v>
      </c>
      <c r="C5043">
        <v>65.16</v>
      </c>
      <c r="D5043">
        <v>17.49</v>
      </c>
      <c r="E5043">
        <v>12.32</v>
      </c>
      <c r="F5043">
        <v>4</v>
      </c>
      <c r="G5043">
        <v>4</v>
      </c>
      <c r="H5043">
        <v>19944</v>
      </c>
      <c r="I5043">
        <v>5.29</v>
      </c>
      <c r="J5043">
        <v>50.52</v>
      </c>
      <c r="K5043" t="s">
        <v>117</v>
      </c>
    </row>
    <row r="5044" spans="1:11">
      <c r="A5044" t="str">
        <f>"688589"</f>
        <v>688589</v>
      </c>
      <c r="B5044" t="s">
        <v>5401</v>
      </c>
      <c r="C5044">
        <v>34.68</v>
      </c>
      <c r="D5044">
        <v>15.02</v>
      </c>
      <c r="E5044">
        <v>10.5</v>
      </c>
      <c r="F5044">
        <v>1.45</v>
      </c>
      <c r="G5044">
        <v>1.45</v>
      </c>
      <c r="H5044">
        <v>12236</v>
      </c>
      <c r="I5044">
        <v>3.62</v>
      </c>
      <c r="J5044">
        <v>116.2</v>
      </c>
      <c r="K5044" t="s">
        <v>691</v>
      </c>
    </row>
    <row r="5045" spans="1:11">
      <c r="A5045" t="str">
        <f>"688590"</f>
        <v>688590</v>
      </c>
      <c r="B5045" t="s">
        <v>5402</v>
      </c>
      <c r="C5045">
        <v>65.2</v>
      </c>
      <c r="D5045">
        <v>33.64</v>
      </c>
      <c r="E5045">
        <v>15.12</v>
      </c>
      <c r="F5045">
        <v>2.63</v>
      </c>
      <c r="G5045">
        <v>2.63</v>
      </c>
      <c r="H5045">
        <v>13269</v>
      </c>
      <c r="I5045">
        <v>4.55</v>
      </c>
      <c r="J5045">
        <v>157.63</v>
      </c>
      <c r="K5045" t="s">
        <v>57</v>
      </c>
    </row>
    <row r="5046" spans="1:11">
      <c r="A5046" t="str">
        <f>"688591"</f>
        <v>688591</v>
      </c>
      <c r="B5046" t="s">
        <v>5403</v>
      </c>
      <c r="C5046">
        <v>83.71</v>
      </c>
      <c r="D5046">
        <v>26.24</v>
      </c>
      <c r="E5046">
        <v>24.76</v>
      </c>
      <c r="F5046">
        <v>2.41</v>
      </c>
      <c r="G5046">
        <v>1.68</v>
      </c>
      <c r="H5046">
        <v>21552</v>
      </c>
      <c r="I5046">
        <v>4.83</v>
      </c>
      <c r="J5046">
        <v>64.24</v>
      </c>
      <c r="K5046" t="s">
        <v>691</v>
      </c>
    </row>
    <row r="5047" spans="1:11">
      <c r="A5047" t="str">
        <f>"688592"</f>
        <v>688592</v>
      </c>
      <c r="B5047" t="s">
        <v>5404</v>
      </c>
      <c r="C5047">
        <v>20.72</v>
      </c>
      <c r="D5047">
        <v>12.83</v>
      </c>
      <c r="E5047">
        <v>9.25</v>
      </c>
      <c r="F5047">
        <v>0.8</v>
      </c>
      <c r="G5047">
        <v>0.39</v>
      </c>
      <c r="H5047">
        <v>4269</v>
      </c>
      <c r="I5047">
        <v>4.68</v>
      </c>
      <c r="J5047" t="s">
        <v>14</v>
      </c>
      <c r="K5047" t="s">
        <v>770</v>
      </c>
    </row>
    <row r="5048" spans="1:11">
      <c r="A5048" t="str">
        <f>"688593"</f>
        <v>688593</v>
      </c>
      <c r="B5048" t="s">
        <v>5405</v>
      </c>
      <c r="C5048">
        <v>74.44</v>
      </c>
      <c r="D5048">
        <v>18.21</v>
      </c>
      <c r="E5048">
        <v>15.5</v>
      </c>
      <c r="F5048">
        <v>4.6</v>
      </c>
      <c r="G5048">
        <v>3.23</v>
      </c>
      <c r="H5048">
        <v>13647</v>
      </c>
      <c r="I5048">
        <v>6.84</v>
      </c>
      <c r="J5048">
        <v>972.42</v>
      </c>
      <c r="K5048" t="s">
        <v>691</v>
      </c>
    </row>
    <row r="5049" spans="1:11">
      <c r="A5049" t="str">
        <f>"688595"</f>
        <v>688595</v>
      </c>
      <c r="B5049" t="s">
        <v>5406</v>
      </c>
      <c r="C5049">
        <v>51.27</v>
      </c>
      <c r="D5049">
        <v>16.09</v>
      </c>
      <c r="E5049">
        <v>7.89</v>
      </c>
      <c r="F5049">
        <v>1.44</v>
      </c>
      <c r="G5049">
        <v>1.44</v>
      </c>
      <c r="H5049">
        <v>12819</v>
      </c>
      <c r="I5049">
        <v>7.13</v>
      </c>
      <c r="J5049" t="s">
        <v>14</v>
      </c>
      <c r="K5049" t="s">
        <v>691</v>
      </c>
    </row>
    <row r="5050" spans="1:11">
      <c r="A5050" t="str">
        <f>"688596"</f>
        <v>688596</v>
      </c>
      <c r="B5050" t="s">
        <v>5407</v>
      </c>
      <c r="C5050">
        <v>95.42</v>
      </c>
      <c r="D5050">
        <v>125.79</v>
      </c>
      <c r="E5050">
        <v>36.99</v>
      </c>
      <c r="F5050">
        <v>2.94</v>
      </c>
      <c r="G5050">
        <v>2.94</v>
      </c>
      <c r="H5050">
        <v>16108</v>
      </c>
      <c r="I5050">
        <v>2.66</v>
      </c>
      <c r="J5050">
        <v>100.36</v>
      </c>
      <c r="K5050" t="s">
        <v>1160</v>
      </c>
    </row>
    <row r="5051" spans="1:11">
      <c r="A5051" t="str">
        <f>"688597"</f>
        <v>688597</v>
      </c>
      <c r="B5051" t="s">
        <v>5408</v>
      </c>
      <c r="C5051">
        <v>30.65</v>
      </c>
      <c r="D5051">
        <v>19.87</v>
      </c>
      <c r="E5051">
        <v>8.99</v>
      </c>
      <c r="F5051">
        <v>3.36</v>
      </c>
      <c r="G5051">
        <v>3.36</v>
      </c>
      <c r="H5051">
        <v>6428</v>
      </c>
      <c r="I5051">
        <v>3.66</v>
      </c>
      <c r="J5051">
        <v>63.21</v>
      </c>
      <c r="K5051" t="s">
        <v>888</v>
      </c>
    </row>
    <row r="5052" spans="1:11">
      <c r="A5052" t="str">
        <f>"688598"</f>
        <v>688598</v>
      </c>
      <c r="B5052" t="s">
        <v>5409</v>
      </c>
      <c r="C5052">
        <v>62.76</v>
      </c>
      <c r="D5052">
        <v>60.47</v>
      </c>
      <c r="E5052">
        <v>49.68</v>
      </c>
      <c r="F5052">
        <v>2.08</v>
      </c>
      <c r="G5052">
        <v>2.04</v>
      </c>
      <c r="H5052">
        <v>14314</v>
      </c>
      <c r="I5052">
        <v>1.29</v>
      </c>
      <c r="J5052" t="s">
        <v>14</v>
      </c>
      <c r="K5052" t="s">
        <v>667</v>
      </c>
    </row>
    <row r="5053" spans="1:11">
      <c r="A5053" t="str">
        <f>"688599"</f>
        <v>688599</v>
      </c>
      <c r="B5053" t="s">
        <v>5410</v>
      </c>
      <c r="C5053">
        <v>448.6</v>
      </c>
      <c r="D5053">
        <v>1238.27</v>
      </c>
      <c r="E5053">
        <v>219.28</v>
      </c>
      <c r="F5053">
        <v>23.43</v>
      </c>
      <c r="G5053">
        <v>23.43</v>
      </c>
      <c r="H5053">
        <v>54878</v>
      </c>
      <c r="I5053">
        <v>1.96</v>
      </c>
      <c r="J5053" t="s">
        <v>14</v>
      </c>
      <c r="K5053" t="s">
        <v>815</v>
      </c>
    </row>
    <row r="5054" spans="1:11">
      <c r="A5054" t="str">
        <f>"688600"</f>
        <v>688600</v>
      </c>
      <c r="B5054" t="s">
        <v>5411</v>
      </c>
      <c r="C5054">
        <v>40.43</v>
      </c>
      <c r="D5054">
        <v>12.98</v>
      </c>
      <c r="E5054">
        <v>7.6</v>
      </c>
      <c r="F5054">
        <v>1.35</v>
      </c>
      <c r="G5054">
        <v>1.35</v>
      </c>
      <c r="H5054">
        <v>4295</v>
      </c>
      <c r="I5054">
        <v>5.32</v>
      </c>
      <c r="J5054">
        <v>117.69</v>
      </c>
      <c r="K5054" t="s">
        <v>952</v>
      </c>
    </row>
    <row r="5055" spans="1:11">
      <c r="A5055" t="str">
        <f>"688601"</f>
        <v>688601</v>
      </c>
      <c r="B5055" t="s">
        <v>5412</v>
      </c>
      <c r="C5055">
        <v>65.95</v>
      </c>
      <c r="D5055">
        <v>14.49</v>
      </c>
      <c r="E5055">
        <v>12.41</v>
      </c>
      <c r="F5055">
        <v>1.34</v>
      </c>
      <c r="G5055">
        <v>1.34</v>
      </c>
      <c r="H5055">
        <v>12595</v>
      </c>
      <c r="I5055">
        <v>5.31</v>
      </c>
      <c r="J5055">
        <v>172.14</v>
      </c>
      <c r="K5055" t="s">
        <v>691</v>
      </c>
    </row>
    <row r="5056" spans="1:11">
      <c r="A5056" t="str">
        <f>"688602"</f>
        <v>688602</v>
      </c>
      <c r="B5056" t="s">
        <v>5413</v>
      </c>
      <c r="C5056">
        <v>23.73</v>
      </c>
      <c r="D5056">
        <v>32.86</v>
      </c>
      <c r="E5056">
        <v>27.9</v>
      </c>
      <c r="F5056">
        <v>5.19</v>
      </c>
      <c r="G5056">
        <v>2.6</v>
      </c>
      <c r="H5056">
        <v>11641</v>
      </c>
      <c r="I5056">
        <v>1.7</v>
      </c>
      <c r="J5056" t="s">
        <v>14</v>
      </c>
      <c r="K5056" t="s">
        <v>511</v>
      </c>
    </row>
    <row r="5057" spans="1:11">
      <c r="A5057" t="str">
        <f>"688603"</f>
        <v>688603</v>
      </c>
      <c r="B5057" t="s">
        <v>5414</v>
      </c>
      <c r="C5057">
        <v>44.28</v>
      </c>
      <c r="D5057">
        <v>12.94</v>
      </c>
      <c r="E5057">
        <v>11.66</v>
      </c>
      <c r="F5057">
        <v>1.25</v>
      </c>
      <c r="G5057">
        <v>0.47</v>
      </c>
      <c r="H5057">
        <v>5237</v>
      </c>
      <c r="I5057">
        <v>9.99</v>
      </c>
      <c r="J5057">
        <v>145.55</v>
      </c>
      <c r="K5057" t="s">
        <v>82</v>
      </c>
    </row>
    <row r="5058" spans="1:11">
      <c r="A5058" t="str">
        <f>"688605"</f>
        <v>688605</v>
      </c>
      <c r="B5058" t="s">
        <v>5415</v>
      </c>
      <c r="C5058">
        <v>72.34</v>
      </c>
      <c r="D5058">
        <v>21.76</v>
      </c>
      <c r="E5058">
        <v>16.13</v>
      </c>
      <c r="F5058">
        <v>2.02</v>
      </c>
      <c r="G5058">
        <v>1.08</v>
      </c>
      <c r="H5058">
        <v>12383</v>
      </c>
      <c r="I5058">
        <v>8.37</v>
      </c>
      <c r="J5058">
        <v>62.61</v>
      </c>
      <c r="K5058" t="s">
        <v>1160</v>
      </c>
    </row>
    <row r="5059" spans="1:11">
      <c r="A5059" t="str">
        <f>"688606"</f>
        <v>688606</v>
      </c>
      <c r="B5059" t="s">
        <v>5416</v>
      </c>
      <c r="C5059">
        <v>52.48</v>
      </c>
      <c r="D5059">
        <v>42.42</v>
      </c>
      <c r="E5059">
        <v>39.02</v>
      </c>
      <c r="F5059">
        <v>0.79</v>
      </c>
      <c r="G5059">
        <v>0.79</v>
      </c>
      <c r="H5059">
        <v>5665</v>
      </c>
      <c r="I5059">
        <v>1.34</v>
      </c>
      <c r="J5059">
        <v>20.73</v>
      </c>
      <c r="K5059" t="s">
        <v>775</v>
      </c>
    </row>
    <row r="5060" spans="1:11">
      <c r="A5060" t="str">
        <f>"688607"</f>
        <v>688607</v>
      </c>
      <c r="B5060" t="s">
        <v>5417</v>
      </c>
      <c r="C5060">
        <v>50.95</v>
      </c>
      <c r="D5060">
        <v>9.88</v>
      </c>
      <c r="E5060">
        <v>8.59</v>
      </c>
      <c r="F5060">
        <v>0.88</v>
      </c>
      <c r="G5060">
        <v>0.88</v>
      </c>
      <c r="H5060">
        <v>4861</v>
      </c>
      <c r="I5060">
        <v>5.93</v>
      </c>
      <c r="J5060">
        <v>10983.19</v>
      </c>
      <c r="K5060" t="s">
        <v>1836</v>
      </c>
    </row>
    <row r="5061" spans="1:11">
      <c r="A5061" t="str">
        <f>"688608"</f>
        <v>688608</v>
      </c>
      <c r="B5061" t="s">
        <v>5418</v>
      </c>
      <c r="C5061">
        <v>413.43</v>
      </c>
      <c r="D5061">
        <v>74.92</v>
      </c>
      <c r="E5061">
        <v>69.23</v>
      </c>
      <c r="F5061">
        <v>1.69</v>
      </c>
      <c r="G5061">
        <v>1.69</v>
      </c>
      <c r="H5061">
        <v>20618</v>
      </c>
      <c r="I5061">
        <v>5.96</v>
      </c>
      <c r="J5061">
        <v>61.82</v>
      </c>
      <c r="K5061" t="s">
        <v>691</v>
      </c>
    </row>
    <row r="5062" spans="1:11">
      <c r="A5062" t="str">
        <f>"688609"</f>
        <v>688609</v>
      </c>
      <c r="B5062" t="s">
        <v>5419</v>
      </c>
      <c r="C5062">
        <v>51.55</v>
      </c>
      <c r="D5062">
        <v>32.63</v>
      </c>
      <c r="E5062">
        <v>8.89</v>
      </c>
      <c r="F5062">
        <v>5</v>
      </c>
      <c r="G5062">
        <v>5</v>
      </c>
      <c r="H5062">
        <v>20588</v>
      </c>
      <c r="I5062">
        <v>5.8</v>
      </c>
      <c r="J5062" t="s">
        <v>14</v>
      </c>
      <c r="K5062" t="s">
        <v>450</v>
      </c>
    </row>
    <row r="5063" spans="1:11">
      <c r="A5063" t="str">
        <f>"688610"</f>
        <v>688610</v>
      </c>
      <c r="B5063" t="s">
        <v>5420</v>
      </c>
      <c r="C5063">
        <v>28.71</v>
      </c>
      <c r="D5063">
        <v>17.14</v>
      </c>
      <c r="E5063">
        <v>14.97</v>
      </c>
      <c r="F5063">
        <v>0.68</v>
      </c>
      <c r="G5063">
        <v>0.41</v>
      </c>
      <c r="H5063">
        <v>5028</v>
      </c>
      <c r="I5063">
        <v>3.19</v>
      </c>
      <c r="J5063">
        <v>63.25</v>
      </c>
      <c r="K5063" t="s">
        <v>952</v>
      </c>
    </row>
    <row r="5064" spans="1:11">
      <c r="A5064" t="str">
        <f>"688611"</f>
        <v>688611</v>
      </c>
      <c r="B5064" t="s">
        <v>5421</v>
      </c>
      <c r="C5064">
        <v>93.29</v>
      </c>
      <c r="D5064">
        <v>10.78</v>
      </c>
      <c r="E5064">
        <v>8.69</v>
      </c>
      <c r="F5064">
        <v>1.53</v>
      </c>
      <c r="G5064">
        <v>1.53</v>
      </c>
      <c r="H5064">
        <v>4569</v>
      </c>
      <c r="I5064">
        <v>10.73</v>
      </c>
      <c r="J5064">
        <v>11570.8</v>
      </c>
      <c r="K5064" t="s">
        <v>127</v>
      </c>
    </row>
    <row r="5065" spans="1:11">
      <c r="A5065" t="str">
        <f>"688612"</f>
        <v>688612</v>
      </c>
      <c r="B5065" t="s">
        <v>5422</v>
      </c>
      <c r="C5065">
        <v>85.21</v>
      </c>
      <c r="D5065">
        <v>78.58</v>
      </c>
      <c r="E5065">
        <v>34.91</v>
      </c>
      <c r="F5065">
        <v>4.19</v>
      </c>
      <c r="G5065">
        <v>2.53</v>
      </c>
      <c r="H5065">
        <v>6974</v>
      </c>
      <c r="I5065">
        <v>4.07</v>
      </c>
      <c r="J5065">
        <v>24.94</v>
      </c>
      <c r="K5065" t="s">
        <v>530</v>
      </c>
    </row>
    <row r="5066" spans="1:11">
      <c r="A5066" t="str">
        <f>"688613"</f>
        <v>688613</v>
      </c>
      <c r="B5066" t="s">
        <v>5423</v>
      </c>
      <c r="C5066">
        <v>31.5</v>
      </c>
      <c r="D5066">
        <v>15.45</v>
      </c>
      <c r="E5066">
        <v>14.35</v>
      </c>
      <c r="F5066">
        <v>1.37</v>
      </c>
      <c r="G5066">
        <v>1.37</v>
      </c>
      <c r="H5066">
        <v>9862</v>
      </c>
      <c r="I5066">
        <v>2.19</v>
      </c>
      <c r="J5066">
        <v>169.46</v>
      </c>
      <c r="K5066" t="s">
        <v>1173</v>
      </c>
    </row>
    <row r="5067" spans="1:11">
      <c r="A5067" t="str">
        <f>"688615"</f>
        <v>688615</v>
      </c>
      <c r="B5067" t="s">
        <v>5424</v>
      </c>
      <c r="C5067">
        <v>308.37</v>
      </c>
      <c r="D5067">
        <v>36.52</v>
      </c>
      <c r="E5067">
        <v>28.07</v>
      </c>
      <c r="F5067">
        <v>1.4</v>
      </c>
      <c r="G5067">
        <v>0.97</v>
      </c>
      <c r="H5067">
        <v>13685</v>
      </c>
      <c r="I5067">
        <v>15.91</v>
      </c>
      <c r="J5067">
        <v>95.4</v>
      </c>
      <c r="K5067" t="s">
        <v>117</v>
      </c>
    </row>
    <row r="5068" spans="1:11">
      <c r="A5068" t="str">
        <f>"688616"</f>
        <v>688616</v>
      </c>
      <c r="B5068" t="s">
        <v>5425</v>
      </c>
      <c r="C5068">
        <v>23.23</v>
      </c>
      <c r="D5068">
        <v>10.39</v>
      </c>
      <c r="E5068">
        <v>8.5</v>
      </c>
      <c r="F5068">
        <v>1.79</v>
      </c>
      <c r="G5068">
        <v>1.79</v>
      </c>
      <c r="H5068">
        <v>5858</v>
      </c>
      <c r="I5068">
        <v>2.73</v>
      </c>
      <c r="J5068">
        <v>26.26</v>
      </c>
      <c r="K5068" t="s">
        <v>888</v>
      </c>
    </row>
    <row r="5069" spans="1:11">
      <c r="A5069" t="str">
        <f>"688617"</f>
        <v>688617</v>
      </c>
      <c r="B5069" t="s">
        <v>5426</v>
      </c>
      <c r="C5069">
        <v>366.33</v>
      </c>
      <c r="D5069">
        <v>34.61</v>
      </c>
      <c r="E5069">
        <v>29.89</v>
      </c>
      <c r="F5069">
        <v>1.41</v>
      </c>
      <c r="G5069">
        <v>1.41</v>
      </c>
      <c r="H5069">
        <v>5690</v>
      </c>
      <c r="I5069">
        <v>12.26</v>
      </c>
      <c r="J5069">
        <v>44.08</v>
      </c>
      <c r="K5069" t="s">
        <v>1173</v>
      </c>
    </row>
    <row r="5070" spans="1:11">
      <c r="A5070" t="str">
        <f>"688618"</f>
        <v>688618</v>
      </c>
      <c r="B5070" t="s">
        <v>5427</v>
      </c>
      <c r="C5070">
        <v>40.32</v>
      </c>
      <c r="D5070">
        <v>10.49</v>
      </c>
      <c r="E5070">
        <v>8.78</v>
      </c>
      <c r="F5070">
        <v>1.1</v>
      </c>
      <c r="G5070">
        <v>1.1</v>
      </c>
      <c r="H5070">
        <v>4699</v>
      </c>
      <c r="I5070">
        <v>4.6</v>
      </c>
      <c r="J5070">
        <v>86.83</v>
      </c>
      <c r="K5070" t="s">
        <v>933</v>
      </c>
    </row>
    <row r="5071" spans="1:11">
      <c r="A5071" t="str">
        <f>"688619"</f>
        <v>688619</v>
      </c>
      <c r="B5071" t="s">
        <v>5428</v>
      </c>
      <c r="C5071">
        <v>27.2</v>
      </c>
      <c r="D5071">
        <v>14.38</v>
      </c>
      <c r="E5071">
        <v>8</v>
      </c>
      <c r="F5071">
        <v>1.85</v>
      </c>
      <c r="G5071">
        <v>1.85</v>
      </c>
      <c r="H5071">
        <v>8161</v>
      </c>
      <c r="I5071">
        <v>3.4</v>
      </c>
      <c r="J5071" t="s">
        <v>14</v>
      </c>
      <c r="K5071" t="s">
        <v>1022</v>
      </c>
    </row>
    <row r="5072" spans="1:11">
      <c r="A5072" t="str">
        <f>"688620"</f>
        <v>688620</v>
      </c>
      <c r="B5072" t="s">
        <v>5429</v>
      </c>
      <c r="C5072">
        <v>29.5</v>
      </c>
      <c r="D5072">
        <v>15.78</v>
      </c>
      <c r="E5072">
        <v>13.47</v>
      </c>
      <c r="F5072">
        <v>3.92</v>
      </c>
      <c r="G5072">
        <v>2.32</v>
      </c>
      <c r="H5072">
        <v>20757</v>
      </c>
      <c r="I5072">
        <v>3.7</v>
      </c>
      <c r="J5072" t="s">
        <v>14</v>
      </c>
      <c r="K5072" t="s">
        <v>691</v>
      </c>
    </row>
    <row r="5073" spans="1:11">
      <c r="A5073" t="str">
        <f>"688621"</f>
        <v>688621</v>
      </c>
      <c r="B5073" t="s">
        <v>5430</v>
      </c>
      <c r="C5073">
        <v>86.82</v>
      </c>
      <c r="D5073">
        <v>22.11</v>
      </c>
      <c r="E5073">
        <v>11.62</v>
      </c>
      <c r="F5073">
        <v>1.12</v>
      </c>
      <c r="G5073">
        <v>1.12</v>
      </c>
      <c r="H5073">
        <v>9204</v>
      </c>
      <c r="I5073">
        <v>7.47</v>
      </c>
      <c r="J5073">
        <v>39.88</v>
      </c>
      <c r="K5073" t="s">
        <v>1595</v>
      </c>
    </row>
    <row r="5074" spans="1:11">
      <c r="A5074" t="str">
        <f>"688622"</f>
        <v>688622</v>
      </c>
      <c r="B5074" t="s">
        <v>5431</v>
      </c>
      <c r="C5074">
        <v>77.99</v>
      </c>
      <c r="D5074">
        <v>8.05</v>
      </c>
      <c r="E5074">
        <v>3.67</v>
      </c>
      <c r="F5074">
        <v>0.7</v>
      </c>
      <c r="G5074">
        <v>0.7</v>
      </c>
      <c r="H5074">
        <v>3228</v>
      </c>
      <c r="I5074">
        <v>21.27</v>
      </c>
      <c r="J5074" t="s">
        <v>14</v>
      </c>
      <c r="K5074" t="s">
        <v>952</v>
      </c>
    </row>
    <row r="5075" spans="1:11">
      <c r="A5075" t="str">
        <f>"688623"</f>
        <v>688623</v>
      </c>
      <c r="B5075" t="s">
        <v>5432</v>
      </c>
      <c r="C5075">
        <v>20.3</v>
      </c>
      <c r="D5075">
        <v>26.25</v>
      </c>
      <c r="E5075">
        <v>21.08</v>
      </c>
      <c r="F5075">
        <v>0.59</v>
      </c>
      <c r="G5075">
        <v>0.19</v>
      </c>
      <c r="H5075">
        <v>6922</v>
      </c>
      <c r="I5075">
        <v>2.97</v>
      </c>
      <c r="J5075">
        <v>90.34</v>
      </c>
      <c r="K5075" t="s">
        <v>3039</v>
      </c>
    </row>
    <row r="5076" spans="1:11">
      <c r="A5076" t="str">
        <f>"688625"</f>
        <v>688625</v>
      </c>
      <c r="B5076" t="s">
        <v>5433</v>
      </c>
      <c r="C5076">
        <v>110.56</v>
      </c>
      <c r="D5076">
        <v>31.42</v>
      </c>
      <c r="E5076">
        <v>14.64</v>
      </c>
      <c r="F5076">
        <v>1.88</v>
      </c>
      <c r="G5076">
        <v>1.88</v>
      </c>
      <c r="H5076">
        <v>5462</v>
      </c>
      <c r="I5076">
        <v>7.55</v>
      </c>
      <c r="J5076">
        <v>36.4</v>
      </c>
      <c r="K5076" t="s">
        <v>1529</v>
      </c>
    </row>
    <row r="5077" spans="1:11">
      <c r="A5077" t="str">
        <f>"688626"</f>
        <v>688626</v>
      </c>
      <c r="B5077" t="s">
        <v>5434</v>
      </c>
      <c r="C5077">
        <v>130.4</v>
      </c>
      <c r="D5077">
        <v>32.72</v>
      </c>
      <c r="E5077">
        <v>20.27</v>
      </c>
      <c r="F5077">
        <v>1.6</v>
      </c>
      <c r="G5077">
        <v>1.6</v>
      </c>
      <c r="H5077">
        <v>9531</v>
      </c>
      <c r="I5077">
        <v>6.43</v>
      </c>
      <c r="J5077">
        <v>222.37</v>
      </c>
      <c r="K5077" t="s">
        <v>1836</v>
      </c>
    </row>
    <row r="5078" spans="1:11">
      <c r="A5078" t="str">
        <f>"688627"</f>
        <v>688627</v>
      </c>
      <c r="B5078" t="s">
        <v>5435</v>
      </c>
      <c r="C5078">
        <v>152.63</v>
      </c>
      <c r="D5078">
        <v>22.84</v>
      </c>
      <c r="E5078">
        <v>17.01</v>
      </c>
      <c r="F5078">
        <v>0.94</v>
      </c>
      <c r="G5078">
        <v>0.72</v>
      </c>
      <c r="H5078">
        <v>7063</v>
      </c>
      <c r="I5078">
        <v>11.66</v>
      </c>
      <c r="J5078">
        <v>358.69</v>
      </c>
      <c r="K5078" t="s">
        <v>493</v>
      </c>
    </row>
    <row r="5079" spans="1:11">
      <c r="A5079" t="str">
        <f>"688628"</f>
        <v>688628</v>
      </c>
      <c r="B5079" t="s">
        <v>5436</v>
      </c>
      <c r="C5079">
        <v>39.01</v>
      </c>
      <c r="D5079">
        <v>16.54</v>
      </c>
      <c r="E5079">
        <v>12.76</v>
      </c>
      <c r="F5079">
        <v>1.12</v>
      </c>
      <c r="G5079">
        <v>1.12</v>
      </c>
      <c r="H5079">
        <v>6593</v>
      </c>
      <c r="I5079">
        <v>3.06</v>
      </c>
      <c r="J5079">
        <v>21.65</v>
      </c>
      <c r="K5079" t="s">
        <v>952</v>
      </c>
    </row>
    <row r="5080" spans="1:11">
      <c r="A5080" t="str">
        <f>"688629"</f>
        <v>688629</v>
      </c>
      <c r="B5080" t="s">
        <v>5437</v>
      </c>
      <c r="C5080">
        <v>199</v>
      </c>
      <c r="D5080">
        <v>37.05</v>
      </c>
      <c r="E5080">
        <v>16.84</v>
      </c>
      <c r="F5080">
        <v>4.61</v>
      </c>
      <c r="G5080">
        <v>1.82</v>
      </c>
      <c r="H5080">
        <v>30591</v>
      </c>
      <c r="I5080">
        <v>29.98</v>
      </c>
      <c r="J5080">
        <v>169.67</v>
      </c>
      <c r="K5080" t="s">
        <v>223</v>
      </c>
    </row>
    <row r="5081" spans="1:11">
      <c r="A5081" t="str">
        <f>"688630"</f>
        <v>688630</v>
      </c>
      <c r="B5081" t="s">
        <v>5438</v>
      </c>
      <c r="C5081">
        <v>216.07</v>
      </c>
      <c r="D5081">
        <v>30.66</v>
      </c>
      <c r="E5081">
        <v>22.13</v>
      </c>
      <c r="F5081">
        <v>1.32</v>
      </c>
      <c r="G5081">
        <v>1.32</v>
      </c>
      <c r="H5081">
        <v>19276</v>
      </c>
      <c r="I5081">
        <v>9.76</v>
      </c>
      <c r="J5081">
        <v>81.51</v>
      </c>
      <c r="K5081" t="s">
        <v>493</v>
      </c>
    </row>
    <row r="5082" spans="1:11">
      <c r="A5082" t="str">
        <f>"688631"</f>
        <v>688631</v>
      </c>
      <c r="B5082" t="s">
        <v>5439</v>
      </c>
      <c r="C5082">
        <v>52.16</v>
      </c>
      <c r="D5082">
        <v>32.88</v>
      </c>
      <c r="E5082">
        <v>18.12</v>
      </c>
      <c r="F5082">
        <v>1.63</v>
      </c>
      <c r="G5082">
        <v>0.65</v>
      </c>
      <c r="H5082">
        <v>9632</v>
      </c>
      <c r="I5082">
        <v>7.26</v>
      </c>
      <c r="J5082" t="s">
        <v>14</v>
      </c>
      <c r="K5082" t="s">
        <v>117</v>
      </c>
    </row>
    <row r="5083" spans="1:11">
      <c r="A5083" t="str">
        <f>"688633"</f>
        <v>688633</v>
      </c>
      <c r="B5083" t="s">
        <v>5440</v>
      </c>
      <c r="C5083">
        <v>37.02</v>
      </c>
      <c r="D5083">
        <v>30.11</v>
      </c>
      <c r="E5083">
        <v>16.38</v>
      </c>
      <c r="F5083">
        <v>1.44</v>
      </c>
      <c r="G5083">
        <v>1.44</v>
      </c>
      <c r="H5083">
        <v>4207</v>
      </c>
      <c r="I5083">
        <v>2.3</v>
      </c>
      <c r="J5083">
        <v>34.36</v>
      </c>
      <c r="K5083" t="s">
        <v>491</v>
      </c>
    </row>
    <row r="5084" spans="1:11">
      <c r="A5084" t="str">
        <f>"688636"</f>
        <v>688636</v>
      </c>
      <c r="B5084" t="s">
        <v>5441</v>
      </c>
      <c r="C5084">
        <v>94.04</v>
      </c>
      <c r="D5084">
        <v>18.24</v>
      </c>
      <c r="E5084">
        <v>11.71</v>
      </c>
      <c r="F5084">
        <v>1.74</v>
      </c>
      <c r="G5084">
        <v>1.68</v>
      </c>
      <c r="H5084">
        <v>9837</v>
      </c>
      <c r="I5084">
        <v>8.03</v>
      </c>
      <c r="J5084">
        <v>89.25</v>
      </c>
      <c r="K5084" t="s">
        <v>223</v>
      </c>
    </row>
    <row r="5085" spans="1:11">
      <c r="A5085" t="str">
        <f>"688638"</f>
        <v>688638</v>
      </c>
      <c r="B5085" t="s">
        <v>5442</v>
      </c>
      <c r="C5085">
        <v>10.3</v>
      </c>
      <c r="D5085">
        <v>26.69</v>
      </c>
      <c r="E5085">
        <v>8.54</v>
      </c>
      <c r="F5085">
        <v>0.56</v>
      </c>
      <c r="G5085">
        <v>0.26</v>
      </c>
      <c r="H5085">
        <v>4774</v>
      </c>
      <c r="I5085">
        <v>2.55</v>
      </c>
      <c r="J5085" t="s">
        <v>14</v>
      </c>
      <c r="K5085" t="s">
        <v>1975</v>
      </c>
    </row>
    <row r="5086" spans="1:11">
      <c r="A5086" t="str">
        <f>"688639"</f>
        <v>688639</v>
      </c>
      <c r="B5086" t="s">
        <v>5443</v>
      </c>
      <c r="C5086">
        <v>99.75</v>
      </c>
      <c r="D5086">
        <v>56.72</v>
      </c>
      <c r="E5086">
        <v>26.82</v>
      </c>
      <c r="F5086">
        <v>2.5</v>
      </c>
      <c r="G5086">
        <v>2.5</v>
      </c>
      <c r="H5086">
        <v>10213</v>
      </c>
      <c r="I5086">
        <v>3.72</v>
      </c>
      <c r="J5086">
        <v>44.63</v>
      </c>
      <c r="K5086" t="s">
        <v>752</v>
      </c>
    </row>
    <row r="5087" spans="1:11">
      <c r="A5087" t="str">
        <f>"688646"</f>
        <v>688646</v>
      </c>
      <c r="B5087" t="s">
        <v>5444</v>
      </c>
      <c r="C5087">
        <v>21</v>
      </c>
      <c r="D5087">
        <v>28.84</v>
      </c>
      <c r="E5087">
        <v>14.83</v>
      </c>
      <c r="F5087">
        <v>0.95</v>
      </c>
      <c r="G5087">
        <v>0.59</v>
      </c>
      <c r="H5087">
        <v>5146</v>
      </c>
      <c r="I5087">
        <v>2.28</v>
      </c>
      <c r="J5087" t="s">
        <v>14</v>
      </c>
      <c r="K5087" t="s">
        <v>604</v>
      </c>
    </row>
    <row r="5088" spans="1:11">
      <c r="A5088" t="str">
        <f>"688648"</f>
        <v>688648</v>
      </c>
      <c r="B5088" t="s">
        <v>5445</v>
      </c>
      <c r="C5088">
        <v>48.13</v>
      </c>
      <c r="D5088">
        <v>32.43</v>
      </c>
      <c r="E5088">
        <v>22.3</v>
      </c>
      <c r="F5088">
        <v>1.36</v>
      </c>
      <c r="G5088">
        <v>0.7</v>
      </c>
      <c r="H5088">
        <v>7973</v>
      </c>
      <c r="I5088">
        <v>4.22</v>
      </c>
      <c r="J5088">
        <v>10.5</v>
      </c>
      <c r="K5088" t="s">
        <v>493</v>
      </c>
    </row>
    <row r="5089" spans="1:11">
      <c r="A5089" t="str">
        <f>"688651"</f>
        <v>688651</v>
      </c>
      <c r="B5089" t="s">
        <v>5446</v>
      </c>
      <c r="C5089">
        <v>17.78</v>
      </c>
      <c r="D5089">
        <v>10.87</v>
      </c>
      <c r="E5089">
        <v>9.28</v>
      </c>
      <c r="F5089">
        <v>0.75</v>
      </c>
      <c r="G5089">
        <v>0.32</v>
      </c>
      <c r="H5089">
        <v>5160</v>
      </c>
      <c r="I5089">
        <v>4.45</v>
      </c>
      <c r="J5089" t="s">
        <v>14</v>
      </c>
      <c r="K5089" t="s">
        <v>117</v>
      </c>
    </row>
    <row r="5090" spans="1:11">
      <c r="A5090" t="str">
        <f>"688652"</f>
        <v>688652</v>
      </c>
      <c r="B5090" t="s">
        <v>5447</v>
      </c>
      <c r="C5090">
        <v>139.08</v>
      </c>
      <c r="D5090">
        <v>45.11</v>
      </c>
      <c r="E5090">
        <v>21.82</v>
      </c>
      <c r="F5090">
        <v>1.68</v>
      </c>
      <c r="G5090">
        <v>1.21</v>
      </c>
      <c r="H5090">
        <v>11173</v>
      </c>
      <c r="I5090">
        <v>8.87</v>
      </c>
      <c r="J5090">
        <v>112.93</v>
      </c>
      <c r="K5090" t="s">
        <v>1160</v>
      </c>
    </row>
    <row r="5091" spans="1:11">
      <c r="A5091" t="str">
        <f>"688653"</f>
        <v>688653</v>
      </c>
      <c r="B5091" t="s">
        <v>5448</v>
      </c>
      <c r="C5091">
        <v>43.25</v>
      </c>
      <c r="D5091">
        <v>17.57</v>
      </c>
      <c r="E5091">
        <v>14.38</v>
      </c>
      <c r="F5091">
        <v>4.24</v>
      </c>
      <c r="G5091">
        <v>3.16</v>
      </c>
      <c r="H5091">
        <v>12628</v>
      </c>
      <c r="I5091">
        <v>4.04</v>
      </c>
      <c r="J5091" t="s">
        <v>14</v>
      </c>
      <c r="K5091" t="s">
        <v>691</v>
      </c>
    </row>
    <row r="5092" spans="1:11">
      <c r="A5092" t="str">
        <f>"688655"</f>
        <v>688655</v>
      </c>
      <c r="B5092" t="s">
        <v>5449</v>
      </c>
      <c r="C5092">
        <v>26.25</v>
      </c>
      <c r="D5092">
        <v>14.33</v>
      </c>
      <c r="E5092">
        <v>6.72</v>
      </c>
      <c r="F5092">
        <v>1.33</v>
      </c>
      <c r="G5092">
        <v>1.33</v>
      </c>
      <c r="H5092">
        <v>5784</v>
      </c>
      <c r="I5092">
        <v>3.91</v>
      </c>
      <c r="J5092" t="s">
        <v>14</v>
      </c>
      <c r="K5092" t="s">
        <v>472</v>
      </c>
    </row>
    <row r="5093" spans="1:11">
      <c r="A5093" t="str">
        <f>"688656"</f>
        <v>688656</v>
      </c>
      <c r="B5093" t="s">
        <v>5450</v>
      </c>
      <c r="C5093">
        <v>99.44</v>
      </c>
      <c r="D5093">
        <v>9.65</v>
      </c>
      <c r="E5093">
        <v>8.29</v>
      </c>
      <c r="F5093">
        <v>0.63</v>
      </c>
      <c r="G5093">
        <v>0.63</v>
      </c>
      <c r="H5093">
        <v>3727</v>
      </c>
      <c r="I5093">
        <v>11.99</v>
      </c>
      <c r="J5093">
        <v>284.78</v>
      </c>
      <c r="K5093" t="s">
        <v>775</v>
      </c>
    </row>
    <row r="5094" spans="1:11">
      <c r="A5094" t="str">
        <f>"688657"</f>
        <v>688657</v>
      </c>
      <c r="B5094" t="s">
        <v>5451</v>
      </c>
      <c r="C5094">
        <v>24.6</v>
      </c>
      <c r="D5094">
        <v>15.09</v>
      </c>
      <c r="E5094">
        <v>14.05</v>
      </c>
      <c r="F5094">
        <v>0.66</v>
      </c>
      <c r="G5094">
        <v>0.41</v>
      </c>
      <c r="H5094">
        <v>6908</v>
      </c>
      <c r="I5094">
        <v>2.79</v>
      </c>
      <c r="J5094">
        <v>70.88</v>
      </c>
      <c r="K5094" t="s">
        <v>117</v>
      </c>
    </row>
    <row r="5095" spans="1:11">
      <c r="A5095" t="str">
        <f>"688658"</f>
        <v>688658</v>
      </c>
      <c r="B5095" t="s">
        <v>5452</v>
      </c>
      <c r="C5095">
        <v>130.5</v>
      </c>
      <c r="D5095">
        <v>52.3</v>
      </c>
      <c r="E5095">
        <v>34.3</v>
      </c>
      <c r="F5095">
        <v>4.5</v>
      </c>
      <c r="G5095">
        <v>4.5</v>
      </c>
      <c r="H5095">
        <v>10690</v>
      </c>
      <c r="I5095">
        <v>3.81</v>
      </c>
      <c r="J5095" t="s">
        <v>14</v>
      </c>
      <c r="K5095" t="s">
        <v>109</v>
      </c>
    </row>
    <row r="5096" spans="1:11">
      <c r="A5096" t="str">
        <f>"688659"</f>
        <v>688659</v>
      </c>
      <c r="B5096" t="s">
        <v>5453</v>
      </c>
      <c r="C5096">
        <v>16.06</v>
      </c>
      <c r="D5096">
        <v>13.02</v>
      </c>
      <c r="E5096">
        <v>5.37</v>
      </c>
      <c r="F5096">
        <v>1.6</v>
      </c>
      <c r="G5096">
        <v>1.6</v>
      </c>
      <c r="H5096">
        <v>7217</v>
      </c>
      <c r="I5096">
        <v>2.99</v>
      </c>
      <c r="J5096">
        <v>220.31</v>
      </c>
      <c r="K5096" t="s">
        <v>228</v>
      </c>
    </row>
    <row r="5097" spans="1:11">
      <c r="A5097" t="str">
        <f>"688660"</f>
        <v>688660</v>
      </c>
      <c r="B5097" t="s">
        <v>5454</v>
      </c>
      <c r="C5097">
        <v>227.47</v>
      </c>
      <c r="D5097">
        <v>339.16</v>
      </c>
      <c r="E5097">
        <v>43.91</v>
      </c>
      <c r="F5097">
        <v>13.33</v>
      </c>
      <c r="G5097">
        <v>13.33</v>
      </c>
      <c r="H5097">
        <v>41384</v>
      </c>
      <c r="I5097">
        <v>5.18</v>
      </c>
      <c r="J5097" t="s">
        <v>14</v>
      </c>
      <c r="K5097" t="s">
        <v>982</v>
      </c>
    </row>
    <row r="5098" spans="1:11">
      <c r="A5098" t="str">
        <f>"688661"</f>
        <v>688661</v>
      </c>
      <c r="B5098" t="s">
        <v>5455</v>
      </c>
      <c r="C5098">
        <v>106.4</v>
      </c>
      <c r="D5098">
        <v>15.54</v>
      </c>
      <c r="E5098">
        <v>12.38</v>
      </c>
      <c r="F5098">
        <v>1.52</v>
      </c>
      <c r="G5098">
        <v>1.52</v>
      </c>
      <c r="H5098">
        <v>8045</v>
      </c>
      <c r="I5098">
        <v>8.6</v>
      </c>
      <c r="J5098">
        <v>216.96</v>
      </c>
      <c r="K5098" t="s">
        <v>41</v>
      </c>
    </row>
    <row r="5099" spans="1:11">
      <c r="A5099" t="str">
        <f>"688662"</f>
        <v>688662</v>
      </c>
      <c r="B5099" t="s">
        <v>5456</v>
      </c>
      <c r="C5099">
        <v>48.69</v>
      </c>
      <c r="D5099">
        <v>9.52</v>
      </c>
      <c r="E5099">
        <v>7.19</v>
      </c>
      <c r="F5099">
        <v>0.88</v>
      </c>
      <c r="G5099">
        <v>0.88</v>
      </c>
      <c r="H5099">
        <v>7720</v>
      </c>
      <c r="I5099">
        <v>6.78</v>
      </c>
      <c r="J5099">
        <v>111.6</v>
      </c>
      <c r="K5099" t="s">
        <v>82</v>
      </c>
    </row>
    <row r="5100" spans="1:11">
      <c r="A5100" t="str">
        <f>"688663"</f>
        <v>688663</v>
      </c>
      <c r="B5100" t="s">
        <v>5457</v>
      </c>
      <c r="C5100">
        <v>65.32</v>
      </c>
      <c r="D5100">
        <v>35.37</v>
      </c>
      <c r="E5100">
        <v>13.67</v>
      </c>
      <c r="F5100">
        <v>1.41</v>
      </c>
      <c r="G5100">
        <v>1.41</v>
      </c>
      <c r="H5100">
        <v>6329</v>
      </c>
      <c r="I5100">
        <v>4.78</v>
      </c>
      <c r="J5100">
        <v>59</v>
      </c>
      <c r="K5100" t="s">
        <v>127</v>
      </c>
    </row>
    <row r="5101" spans="1:11">
      <c r="A5101" t="str">
        <f>"688665"</f>
        <v>688665</v>
      </c>
      <c r="B5101" t="s">
        <v>5458</v>
      </c>
      <c r="C5101">
        <v>51.03</v>
      </c>
      <c r="D5101">
        <v>17.1</v>
      </c>
      <c r="E5101">
        <v>11.28</v>
      </c>
      <c r="F5101">
        <v>1.01</v>
      </c>
      <c r="G5101">
        <v>1.01</v>
      </c>
      <c r="H5101">
        <v>6908</v>
      </c>
      <c r="I5101">
        <v>4.52</v>
      </c>
      <c r="J5101">
        <v>35.69</v>
      </c>
      <c r="K5101" t="s">
        <v>952</v>
      </c>
    </row>
    <row r="5102" spans="1:11">
      <c r="A5102" t="str">
        <f>"688667"</f>
        <v>688667</v>
      </c>
      <c r="B5102" t="s">
        <v>5459</v>
      </c>
      <c r="C5102">
        <v>38.86</v>
      </c>
      <c r="D5102">
        <v>21.07</v>
      </c>
      <c r="E5102">
        <v>17.19</v>
      </c>
      <c r="F5102">
        <v>0.53</v>
      </c>
      <c r="G5102">
        <v>0.53</v>
      </c>
      <c r="H5102">
        <v>4786</v>
      </c>
      <c r="I5102">
        <v>2.24</v>
      </c>
      <c r="J5102">
        <v>39.01</v>
      </c>
      <c r="K5102" t="s">
        <v>530</v>
      </c>
    </row>
    <row r="5103" spans="1:11">
      <c r="A5103" t="str">
        <f>"688668"</f>
        <v>688668</v>
      </c>
      <c r="B5103" t="s">
        <v>5460</v>
      </c>
      <c r="C5103">
        <v>149.9</v>
      </c>
      <c r="D5103">
        <v>23.99</v>
      </c>
      <c r="E5103">
        <v>19.01</v>
      </c>
      <c r="F5103">
        <v>1.39</v>
      </c>
      <c r="G5103">
        <v>1.39</v>
      </c>
      <c r="H5103">
        <v>15163</v>
      </c>
      <c r="I5103">
        <v>7.88</v>
      </c>
      <c r="J5103">
        <v>63.67</v>
      </c>
      <c r="K5103" t="s">
        <v>972</v>
      </c>
    </row>
    <row r="5104" spans="1:11">
      <c r="A5104" t="str">
        <f>"688669"</f>
        <v>688669</v>
      </c>
      <c r="B5104" t="s">
        <v>5461</v>
      </c>
      <c r="C5104">
        <v>30.98</v>
      </c>
      <c r="D5104">
        <v>53.88</v>
      </c>
      <c r="E5104">
        <v>13.08</v>
      </c>
      <c r="F5104">
        <v>1.21</v>
      </c>
      <c r="G5104">
        <v>1.21</v>
      </c>
      <c r="H5104">
        <v>4754</v>
      </c>
      <c r="I5104">
        <v>2.37</v>
      </c>
      <c r="J5104">
        <v>402.76</v>
      </c>
      <c r="K5104" t="s">
        <v>1113</v>
      </c>
    </row>
    <row r="5105" spans="1:11">
      <c r="A5105" t="str">
        <f>"688670"</f>
        <v>688670</v>
      </c>
      <c r="B5105" t="s">
        <v>5462</v>
      </c>
      <c r="C5105">
        <v>27.15</v>
      </c>
      <c r="D5105">
        <v>14.48</v>
      </c>
      <c r="E5105">
        <v>11.91</v>
      </c>
      <c r="F5105">
        <v>1.23</v>
      </c>
      <c r="G5105">
        <v>1.23</v>
      </c>
      <c r="H5105">
        <v>4319</v>
      </c>
      <c r="I5105">
        <v>2.28</v>
      </c>
      <c r="J5105" t="s">
        <v>14</v>
      </c>
      <c r="K5105" t="s">
        <v>1921</v>
      </c>
    </row>
    <row r="5106" spans="1:11">
      <c r="A5106" t="str">
        <f>"688671"</f>
        <v>688671</v>
      </c>
      <c r="B5106" t="s">
        <v>5463</v>
      </c>
      <c r="C5106">
        <v>11.96</v>
      </c>
      <c r="D5106">
        <v>13.36</v>
      </c>
      <c r="E5106">
        <v>10.64</v>
      </c>
      <c r="F5106">
        <v>0.79</v>
      </c>
      <c r="G5106">
        <v>0.47</v>
      </c>
      <c r="H5106">
        <v>4182</v>
      </c>
      <c r="I5106">
        <v>1.88</v>
      </c>
      <c r="J5106" t="s">
        <v>14</v>
      </c>
      <c r="K5106" t="s">
        <v>1443</v>
      </c>
    </row>
    <row r="5107" spans="1:11">
      <c r="A5107" t="str">
        <f>"688676"</f>
        <v>688676</v>
      </c>
      <c r="B5107" t="s">
        <v>5464</v>
      </c>
      <c r="C5107">
        <v>445.72</v>
      </c>
      <c r="D5107">
        <v>102.33</v>
      </c>
      <c r="E5107">
        <v>47.16</v>
      </c>
      <c r="F5107">
        <v>4.6</v>
      </c>
      <c r="G5107">
        <v>4.6</v>
      </c>
      <c r="H5107">
        <v>14883</v>
      </c>
      <c r="I5107">
        <v>9.45</v>
      </c>
      <c r="J5107">
        <v>68.83</v>
      </c>
      <c r="K5107" t="s">
        <v>208</v>
      </c>
    </row>
    <row r="5108" spans="1:11">
      <c r="A5108" t="str">
        <f>"688677"</f>
        <v>688677</v>
      </c>
      <c r="B5108" t="s">
        <v>5465</v>
      </c>
      <c r="C5108">
        <v>57.53</v>
      </c>
      <c r="D5108">
        <v>16.01</v>
      </c>
      <c r="E5108">
        <v>13.18</v>
      </c>
      <c r="F5108">
        <v>1.2</v>
      </c>
      <c r="G5108">
        <v>1.2</v>
      </c>
      <c r="H5108">
        <v>5188</v>
      </c>
      <c r="I5108">
        <v>4.37</v>
      </c>
      <c r="J5108">
        <v>31.64</v>
      </c>
      <c r="K5108" t="s">
        <v>1836</v>
      </c>
    </row>
    <row r="5109" spans="1:11">
      <c r="A5109" t="str">
        <f>"688678"</f>
        <v>688678</v>
      </c>
      <c r="B5109" t="s">
        <v>5466</v>
      </c>
      <c r="C5109">
        <v>63.07</v>
      </c>
      <c r="D5109">
        <v>41.71</v>
      </c>
      <c r="E5109">
        <v>18.82</v>
      </c>
      <c r="F5109">
        <v>2.6</v>
      </c>
      <c r="G5109">
        <v>2.6</v>
      </c>
      <c r="H5109">
        <v>12043</v>
      </c>
      <c r="I5109">
        <v>3.4</v>
      </c>
      <c r="J5109">
        <v>139.58</v>
      </c>
      <c r="K5109" t="s">
        <v>41</v>
      </c>
    </row>
    <row r="5110" spans="1:11">
      <c r="A5110" t="str">
        <f>"688679"</f>
        <v>688679</v>
      </c>
      <c r="B5110" t="s">
        <v>5467</v>
      </c>
      <c r="C5110">
        <v>53.07</v>
      </c>
      <c r="D5110">
        <v>28.06</v>
      </c>
      <c r="E5110">
        <v>11.23</v>
      </c>
      <c r="F5110">
        <v>1.32</v>
      </c>
      <c r="G5110">
        <v>1.32</v>
      </c>
      <c r="H5110">
        <v>3693</v>
      </c>
      <c r="I5110">
        <v>4.73</v>
      </c>
      <c r="J5110" t="s">
        <v>14</v>
      </c>
      <c r="K5110" t="s">
        <v>59</v>
      </c>
    </row>
    <row r="5111" spans="1:11">
      <c r="A5111" t="str">
        <f>"688680"</f>
        <v>688680</v>
      </c>
      <c r="B5111" t="s">
        <v>5468</v>
      </c>
      <c r="C5111">
        <v>46.13</v>
      </c>
      <c r="D5111">
        <v>28.94</v>
      </c>
      <c r="E5111">
        <v>14.15</v>
      </c>
      <c r="F5111">
        <v>0.84</v>
      </c>
      <c r="G5111">
        <v>0.84</v>
      </c>
      <c r="H5111">
        <v>8122</v>
      </c>
      <c r="I5111">
        <v>3.72</v>
      </c>
      <c r="J5111" t="s">
        <v>14</v>
      </c>
      <c r="K5111" t="s">
        <v>667</v>
      </c>
    </row>
    <row r="5112" spans="1:11">
      <c r="A5112" t="str">
        <f>"688681"</f>
        <v>688681</v>
      </c>
      <c r="B5112" t="s">
        <v>5469</v>
      </c>
      <c r="C5112">
        <v>19.72</v>
      </c>
      <c r="D5112">
        <v>8.71</v>
      </c>
      <c r="E5112">
        <v>6.04</v>
      </c>
      <c r="F5112">
        <v>1.05</v>
      </c>
      <c r="G5112">
        <v>1.05</v>
      </c>
      <c r="H5112">
        <v>5386</v>
      </c>
      <c r="I5112">
        <v>3.26</v>
      </c>
      <c r="J5112">
        <v>41.86</v>
      </c>
      <c r="K5112" t="s">
        <v>127</v>
      </c>
    </row>
    <row r="5113" spans="1:11">
      <c r="A5113" t="str">
        <f>"688682"</f>
        <v>688682</v>
      </c>
      <c r="B5113" t="s">
        <v>5470</v>
      </c>
      <c r="C5113">
        <v>63.45</v>
      </c>
      <c r="D5113">
        <v>9.34</v>
      </c>
      <c r="E5113">
        <v>6.43</v>
      </c>
      <c r="F5113">
        <v>1.02</v>
      </c>
      <c r="G5113">
        <v>1.02</v>
      </c>
      <c r="H5113">
        <v>5848</v>
      </c>
      <c r="I5113">
        <v>9.86</v>
      </c>
      <c r="J5113">
        <v>675.93</v>
      </c>
      <c r="K5113" t="s">
        <v>223</v>
      </c>
    </row>
    <row r="5114" spans="1:11">
      <c r="A5114" t="str">
        <f>"688683"</f>
        <v>688683</v>
      </c>
      <c r="B5114" t="s">
        <v>5471</v>
      </c>
      <c r="C5114">
        <v>48.62</v>
      </c>
      <c r="D5114">
        <v>17.92</v>
      </c>
      <c r="E5114">
        <v>10.25</v>
      </c>
      <c r="F5114">
        <v>1.61</v>
      </c>
      <c r="G5114">
        <v>1.55</v>
      </c>
      <c r="H5114">
        <v>3745</v>
      </c>
      <c r="I5114">
        <v>4.74</v>
      </c>
      <c r="J5114">
        <v>122.82</v>
      </c>
      <c r="K5114" t="s">
        <v>41</v>
      </c>
    </row>
    <row r="5115" spans="1:11">
      <c r="A5115" t="str">
        <f>"688685"</f>
        <v>688685</v>
      </c>
      <c r="B5115" t="s">
        <v>5472</v>
      </c>
      <c r="C5115">
        <v>81.09</v>
      </c>
      <c r="D5115">
        <v>30.27</v>
      </c>
      <c r="E5115">
        <v>8.26</v>
      </c>
      <c r="F5115">
        <v>1.47</v>
      </c>
      <c r="G5115">
        <v>1.47</v>
      </c>
      <c r="H5115">
        <v>6170</v>
      </c>
      <c r="I5115">
        <v>9.72</v>
      </c>
      <c r="J5115">
        <v>107.94</v>
      </c>
      <c r="K5115" t="s">
        <v>353</v>
      </c>
    </row>
    <row r="5116" spans="1:11">
      <c r="A5116" t="str">
        <f>"688686"</f>
        <v>688686</v>
      </c>
      <c r="B5116" t="s">
        <v>5473</v>
      </c>
      <c r="C5116">
        <v>162.15</v>
      </c>
      <c r="D5116">
        <v>35.41</v>
      </c>
      <c r="E5116">
        <v>30.52</v>
      </c>
      <c r="F5116">
        <v>1.22</v>
      </c>
      <c r="G5116">
        <v>1.22</v>
      </c>
      <c r="H5116">
        <v>7070</v>
      </c>
      <c r="I5116">
        <v>5.31</v>
      </c>
      <c r="J5116">
        <v>66.58</v>
      </c>
      <c r="K5116" t="s">
        <v>663</v>
      </c>
    </row>
    <row r="5117" spans="1:11">
      <c r="A5117" t="str">
        <f>"688687"</f>
        <v>688687</v>
      </c>
      <c r="B5117" t="s">
        <v>5474</v>
      </c>
      <c r="C5117">
        <v>45.9</v>
      </c>
      <c r="D5117">
        <v>28.68</v>
      </c>
      <c r="E5117">
        <v>17.96</v>
      </c>
      <c r="F5117">
        <v>1.71</v>
      </c>
      <c r="G5117">
        <v>1.71</v>
      </c>
      <c r="H5117">
        <v>13584</v>
      </c>
      <c r="I5117">
        <v>2.56</v>
      </c>
      <c r="J5117">
        <v>33.58</v>
      </c>
      <c r="K5117" t="s">
        <v>184</v>
      </c>
    </row>
    <row r="5118" spans="1:11">
      <c r="A5118" t="str">
        <f>"688689"</f>
        <v>688689</v>
      </c>
      <c r="B5118" t="s">
        <v>5475</v>
      </c>
      <c r="C5118">
        <v>37.38</v>
      </c>
      <c r="D5118">
        <v>22.49</v>
      </c>
      <c r="E5118">
        <v>13.47</v>
      </c>
      <c r="F5118">
        <v>1.29</v>
      </c>
      <c r="G5118">
        <v>1.29</v>
      </c>
      <c r="H5118">
        <v>7659</v>
      </c>
      <c r="I5118">
        <v>3.1</v>
      </c>
      <c r="J5118">
        <v>60.56</v>
      </c>
      <c r="K5118" t="s">
        <v>1852</v>
      </c>
    </row>
    <row r="5119" spans="1:11">
      <c r="A5119" t="str">
        <f>"688690"</f>
        <v>688690</v>
      </c>
      <c r="B5119" t="s">
        <v>5476</v>
      </c>
      <c r="C5119">
        <v>121.35</v>
      </c>
      <c r="D5119">
        <v>23.41</v>
      </c>
      <c r="E5119">
        <v>18.75</v>
      </c>
      <c r="F5119">
        <v>4.04</v>
      </c>
      <c r="G5119">
        <v>4.04</v>
      </c>
      <c r="H5119">
        <v>16094</v>
      </c>
      <c r="I5119">
        <v>6.47</v>
      </c>
      <c r="J5119">
        <v>84.45</v>
      </c>
      <c r="K5119" t="s">
        <v>511</v>
      </c>
    </row>
    <row r="5120" spans="1:11">
      <c r="A5120" t="str">
        <f>"688691"</f>
        <v>688691</v>
      </c>
      <c r="B5120" t="s">
        <v>5477</v>
      </c>
      <c r="C5120">
        <v>98.71</v>
      </c>
      <c r="D5120">
        <v>16.77</v>
      </c>
      <c r="E5120">
        <v>12.54</v>
      </c>
      <c r="F5120">
        <v>1.2</v>
      </c>
      <c r="G5120">
        <v>0.71</v>
      </c>
      <c r="H5120">
        <v>11323</v>
      </c>
      <c r="I5120">
        <v>13.21</v>
      </c>
      <c r="J5120" t="s">
        <v>14</v>
      </c>
      <c r="K5120" t="s">
        <v>2240</v>
      </c>
    </row>
    <row r="5121" spans="1:11">
      <c r="A5121" t="str">
        <f>"688692"</f>
        <v>688692</v>
      </c>
      <c r="B5121" t="s">
        <v>5478</v>
      </c>
      <c r="C5121">
        <v>230.59</v>
      </c>
      <c r="D5121">
        <v>40.68</v>
      </c>
      <c r="E5121">
        <v>34.99</v>
      </c>
      <c r="F5121">
        <v>1.13</v>
      </c>
      <c r="G5121">
        <v>0.73</v>
      </c>
      <c r="H5121">
        <v>10988</v>
      </c>
      <c r="I5121">
        <v>10.2</v>
      </c>
      <c r="J5121">
        <v>81.21</v>
      </c>
      <c r="K5121" t="s">
        <v>17</v>
      </c>
    </row>
    <row r="5122" spans="1:11">
      <c r="A5122" t="str">
        <f>"688693"</f>
        <v>688693</v>
      </c>
      <c r="B5122" t="s">
        <v>5479</v>
      </c>
      <c r="C5122">
        <v>15.95</v>
      </c>
      <c r="D5122">
        <v>9.75</v>
      </c>
      <c r="E5122">
        <v>8.46</v>
      </c>
      <c r="F5122">
        <v>0.74</v>
      </c>
      <c r="G5122">
        <v>0.39</v>
      </c>
      <c r="H5122">
        <v>7344</v>
      </c>
      <c r="I5122">
        <v>3.57</v>
      </c>
      <c r="J5122" t="s">
        <v>14</v>
      </c>
      <c r="K5122" t="s">
        <v>1852</v>
      </c>
    </row>
    <row r="5123" spans="1:11">
      <c r="A5123" t="str">
        <f>"688695"</f>
        <v>688695</v>
      </c>
      <c r="B5123" t="s">
        <v>5480</v>
      </c>
      <c r="C5123">
        <v>15.33</v>
      </c>
      <c r="D5123">
        <v>8.2</v>
      </c>
      <c r="E5123">
        <v>7.8</v>
      </c>
      <c r="F5123">
        <v>0.85</v>
      </c>
      <c r="G5123">
        <v>0.51</v>
      </c>
      <c r="H5123">
        <v>5196</v>
      </c>
      <c r="I5123">
        <v>3.26</v>
      </c>
      <c r="J5123" t="s">
        <v>14</v>
      </c>
      <c r="K5123" t="s">
        <v>17</v>
      </c>
    </row>
    <row r="5124" spans="1:11">
      <c r="A5124" t="str">
        <f>"688696"</f>
        <v>688696</v>
      </c>
      <c r="B5124" t="s">
        <v>5481</v>
      </c>
      <c r="C5124">
        <v>78.69</v>
      </c>
      <c r="D5124">
        <v>54.37</v>
      </c>
      <c r="E5124">
        <v>28.88</v>
      </c>
      <c r="F5124">
        <v>0.7</v>
      </c>
      <c r="G5124">
        <v>0.7</v>
      </c>
      <c r="H5124">
        <v>8062</v>
      </c>
      <c r="I5124">
        <v>2.72</v>
      </c>
      <c r="J5124">
        <v>74.1</v>
      </c>
      <c r="K5124" t="s">
        <v>33</v>
      </c>
    </row>
    <row r="5125" spans="1:11">
      <c r="A5125" t="str">
        <f>"688697"</f>
        <v>688697</v>
      </c>
      <c r="B5125" t="s">
        <v>5482</v>
      </c>
      <c r="C5125">
        <v>73.45</v>
      </c>
      <c r="D5125">
        <v>43.61</v>
      </c>
      <c r="E5125">
        <v>17.48</v>
      </c>
      <c r="F5125">
        <v>4.57</v>
      </c>
      <c r="G5125">
        <v>4.57</v>
      </c>
      <c r="H5125">
        <v>13514</v>
      </c>
      <c r="I5125">
        <v>4.2</v>
      </c>
      <c r="J5125">
        <v>26.7</v>
      </c>
      <c r="K5125" t="s">
        <v>141</v>
      </c>
    </row>
    <row r="5126" spans="1:11">
      <c r="A5126" t="str">
        <f>"688698"</f>
        <v>688698</v>
      </c>
      <c r="B5126" t="s">
        <v>5483</v>
      </c>
      <c r="C5126">
        <v>212.13</v>
      </c>
      <c r="D5126">
        <v>36.36</v>
      </c>
      <c r="E5126">
        <v>23.15</v>
      </c>
      <c r="F5126">
        <v>2.14</v>
      </c>
      <c r="G5126">
        <v>2.14</v>
      </c>
      <c r="H5126">
        <v>9910</v>
      </c>
      <c r="I5126">
        <v>9.16</v>
      </c>
      <c r="J5126">
        <v>70.83</v>
      </c>
      <c r="K5126" t="s">
        <v>663</v>
      </c>
    </row>
    <row r="5127" spans="1:11">
      <c r="A5127" t="str">
        <f>"688699"</f>
        <v>688699</v>
      </c>
      <c r="B5127" t="s">
        <v>5484</v>
      </c>
      <c r="C5127">
        <v>51.48</v>
      </c>
      <c r="D5127">
        <v>15.34</v>
      </c>
      <c r="E5127">
        <v>12.11</v>
      </c>
      <c r="F5127">
        <v>1.1</v>
      </c>
      <c r="G5127">
        <v>1.1</v>
      </c>
      <c r="H5127">
        <v>9153</v>
      </c>
      <c r="I5127">
        <v>4.25</v>
      </c>
      <c r="J5127" t="s">
        <v>14</v>
      </c>
      <c r="K5127" t="s">
        <v>691</v>
      </c>
    </row>
    <row r="5128" spans="1:11">
      <c r="A5128" t="str">
        <f>"688700"</f>
        <v>688700</v>
      </c>
      <c r="B5128" t="s">
        <v>5485</v>
      </c>
      <c r="C5128">
        <v>110.98</v>
      </c>
      <c r="D5128">
        <v>31.45</v>
      </c>
      <c r="E5128">
        <v>17.96</v>
      </c>
      <c r="F5128">
        <v>2.98</v>
      </c>
      <c r="G5128">
        <v>2.98</v>
      </c>
      <c r="H5128">
        <v>13651</v>
      </c>
      <c r="I5128">
        <v>6.18</v>
      </c>
      <c r="J5128">
        <v>97.5</v>
      </c>
      <c r="K5128" t="s">
        <v>493</v>
      </c>
    </row>
    <row r="5129" spans="1:11">
      <c r="A5129" t="str">
        <f>"688701"</f>
        <v>688701</v>
      </c>
      <c r="B5129" t="s">
        <v>5486</v>
      </c>
      <c r="C5129">
        <v>12.04</v>
      </c>
      <c r="D5129">
        <v>4.85</v>
      </c>
      <c r="E5129">
        <v>1.47</v>
      </c>
      <c r="F5129">
        <v>1.34</v>
      </c>
      <c r="G5129">
        <v>1.34</v>
      </c>
      <c r="H5129">
        <v>3996</v>
      </c>
      <c r="I5129">
        <v>8.21</v>
      </c>
      <c r="J5129" t="s">
        <v>14</v>
      </c>
      <c r="K5129" t="s">
        <v>370</v>
      </c>
    </row>
    <row r="5130" spans="1:11">
      <c r="A5130" t="str">
        <f>"688702"</f>
        <v>688702</v>
      </c>
      <c r="B5130" t="s">
        <v>5487</v>
      </c>
      <c r="C5130">
        <v>281.02</v>
      </c>
      <c r="D5130">
        <v>26.95</v>
      </c>
      <c r="E5130">
        <v>23.76</v>
      </c>
      <c r="F5130">
        <v>4.1</v>
      </c>
      <c r="G5130">
        <v>2.03</v>
      </c>
      <c r="H5130">
        <v>13316</v>
      </c>
      <c r="I5130">
        <v>23.89</v>
      </c>
      <c r="J5130">
        <v>4543.64</v>
      </c>
      <c r="K5130" t="s">
        <v>691</v>
      </c>
    </row>
    <row r="5131" spans="1:11">
      <c r="A5131" t="str">
        <f>"688707"</f>
        <v>688707</v>
      </c>
      <c r="B5131" t="s">
        <v>5488</v>
      </c>
      <c r="C5131">
        <v>75.14</v>
      </c>
      <c r="D5131">
        <v>68.24</v>
      </c>
      <c r="E5131">
        <v>40.86</v>
      </c>
      <c r="F5131">
        <v>5.09</v>
      </c>
      <c r="G5131">
        <v>5.09</v>
      </c>
      <c r="H5131">
        <v>18204</v>
      </c>
      <c r="I5131">
        <v>1.84</v>
      </c>
      <c r="J5131" t="s">
        <v>14</v>
      </c>
      <c r="K5131" t="s">
        <v>24</v>
      </c>
    </row>
    <row r="5132" spans="1:11">
      <c r="A5132" t="str">
        <f>"688708"</f>
        <v>688708</v>
      </c>
      <c r="B5132" t="s">
        <v>5489</v>
      </c>
      <c r="C5132">
        <v>92.08</v>
      </c>
      <c r="D5132">
        <v>37.99</v>
      </c>
      <c r="E5132">
        <v>33.06</v>
      </c>
      <c r="F5132">
        <v>4</v>
      </c>
      <c r="G5132">
        <v>1.42</v>
      </c>
      <c r="H5132">
        <v>5446</v>
      </c>
      <c r="I5132">
        <v>7.83</v>
      </c>
      <c r="J5132">
        <v>78.1</v>
      </c>
      <c r="K5132" t="s">
        <v>353</v>
      </c>
    </row>
    <row r="5133" spans="1:11">
      <c r="A5133" t="str">
        <f>"688709"</f>
        <v>688709</v>
      </c>
      <c r="B5133" t="s">
        <v>5490</v>
      </c>
      <c r="C5133">
        <v>106.08</v>
      </c>
      <c r="D5133">
        <v>38.01</v>
      </c>
      <c r="E5133">
        <v>28.75</v>
      </c>
      <c r="F5133">
        <v>6.37</v>
      </c>
      <c r="G5133">
        <v>2.18</v>
      </c>
      <c r="H5133">
        <v>21658</v>
      </c>
      <c r="I5133">
        <v>10.78</v>
      </c>
      <c r="J5133">
        <v>371.4</v>
      </c>
      <c r="K5133" t="s">
        <v>691</v>
      </c>
    </row>
    <row r="5134" spans="1:11">
      <c r="A5134" t="str">
        <f>"688710"</f>
        <v>688710</v>
      </c>
      <c r="B5134" t="s">
        <v>5491</v>
      </c>
      <c r="C5134">
        <v>58.95</v>
      </c>
      <c r="D5134">
        <v>31.74</v>
      </c>
      <c r="E5134">
        <v>23.37</v>
      </c>
      <c r="F5134">
        <v>1.41</v>
      </c>
      <c r="G5134">
        <v>0.91</v>
      </c>
      <c r="H5134">
        <v>4849</v>
      </c>
      <c r="I5134">
        <v>3.92</v>
      </c>
      <c r="J5134" t="s">
        <v>14</v>
      </c>
      <c r="K5134" t="s">
        <v>1595</v>
      </c>
    </row>
    <row r="5135" spans="1:11">
      <c r="A5135" t="str">
        <f>"688711"</f>
        <v>688711</v>
      </c>
      <c r="B5135" t="s">
        <v>5492</v>
      </c>
      <c r="C5135">
        <v>66.89</v>
      </c>
      <c r="D5135">
        <v>25.65</v>
      </c>
      <c r="E5135">
        <v>10.75</v>
      </c>
      <c r="F5135">
        <v>2.13</v>
      </c>
      <c r="G5135">
        <v>2.13</v>
      </c>
      <c r="H5135">
        <v>12586</v>
      </c>
      <c r="I5135">
        <v>6.43</v>
      </c>
      <c r="J5135">
        <v>935.03</v>
      </c>
      <c r="K5135" t="s">
        <v>1852</v>
      </c>
    </row>
    <row r="5136" spans="1:11">
      <c r="A5136" t="str">
        <f>"688716"</f>
        <v>688716</v>
      </c>
      <c r="B5136" t="s">
        <v>5493</v>
      </c>
      <c r="C5136">
        <v>29.05</v>
      </c>
      <c r="D5136">
        <v>13.55</v>
      </c>
      <c r="E5136">
        <v>11.83</v>
      </c>
      <c r="F5136">
        <v>1.22</v>
      </c>
      <c r="G5136">
        <v>0.7</v>
      </c>
      <c r="H5136">
        <v>16041</v>
      </c>
      <c r="I5136">
        <v>4.27</v>
      </c>
      <c r="J5136">
        <v>363.58</v>
      </c>
      <c r="K5136" t="s">
        <v>601</v>
      </c>
    </row>
    <row r="5137" spans="1:11">
      <c r="A5137" t="str">
        <f>"688717"</f>
        <v>688717</v>
      </c>
      <c r="B5137" t="s">
        <v>5494</v>
      </c>
      <c r="C5137">
        <v>73.06</v>
      </c>
      <c r="D5137">
        <v>73.14</v>
      </c>
      <c r="E5137">
        <v>45.51</v>
      </c>
      <c r="F5137">
        <v>1.6</v>
      </c>
      <c r="G5137">
        <v>0.99</v>
      </c>
      <c r="H5137">
        <v>10570</v>
      </c>
      <c r="I5137">
        <v>2.59</v>
      </c>
      <c r="J5137">
        <v>58.88</v>
      </c>
      <c r="K5137" t="s">
        <v>2070</v>
      </c>
    </row>
    <row r="5138" spans="1:11">
      <c r="A5138" t="str">
        <f>"688718"</f>
        <v>688718</v>
      </c>
      <c r="B5138" t="s">
        <v>5495</v>
      </c>
      <c r="C5138">
        <v>24.01</v>
      </c>
      <c r="D5138">
        <v>9.2</v>
      </c>
      <c r="E5138">
        <v>7.78</v>
      </c>
      <c r="F5138">
        <v>1.74</v>
      </c>
      <c r="G5138">
        <v>1.74</v>
      </c>
      <c r="H5138">
        <v>5708</v>
      </c>
      <c r="I5138">
        <v>3.08</v>
      </c>
      <c r="J5138">
        <v>66.78</v>
      </c>
      <c r="K5138" t="s">
        <v>549</v>
      </c>
    </row>
    <row r="5139" spans="1:11">
      <c r="A5139" t="str">
        <f>"688719"</f>
        <v>688719</v>
      </c>
      <c r="B5139" t="s">
        <v>5496</v>
      </c>
      <c r="C5139">
        <v>51.36</v>
      </c>
      <c r="D5139">
        <v>23.38</v>
      </c>
      <c r="E5139">
        <v>16.96</v>
      </c>
      <c r="F5139">
        <v>1.15</v>
      </c>
      <c r="G5139">
        <v>0.9</v>
      </c>
      <c r="H5139">
        <v>7003</v>
      </c>
      <c r="I5139">
        <v>3.89</v>
      </c>
      <c r="J5139" t="s">
        <v>14</v>
      </c>
      <c r="K5139" t="s">
        <v>1010</v>
      </c>
    </row>
    <row r="5140" spans="1:11">
      <c r="A5140" t="str">
        <f>"688720"</f>
        <v>688720</v>
      </c>
      <c r="B5140" t="s">
        <v>5497</v>
      </c>
      <c r="C5140">
        <v>41.95</v>
      </c>
      <c r="D5140">
        <v>13.53</v>
      </c>
      <c r="E5140">
        <v>10.1</v>
      </c>
      <c r="F5140">
        <v>0.88</v>
      </c>
      <c r="G5140">
        <v>0.56</v>
      </c>
      <c r="H5140">
        <v>7993</v>
      </c>
      <c r="I5140">
        <v>6.49</v>
      </c>
      <c r="J5140">
        <v>142.65</v>
      </c>
      <c r="K5140" t="s">
        <v>884</v>
      </c>
    </row>
    <row r="5141" spans="1:11">
      <c r="A5141" t="str">
        <f>"688721"</f>
        <v>688721</v>
      </c>
      <c r="B5141" t="s">
        <v>5498</v>
      </c>
      <c r="C5141">
        <v>26.1</v>
      </c>
      <c r="D5141">
        <v>14</v>
      </c>
      <c r="E5141">
        <v>12.06</v>
      </c>
      <c r="F5141">
        <v>1.34</v>
      </c>
      <c r="G5141">
        <v>0.53</v>
      </c>
      <c r="H5141">
        <v>9753</v>
      </c>
      <c r="I5141">
        <v>5.4</v>
      </c>
      <c r="J5141">
        <v>94.33</v>
      </c>
      <c r="K5141" t="s">
        <v>884</v>
      </c>
    </row>
    <row r="5142" spans="1:11">
      <c r="A5142" t="str">
        <f>"688722"</f>
        <v>688722</v>
      </c>
      <c r="B5142" t="s">
        <v>5499</v>
      </c>
      <c r="C5142">
        <v>46.68</v>
      </c>
      <c r="D5142">
        <v>21.23</v>
      </c>
      <c r="E5142">
        <v>14.13</v>
      </c>
      <c r="F5142">
        <v>2.25</v>
      </c>
      <c r="G5142">
        <v>2.24</v>
      </c>
      <c r="H5142">
        <v>9181</v>
      </c>
      <c r="I5142">
        <v>3.31</v>
      </c>
      <c r="J5142">
        <v>37.73</v>
      </c>
      <c r="K5142" t="s">
        <v>727</v>
      </c>
    </row>
    <row r="5143" spans="1:11">
      <c r="A5143" t="str">
        <f>"688726"</f>
        <v>688726</v>
      </c>
      <c r="B5143" t="s">
        <v>5500</v>
      </c>
      <c r="C5143">
        <v>92.7</v>
      </c>
      <c r="D5143">
        <v>101.38</v>
      </c>
      <c r="E5143">
        <v>40.2</v>
      </c>
      <c r="F5143">
        <v>4.05</v>
      </c>
      <c r="G5143">
        <v>2.2</v>
      </c>
      <c r="H5143">
        <v>8774</v>
      </c>
      <c r="I5143">
        <v>4.25</v>
      </c>
      <c r="J5143">
        <v>21.79</v>
      </c>
      <c r="K5143" t="s">
        <v>469</v>
      </c>
    </row>
    <row r="5144" spans="1:11">
      <c r="A5144" t="str">
        <f>"688727"</f>
        <v>688727</v>
      </c>
      <c r="B5144" t="s">
        <v>5501</v>
      </c>
      <c r="C5144">
        <v>29.17</v>
      </c>
      <c r="D5144">
        <v>29.95</v>
      </c>
      <c r="E5144">
        <v>15.86</v>
      </c>
      <c r="F5144">
        <v>4.49</v>
      </c>
      <c r="G5144">
        <v>0.5</v>
      </c>
      <c r="H5144">
        <v>37684</v>
      </c>
      <c r="I5144">
        <v>10.53</v>
      </c>
      <c r="J5144">
        <v>264.73</v>
      </c>
      <c r="K5144" t="s">
        <v>884</v>
      </c>
    </row>
    <row r="5145" spans="1:11">
      <c r="A5145" t="str">
        <f>"688728"</f>
        <v>688728</v>
      </c>
      <c r="B5145" t="s">
        <v>5502</v>
      </c>
      <c r="C5145">
        <v>403.07</v>
      </c>
      <c r="D5145">
        <v>234.59</v>
      </c>
      <c r="E5145">
        <v>78.21</v>
      </c>
      <c r="F5145">
        <v>26.01</v>
      </c>
      <c r="G5145">
        <v>24.99</v>
      </c>
      <c r="H5145">
        <v>29067</v>
      </c>
      <c r="I5145">
        <v>5.36</v>
      </c>
      <c r="J5145">
        <v>626.85</v>
      </c>
      <c r="K5145" t="s">
        <v>691</v>
      </c>
    </row>
    <row r="5146" spans="1:11">
      <c r="A5146" t="str">
        <f>"688729"</f>
        <v>688729</v>
      </c>
      <c r="B5146" t="s">
        <v>5503</v>
      </c>
      <c r="C5146">
        <v>56.48</v>
      </c>
      <c r="D5146">
        <v>116.41</v>
      </c>
      <c r="E5146">
        <v>87.92</v>
      </c>
      <c r="F5146">
        <v>29.56</v>
      </c>
      <c r="G5146">
        <v>2.15</v>
      </c>
      <c r="H5146">
        <v>40743</v>
      </c>
      <c r="I5146">
        <v>8.83</v>
      </c>
      <c r="J5146">
        <v>112.93</v>
      </c>
      <c r="K5146" t="s">
        <v>1160</v>
      </c>
    </row>
    <row r="5147" spans="1:11">
      <c r="A5147" t="str">
        <f>"688733"</f>
        <v>688733</v>
      </c>
      <c r="B5147" t="s">
        <v>5504</v>
      </c>
      <c r="C5147">
        <v>62.53</v>
      </c>
      <c r="D5147">
        <v>34.64</v>
      </c>
      <c r="E5147">
        <v>21.69</v>
      </c>
      <c r="F5147">
        <v>2</v>
      </c>
      <c r="G5147">
        <v>2</v>
      </c>
      <c r="H5147">
        <v>13595</v>
      </c>
      <c r="I5147">
        <v>2.88</v>
      </c>
      <c r="J5147" t="s">
        <v>14</v>
      </c>
      <c r="K5147" t="s">
        <v>24</v>
      </c>
    </row>
    <row r="5148" spans="1:11">
      <c r="A5148" t="str">
        <f>"688737"</f>
        <v>688737</v>
      </c>
      <c r="B5148" t="s">
        <v>5505</v>
      </c>
      <c r="C5148">
        <v>28.68</v>
      </c>
      <c r="D5148">
        <v>33.92</v>
      </c>
      <c r="E5148">
        <v>17.99</v>
      </c>
      <c r="F5148">
        <v>1.2</v>
      </c>
      <c r="G5148">
        <v>1.2</v>
      </c>
      <c r="H5148">
        <v>8272</v>
      </c>
      <c r="I5148">
        <v>1.59</v>
      </c>
      <c r="J5148" t="s">
        <v>14</v>
      </c>
      <c r="K5148" t="s">
        <v>517</v>
      </c>
    </row>
    <row r="5149" spans="1:11">
      <c r="A5149" t="str">
        <f>"688739"</f>
        <v>688739</v>
      </c>
      <c r="B5149" t="s">
        <v>5506</v>
      </c>
      <c r="C5149">
        <v>112.57</v>
      </c>
      <c r="D5149">
        <v>98.03</v>
      </c>
      <c r="E5149">
        <v>93.87</v>
      </c>
      <c r="F5149">
        <v>4.16</v>
      </c>
      <c r="G5149">
        <v>4.16</v>
      </c>
      <c r="H5149">
        <v>24286</v>
      </c>
      <c r="I5149">
        <v>1.2</v>
      </c>
      <c r="J5149">
        <v>51.22</v>
      </c>
      <c r="K5149" t="s">
        <v>1921</v>
      </c>
    </row>
    <row r="5150" spans="1:11">
      <c r="A5150" t="str">
        <f>"688750"</f>
        <v>688750</v>
      </c>
      <c r="B5150" t="s">
        <v>5507</v>
      </c>
      <c r="C5150">
        <v>48.19</v>
      </c>
      <c r="D5150">
        <v>35.6</v>
      </c>
      <c r="E5150">
        <v>24.52</v>
      </c>
      <c r="F5150">
        <v>4.63</v>
      </c>
      <c r="G5150">
        <v>2.33</v>
      </c>
      <c r="H5150">
        <v>13592</v>
      </c>
      <c r="I5150">
        <v>3.9</v>
      </c>
      <c r="J5150">
        <v>151.35</v>
      </c>
      <c r="K5150" t="s">
        <v>919</v>
      </c>
    </row>
    <row r="5151" spans="1:11">
      <c r="A5151" t="str">
        <f>"688755"</f>
        <v>688755</v>
      </c>
      <c r="B5151" t="s">
        <v>5508</v>
      </c>
      <c r="C5151">
        <v>7.4</v>
      </c>
      <c r="D5151">
        <v>18.52</v>
      </c>
      <c r="E5151">
        <v>12.15</v>
      </c>
      <c r="F5151">
        <v>0.88</v>
      </c>
      <c r="G5151">
        <v>0.18</v>
      </c>
      <c r="H5151">
        <v>8687</v>
      </c>
      <c r="I5151">
        <v>3.04</v>
      </c>
      <c r="J5151">
        <v>74.96</v>
      </c>
      <c r="K5151" t="s">
        <v>493</v>
      </c>
    </row>
    <row r="5152" spans="1:11">
      <c r="A5152" t="str">
        <f>"688757"</f>
        <v>688757</v>
      </c>
      <c r="B5152" t="s">
        <v>5509</v>
      </c>
      <c r="C5152">
        <v>10.35</v>
      </c>
      <c r="D5152">
        <v>17.89</v>
      </c>
      <c r="E5152">
        <v>9.02</v>
      </c>
      <c r="F5152">
        <v>4.03</v>
      </c>
      <c r="G5152">
        <v>0.35</v>
      </c>
      <c r="H5152">
        <v>9036</v>
      </c>
      <c r="I5152">
        <v>13.19</v>
      </c>
      <c r="J5152">
        <v>157.85</v>
      </c>
      <c r="K5152" t="s">
        <v>1733</v>
      </c>
    </row>
    <row r="5153" spans="1:11">
      <c r="A5153" t="str">
        <f>"688758"</f>
        <v>688758</v>
      </c>
      <c r="B5153" t="s">
        <v>5510</v>
      </c>
      <c r="C5153">
        <v>56.74</v>
      </c>
      <c r="D5153">
        <v>14.27</v>
      </c>
      <c r="E5153">
        <v>13.2</v>
      </c>
      <c r="F5153">
        <v>4.16</v>
      </c>
      <c r="G5153">
        <v>2.98</v>
      </c>
      <c r="H5153">
        <v>7159</v>
      </c>
      <c r="I5153">
        <v>6.01</v>
      </c>
      <c r="J5153">
        <v>63.77</v>
      </c>
      <c r="K5153" t="s">
        <v>348</v>
      </c>
    </row>
    <row r="5154" spans="1:11">
      <c r="A5154" t="str">
        <f>"688759"</f>
        <v>688759</v>
      </c>
      <c r="B5154" t="s">
        <v>5511</v>
      </c>
      <c r="C5154">
        <v>22.34</v>
      </c>
      <c r="D5154">
        <v>2.51</v>
      </c>
      <c r="E5154">
        <v>2.15</v>
      </c>
      <c r="F5154">
        <v>4.5</v>
      </c>
      <c r="G5154">
        <v>0.46</v>
      </c>
      <c r="H5154">
        <v>14163</v>
      </c>
      <c r="I5154">
        <v>12.68</v>
      </c>
      <c r="J5154" t="s">
        <v>14</v>
      </c>
      <c r="K5154" t="s">
        <v>210</v>
      </c>
    </row>
    <row r="5155" spans="1:11">
      <c r="A5155" t="str">
        <f>"688765"</f>
        <v>688765</v>
      </c>
      <c r="B5155" t="s">
        <v>5512</v>
      </c>
      <c r="C5155">
        <v>34.95</v>
      </c>
      <c r="D5155">
        <v>14.64</v>
      </c>
      <c r="E5155">
        <v>4.97</v>
      </c>
      <c r="F5155">
        <v>3.58</v>
      </c>
      <c r="G5155">
        <v>0.41</v>
      </c>
      <c r="H5155">
        <v>47138</v>
      </c>
      <c r="I5155">
        <v>10.42</v>
      </c>
      <c r="J5155" t="s">
        <v>14</v>
      </c>
      <c r="K5155" t="s">
        <v>132</v>
      </c>
    </row>
    <row r="5156" spans="1:11">
      <c r="A5156" t="str">
        <f>"688766"</f>
        <v>688766</v>
      </c>
      <c r="B5156" t="s">
        <v>5513</v>
      </c>
      <c r="C5156">
        <v>254.94</v>
      </c>
      <c r="D5156">
        <v>26.21</v>
      </c>
      <c r="E5156">
        <v>22.73</v>
      </c>
      <c r="F5156">
        <v>1.48</v>
      </c>
      <c r="G5156">
        <v>1.48</v>
      </c>
      <c r="H5156">
        <v>16939</v>
      </c>
      <c r="I5156">
        <v>11.22</v>
      </c>
      <c r="J5156">
        <v>323.81</v>
      </c>
      <c r="K5156" t="s">
        <v>691</v>
      </c>
    </row>
    <row r="5157" spans="1:11">
      <c r="A5157" t="str">
        <f>"688767"</f>
        <v>688767</v>
      </c>
      <c r="B5157" t="s">
        <v>5514</v>
      </c>
      <c r="C5157">
        <v>65.84</v>
      </c>
      <c r="D5157">
        <v>24.75</v>
      </c>
      <c r="E5157">
        <v>23.39</v>
      </c>
      <c r="F5157">
        <v>1.49</v>
      </c>
      <c r="G5157">
        <v>1.49</v>
      </c>
      <c r="H5157">
        <v>7146</v>
      </c>
      <c r="I5157">
        <v>2.82</v>
      </c>
      <c r="J5157">
        <v>221.8</v>
      </c>
      <c r="K5157" t="s">
        <v>775</v>
      </c>
    </row>
    <row r="5158" spans="1:11">
      <c r="A5158" t="str">
        <f>"688768"</f>
        <v>688768</v>
      </c>
      <c r="B5158" t="s">
        <v>5515</v>
      </c>
      <c r="C5158">
        <v>46.27</v>
      </c>
      <c r="D5158">
        <v>13.44</v>
      </c>
      <c r="E5158">
        <v>10.52</v>
      </c>
      <c r="F5158">
        <v>0.88</v>
      </c>
      <c r="G5158">
        <v>0.87</v>
      </c>
      <c r="H5158">
        <v>5371</v>
      </c>
      <c r="I5158">
        <v>4.43</v>
      </c>
      <c r="J5158">
        <v>130.09</v>
      </c>
      <c r="K5158" t="s">
        <v>952</v>
      </c>
    </row>
    <row r="5159" spans="1:11">
      <c r="A5159" t="str">
        <f>"688772"</f>
        <v>688772</v>
      </c>
      <c r="B5159" t="s">
        <v>5516</v>
      </c>
      <c r="C5159">
        <v>230.6</v>
      </c>
      <c r="D5159">
        <v>258.84</v>
      </c>
      <c r="E5159">
        <v>75.21</v>
      </c>
      <c r="F5159">
        <v>11.32</v>
      </c>
      <c r="G5159">
        <v>11.32</v>
      </c>
      <c r="H5159">
        <v>21690</v>
      </c>
      <c r="I5159">
        <v>3.23</v>
      </c>
      <c r="J5159">
        <v>44.71</v>
      </c>
      <c r="K5159" t="s">
        <v>70</v>
      </c>
    </row>
    <row r="5160" spans="1:11">
      <c r="A5160" t="str">
        <f>"688775"</f>
        <v>688775</v>
      </c>
      <c r="B5160" t="s">
        <v>5517</v>
      </c>
      <c r="C5160">
        <v>82.12</v>
      </c>
      <c r="D5160">
        <v>92</v>
      </c>
      <c r="E5160">
        <v>57.24</v>
      </c>
      <c r="F5160">
        <v>4.01</v>
      </c>
      <c r="G5160">
        <v>0.33</v>
      </c>
      <c r="H5160">
        <v>23127</v>
      </c>
      <c r="I5160">
        <v>17.54</v>
      </c>
      <c r="J5160">
        <v>95.11</v>
      </c>
      <c r="K5160" t="s">
        <v>689</v>
      </c>
    </row>
    <row r="5161" spans="1:11">
      <c r="A5161" t="str">
        <f>"688776"</f>
        <v>688776</v>
      </c>
      <c r="B5161" t="s">
        <v>5518</v>
      </c>
      <c r="C5161">
        <v>148.43</v>
      </c>
      <c r="D5161">
        <v>24.14</v>
      </c>
      <c r="E5161">
        <v>18.15</v>
      </c>
      <c r="F5161">
        <v>1.08</v>
      </c>
      <c r="G5161">
        <v>1.08</v>
      </c>
      <c r="H5161">
        <v>8431</v>
      </c>
      <c r="I5161">
        <v>8.18</v>
      </c>
      <c r="J5161" t="s">
        <v>14</v>
      </c>
      <c r="K5161" t="s">
        <v>223</v>
      </c>
    </row>
    <row r="5162" spans="1:11">
      <c r="A5162" t="str">
        <f>"688777"</f>
        <v>688777</v>
      </c>
      <c r="B5162" t="s">
        <v>5519</v>
      </c>
      <c r="C5162">
        <v>534.94</v>
      </c>
      <c r="D5162">
        <v>183.82</v>
      </c>
      <c r="E5162">
        <v>102.01</v>
      </c>
      <c r="F5162">
        <v>7.91</v>
      </c>
      <c r="G5162">
        <v>7.83</v>
      </c>
      <c r="H5162">
        <v>43771</v>
      </c>
      <c r="I5162">
        <v>5.3</v>
      </c>
      <c r="J5162">
        <v>93.9</v>
      </c>
      <c r="K5162" t="s">
        <v>663</v>
      </c>
    </row>
    <row r="5163" spans="1:11">
      <c r="A5163" t="str">
        <f>"688778"</f>
        <v>688778</v>
      </c>
      <c r="B5163" t="s">
        <v>5520</v>
      </c>
      <c r="C5163">
        <v>449.18</v>
      </c>
      <c r="D5163">
        <v>174.13</v>
      </c>
      <c r="E5163">
        <v>90.09</v>
      </c>
      <c r="F5163">
        <v>5.05</v>
      </c>
      <c r="G5163">
        <v>5.05</v>
      </c>
      <c r="H5163">
        <v>24627</v>
      </c>
      <c r="I5163">
        <v>4.99</v>
      </c>
      <c r="J5163">
        <v>61.01</v>
      </c>
      <c r="K5163" t="s">
        <v>24</v>
      </c>
    </row>
    <row r="5164" spans="1:11">
      <c r="A5164" t="str">
        <f>"688779"</f>
        <v>688779</v>
      </c>
      <c r="B5164" t="s">
        <v>5521</v>
      </c>
      <c r="C5164">
        <v>165.91</v>
      </c>
      <c r="D5164">
        <v>141.21</v>
      </c>
      <c r="E5164">
        <v>70.22</v>
      </c>
      <c r="F5164">
        <v>19.29</v>
      </c>
      <c r="G5164">
        <v>19.29</v>
      </c>
      <c r="H5164">
        <v>49658</v>
      </c>
      <c r="I5164">
        <v>2.47</v>
      </c>
      <c r="J5164" t="s">
        <v>14</v>
      </c>
      <c r="K5164" t="s">
        <v>24</v>
      </c>
    </row>
    <row r="5165" spans="1:11">
      <c r="A5165" t="str">
        <f>"688783"</f>
        <v>688783</v>
      </c>
      <c r="B5165" t="s">
        <v>5522</v>
      </c>
      <c r="C5165">
        <v>42.14</v>
      </c>
      <c r="D5165">
        <v>173.31</v>
      </c>
      <c r="E5165">
        <v>80.78</v>
      </c>
      <c r="F5165">
        <v>40.38</v>
      </c>
      <c r="G5165">
        <v>1.65</v>
      </c>
      <c r="H5165">
        <v>50000</v>
      </c>
      <c r="I5165">
        <v>8.21</v>
      </c>
      <c r="J5165" t="s">
        <v>14</v>
      </c>
      <c r="K5165" t="s">
        <v>884</v>
      </c>
    </row>
    <row r="5166" spans="1:11">
      <c r="A5166" t="str">
        <f>"688786"</f>
        <v>688786</v>
      </c>
      <c r="B5166" t="s">
        <v>5523</v>
      </c>
      <c r="C5166">
        <v>43.36</v>
      </c>
      <c r="D5166">
        <v>10.58</v>
      </c>
      <c r="E5166">
        <v>7.47</v>
      </c>
      <c r="F5166">
        <v>1.44</v>
      </c>
      <c r="G5166">
        <v>1.44</v>
      </c>
      <c r="H5166">
        <v>5289</v>
      </c>
      <c r="I5166">
        <v>5.81</v>
      </c>
      <c r="J5166">
        <v>52.95</v>
      </c>
      <c r="K5166" t="s">
        <v>307</v>
      </c>
    </row>
    <row r="5167" spans="1:11">
      <c r="A5167" t="str">
        <f>"688787"</f>
        <v>688787</v>
      </c>
      <c r="B5167" t="s">
        <v>5524</v>
      </c>
      <c r="C5167">
        <v>110.79</v>
      </c>
      <c r="D5167">
        <v>8.47</v>
      </c>
      <c r="E5167">
        <v>7.31</v>
      </c>
      <c r="F5167">
        <v>0.6</v>
      </c>
      <c r="G5167">
        <v>0.6</v>
      </c>
      <c r="H5167">
        <v>12648</v>
      </c>
      <c r="I5167">
        <v>15.17</v>
      </c>
      <c r="J5167">
        <v>1988.06</v>
      </c>
      <c r="K5167" t="s">
        <v>1014</v>
      </c>
    </row>
    <row r="5168" spans="1:11">
      <c r="A5168" t="str">
        <f>"688788"</f>
        <v>688788</v>
      </c>
      <c r="B5168" t="s">
        <v>5525</v>
      </c>
      <c r="C5168">
        <v>108.09</v>
      </c>
      <c r="D5168">
        <v>21.03</v>
      </c>
      <c r="E5168">
        <v>19.38</v>
      </c>
      <c r="F5168">
        <v>1.57</v>
      </c>
      <c r="G5168">
        <v>1.57</v>
      </c>
      <c r="H5168">
        <v>11453</v>
      </c>
      <c r="I5168">
        <v>5.58</v>
      </c>
      <c r="J5168" t="s">
        <v>14</v>
      </c>
      <c r="K5168" t="s">
        <v>223</v>
      </c>
    </row>
    <row r="5169" spans="1:11">
      <c r="A5169" t="str">
        <f>"688789"</f>
        <v>688789</v>
      </c>
      <c r="B5169" t="s">
        <v>5526</v>
      </c>
      <c r="C5169">
        <v>147.68</v>
      </c>
      <c r="D5169">
        <v>47.8</v>
      </c>
      <c r="E5169">
        <v>34.3</v>
      </c>
      <c r="F5169">
        <v>1.8</v>
      </c>
      <c r="G5169">
        <v>1.8</v>
      </c>
      <c r="H5169">
        <v>5894</v>
      </c>
      <c r="I5169">
        <v>4.29</v>
      </c>
      <c r="J5169">
        <v>28.56</v>
      </c>
      <c r="K5169" t="s">
        <v>657</v>
      </c>
    </row>
    <row r="5170" spans="1:11">
      <c r="A5170" t="str">
        <f>"688790"</f>
        <v>688790</v>
      </c>
      <c r="B5170" t="s">
        <v>5527</v>
      </c>
      <c r="C5170">
        <v>20.72</v>
      </c>
      <c r="D5170">
        <v>16.11</v>
      </c>
      <c r="E5170">
        <v>9.13</v>
      </c>
      <c r="F5170">
        <v>1</v>
      </c>
      <c r="G5170">
        <v>0.12</v>
      </c>
      <c r="H5170">
        <v>17394</v>
      </c>
      <c r="I5170">
        <v>6.01</v>
      </c>
      <c r="J5170" t="s">
        <v>14</v>
      </c>
      <c r="K5170" t="s">
        <v>691</v>
      </c>
    </row>
    <row r="5171" spans="1:11">
      <c r="A5171" t="str">
        <f>"688793"</f>
        <v>688793</v>
      </c>
      <c r="B5171" t="s">
        <v>5528</v>
      </c>
      <c r="C5171">
        <v>20.25</v>
      </c>
      <c r="D5171">
        <v>6.76</v>
      </c>
      <c r="E5171">
        <v>2.77</v>
      </c>
      <c r="F5171">
        <v>0.86</v>
      </c>
      <c r="G5171">
        <v>0.86</v>
      </c>
      <c r="H5171">
        <v>5073</v>
      </c>
      <c r="I5171">
        <v>7.32</v>
      </c>
      <c r="J5171" t="s">
        <v>14</v>
      </c>
      <c r="K5171" t="s">
        <v>1399</v>
      </c>
    </row>
    <row r="5172" spans="1:11">
      <c r="A5172" t="str">
        <f>"688795"</f>
        <v>688795</v>
      </c>
      <c r="B5172" t="s">
        <v>5529</v>
      </c>
      <c r="C5172">
        <v>190.4</v>
      </c>
      <c r="D5172">
        <v>67.43</v>
      </c>
      <c r="E5172">
        <v>39.38</v>
      </c>
      <c r="F5172">
        <v>4.7</v>
      </c>
      <c r="G5172">
        <v>0.29</v>
      </c>
      <c r="H5172">
        <v>39229</v>
      </c>
      <c r="I5172">
        <v>26.45</v>
      </c>
      <c r="J5172" t="s">
        <v>14</v>
      </c>
      <c r="K5172" t="s">
        <v>691</v>
      </c>
    </row>
    <row r="5173" spans="1:11">
      <c r="A5173" t="str">
        <f>"688796"</f>
        <v>688796</v>
      </c>
      <c r="B5173" t="s">
        <v>5530</v>
      </c>
      <c r="C5173">
        <v>25.09</v>
      </c>
      <c r="D5173">
        <v>24.45</v>
      </c>
      <c r="E5173">
        <v>9.76</v>
      </c>
      <c r="F5173">
        <v>4.47</v>
      </c>
      <c r="G5173">
        <v>0.36</v>
      </c>
      <c r="H5173">
        <v>28549</v>
      </c>
      <c r="I5173">
        <v>14.74</v>
      </c>
      <c r="J5173">
        <v>205.32</v>
      </c>
      <c r="K5173" t="s">
        <v>1595</v>
      </c>
    </row>
    <row r="5174" spans="1:11">
      <c r="A5174" t="str">
        <f>"688798"</f>
        <v>688798</v>
      </c>
      <c r="B5174" t="s">
        <v>5531</v>
      </c>
      <c r="C5174">
        <v>107.69</v>
      </c>
      <c r="D5174">
        <v>52.42</v>
      </c>
      <c r="E5174">
        <v>41.7</v>
      </c>
      <c r="F5174">
        <v>2.33</v>
      </c>
      <c r="G5174">
        <v>1.36</v>
      </c>
      <c r="H5174">
        <v>17037</v>
      </c>
      <c r="I5174">
        <v>4.44</v>
      </c>
      <c r="J5174">
        <v>50.31</v>
      </c>
      <c r="K5174" t="s">
        <v>691</v>
      </c>
    </row>
    <row r="5175" spans="1:11">
      <c r="A5175" t="str">
        <f>"688799"</f>
        <v>688799</v>
      </c>
      <c r="B5175" t="s">
        <v>5532</v>
      </c>
      <c r="C5175">
        <v>62.64</v>
      </c>
      <c r="D5175">
        <v>27.81</v>
      </c>
      <c r="E5175">
        <v>19.92</v>
      </c>
      <c r="F5175">
        <v>1.31</v>
      </c>
      <c r="G5175">
        <v>1.31</v>
      </c>
      <c r="H5175">
        <v>6416</v>
      </c>
      <c r="I5175">
        <v>3.14</v>
      </c>
      <c r="J5175">
        <v>22.68</v>
      </c>
      <c r="K5175" t="s">
        <v>109</v>
      </c>
    </row>
    <row r="5176" spans="1:11">
      <c r="A5176" t="str">
        <f>"688800"</f>
        <v>688800</v>
      </c>
      <c r="B5176" t="s">
        <v>5533</v>
      </c>
      <c r="C5176">
        <v>165.32</v>
      </c>
      <c r="D5176">
        <v>47.11</v>
      </c>
      <c r="E5176">
        <v>22.93</v>
      </c>
      <c r="F5176">
        <v>2.06</v>
      </c>
      <c r="G5176">
        <v>2.06</v>
      </c>
      <c r="H5176">
        <v>17343</v>
      </c>
      <c r="I5176">
        <v>7.21</v>
      </c>
      <c r="J5176">
        <v>53.22</v>
      </c>
      <c r="K5176" t="s">
        <v>82</v>
      </c>
    </row>
    <row r="5177" spans="1:11">
      <c r="A5177" t="str">
        <f>"688802"</f>
        <v>688802</v>
      </c>
      <c r="B5177" t="s">
        <v>5534</v>
      </c>
      <c r="C5177">
        <v>111.3</v>
      </c>
      <c r="D5177">
        <v>101.5</v>
      </c>
      <c r="E5177">
        <v>95.46</v>
      </c>
      <c r="F5177">
        <v>4</v>
      </c>
      <c r="G5177">
        <v>0.18</v>
      </c>
      <c r="H5177">
        <v>25096</v>
      </c>
      <c r="I5177">
        <v>18.26</v>
      </c>
      <c r="J5177" t="s">
        <v>14</v>
      </c>
      <c r="K5177" t="s">
        <v>691</v>
      </c>
    </row>
    <row r="5178" spans="1:11">
      <c r="A5178" t="str">
        <f>"688805"</f>
        <v>688805</v>
      </c>
      <c r="B5178" t="s">
        <v>5535</v>
      </c>
      <c r="C5178">
        <v>15.12</v>
      </c>
      <c r="D5178">
        <v>6.82</v>
      </c>
      <c r="E5178">
        <v>5.04</v>
      </c>
      <c r="F5178">
        <v>1.68</v>
      </c>
      <c r="G5178">
        <v>0.32</v>
      </c>
      <c r="H5178">
        <v>32506</v>
      </c>
      <c r="I5178">
        <v>6.74</v>
      </c>
      <c r="J5178">
        <v>126.68</v>
      </c>
      <c r="K5178" t="s">
        <v>1836</v>
      </c>
    </row>
    <row r="5179" spans="1:11">
      <c r="A5179" t="str">
        <f>"688807"</f>
        <v>688807</v>
      </c>
      <c r="B5179" t="s">
        <v>5536</v>
      </c>
      <c r="C5179">
        <v>29.72</v>
      </c>
      <c r="D5179">
        <v>8.77</v>
      </c>
      <c r="E5179">
        <v>8.12</v>
      </c>
      <c r="F5179">
        <v>0.8</v>
      </c>
      <c r="G5179">
        <v>0.15</v>
      </c>
      <c r="H5179">
        <v>18572</v>
      </c>
      <c r="I5179">
        <v>9.09</v>
      </c>
      <c r="J5179">
        <v>162.58</v>
      </c>
      <c r="K5179" t="s">
        <v>691</v>
      </c>
    </row>
    <row r="5180" spans="1:11">
      <c r="A5180" t="str">
        <f>"688809"</f>
        <v>688809</v>
      </c>
      <c r="B5180" t="s">
        <v>5537</v>
      </c>
      <c r="C5180">
        <v>89.62</v>
      </c>
      <c r="D5180">
        <v>16.34</v>
      </c>
      <c r="E5180">
        <v>13.78</v>
      </c>
      <c r="F5180">
        <v>1.3</v>
      </c>
      <c r="G5180">
        <v>0.24</v>
      </c>
      <c r="H5180">
        <v>26562</v>
      </c>
      <c r="I5180">
        <v>12.21</v>
      </c>
      <c r="J5180">
        <v>143.16</v>
      </c>
      <c r="K5180" t="s">
        <v>884</v>
      </c>
    </row>
    <row r="5181" spans="1:11">
      <c r="A5181" t="str">
        <f>"688819"</f>
        <v>688819</v>
      </c>
      <c r="B5181" t="s">
        <v>5538</v>
      </c>
      <c r="C5181">
        <v>322.83</v>
      </c>
      <c r="D5181">
        <v>451.53</v>
      </c>
      <c r="E5181">
        <v>168.5</v>
      </c>
      <c r="F5181">
        <v>9.72</v>
      </c>
      <c r="G5181">
        <v>9.72</v>
      </c>
      <c r="H5181">
        <v>20777</v>
      </c>
      <c r="I5181">
        <v>1.92</v>
      </c>
      <c r="J5181">
        <v>17.81</v>
      </c>
      <c r="K5181" t="s">
        <v>1365</v>
      </c>
    </row>
    <row r="5182" spans="1:11">
      <c r="A5182" t="str">
        <f>"688981"</f>
        <v>688981</v>
      </c>
      <c r="B5182" t="s">
        <v>5539</v>
      </c>
      <c r="C5182">
        <v>2489.26</v>
      </c>
      <c r="D5182">
        <v>3513.68</v>
      </c>
      <c r="E5182">
        <v>1511.8</v>
      </c>
      <c r="F5182">
        <v>80</v>
      </c>
      <c r="G5182">
        <v>20</v>
      </c>
      <c r="H5182">
        <v>336231</v>
      </c>
      <c r="I5182">
        <v>6.59</v>
      </c>
      <c r="J5182">
        <v>195.64</v>
      </c>
      <c r="K5182" t="s">
        <v>2240</v>
      </c>
    </row>
    <row r="5183" spans="1:11">
      <c r="A5183" t="str">
        <f>"689009"</f>
        <v>689009</v>
      </c>
      <c r="B5183" t="s">
        <v>5540</v>
      </c>
      <c r="C5183">
        <v>299.94</v>
      </c>
      <c r="D5183">
        <v>206.16</v>
      </c>
      <c r="E5183">
        <v>71.2</v>
      </c>
      <c r="F5183">
        <v>7.2</v>
      </c>
      <c r="G5183">
        <v>5.53</v>
      </c>
      <c r="H5183">
        <v>35489</v>
      </c>
      <c r="I5183">
        <v>5.46</v>
      </c>
      <c r="J5183">
        <v>16.39</v>
      </c>
      <c r="K5183" t="s">
        <v>870</v>
      </c>
    </row>
    <row r="5184" spans="1:11">
      <c r="A5184" t="str">
        <f>"601112"</f>
        <v>601112</v>
      </c>
      <c r="B5184" t="s">
        <v>5541</v>
      </c>
      <c r="C5184" t="s">
        <v>14</v>
      </c>
      <c r="D5184">
        <v>117.2</v>
      </c>
      <c r="E5184">
        <v>35.67</v>
      </c>
      <c r="F5184" t="s">
        <v>14</v>
      </c>
      <c r="G5184" t="s">
        <v>14</v>
      </c>
      <c r="H5184">
        <v>0</v>
      </c>
      <c r="I5184" t="s">
        <v>14</v>
      </c>
      <c r="J5184" t="s">
        <v>14</v>
      </c>
      <c r="K5184" t="s">
        <v>842</v>
      </c>
    </row>
    <row r="5185" spans="1:11">
      <c r="A5185" t="str">
        <f>"603352"</f>
        <v>603352</v>
      </c>
      <c r="B5185" t="s">
        <v>5542</v>
      </c>
      <c r="C5185" t="s">
        <v>14</v>
      </c>
      <c r="D5185">
        <v>50.5</v>
      </c>
      <c r="E5185">
        <v>17.46</v>
      </c>
      <c r="F5185" t="s">
        <v>14</v>
      </c>
      <c r="G5185" t="s">
        <v>14</v>
      </c>
      <c r="H5185">
        <v>0</v>
      </c>
      <c r="I5185" t="s">
        <v>14</v>
      </c>
      <c r="J5185" t="s">
        <v>14</v>
      </c>
      <c r="K5185" t="s">
        <v>517</v>
      </c>
    </row>
    <row r="5186" spans="1:11">
      <c r="A5186" t="str">
        <f>"688785"</f>
        <v>688785</v>
      </c>
      <c r="B5186" t="s">
        <v>5543</v>
      </c>
      <c r="C5186" t="s">
        <v>14</v>
      </c>
      <c r="D5186">
        <v>8.85</v>
      </c>
      <c r="E5186">
        <v>7.73</v>
      </c>
      <c r="F5186" t="s">
        <v>14</v>
      </c>
      <c r="G5186" t="s">
        <v>14</v>
      </c>
      <c r="H5186">
        <v>0</v>
      </c>
      <c r="I5186" t="s">
        <v>14</v>
      </c>
      <c r="J5186" t="s">
        <v>14</v>
      </c>
      <c r="K5186" t="s">
        <v>1160</v>
      </c>
    </row>
    <row r="5187" spans="1:11">
      <c r="A5187" t="str">
        <f>"920000"</f>
        <v>920000</v>
      </c>
      <c r="B5187" t="s">
        <v>5544</v>
      </c>
      <c r="C5187">
        <v>9.95</v>
      </c>
      <c r="D5187">
        <v>8</v>
      </c>
      <c r="E5187">
        <v>6.5</v>
      </c>
      <c r="F5187">
        <v>0.92</v>
      </c>
      <c r="G5187">
        <v>0.48</v>
      </c>
      <c r="H5187">
        <v>6471</v>
      </c>
      <c r="I5187">
        <v>2.91</v>
      </c>
      <c r="J5187">
        <v>25.77</v>
      </c>
      <c r="K5187" t="s">
        <v>51</v>
      </c>
    </row>
    <row r="5188" spans="1:11">
      <c r="A5188" t="str">
        <f>"920001"</f>
        <v>920001</v>
      </c>
      <c r="B5188" t="s">
        <v>5545</v>
      </c>
      <c r="C5188">
        <v>19.15</v>
      </c>
      <c r="D5188">
        <v>8.49</v>
      </c>
      <c r="E5188">
        <v>7.59</v>
      </c>
      <c r="F5188">
        <v>1.54</v>
      </c>
      <c r="G5188">
        <v>0.89</v>
      </c>
      <c r="H5188">
        <v>8550</v>
      </c>
      <c r="I5188">
        <v>4.37</v>
      </c>
      <c r="J5188">
        <v>271.06</v>
      </c>
      <c r="K5188" t="s">
        <v>66</v>
      </c>
    </row>
    <row r="5189" spans="1:11">
      <c r="A5189" t="str">
        <f>"920002"</f>
        <v>920002</v>
      </c>
      <c r="B5189" t="s">
        <v>5546</v>
      </c>
      <c r="C5189">
        <v>35.54</v>
      </c>
      <c r="D5189">
        <v>7.9</v>
      </c>
      <c r="E5189">
        <v>7.22</v>
      </c>
      <c r="F5189">
        <v>0.46</v>
      </c>
      <c r="G5189">
        <v>0.31</v>
      </c>
      <c r="H5189">
        <v>8471</v>
      </c>
      <c r="I5189">
        <v>7.14</v>
      </c>
      <c r="J5189">
        <v>81.05</v>
      </c>
      <c r="K5189" t="s">
        <v>641</v>
      </c>
    </row>
    <row r="5190" spans="1:11">
      <c r="A5190" t="str">
        <f>"920003"</f>
        <v>920003</v>
      </c>
      <c r="B5190" t="s">
        <v>5547</v>
      </c>
      <c r="C5190">
        <v>4.61</v>
      </c>
      <c r="D5190">
        <v>6.41</v>
      </c>
      <c r="E5190">
        <v>4.17</v>
      </c>
      <c r="F5190">
        <v>0.65</v>
      </c>
      <c r="G5190">
        <v>0.13</v>
      </c>
      <c r="H5190">
        <v>0</v>
      </c>
      <c r="I5190">
        <v>3.8</v>
      </c>
      <c r="J5190">
        <v>21.04</v>
      </c>
      <c r="K5190" t="s">
        <v>428</v>
      </c>
    </row>
    <row r="5191" spans="1:11">
      <c r="A5191" t="str">
        <f>"920005"</f>
        <v>920005</v>
      </c>
      <c r="B5191" t="s">
        <v>5548</v>
      </c>
      <c r="C5191">
        <v>8.3</v>
      </c>
      <c r="D5191">
        <v>8.8</v>
      </c>
      <c r="E5191">
        <v>6.9</v>
      </c>
      <c r="F5191">
        <v>0.83</v>
      </c>
      <c r="G5191">
        <v>0.19</v>
      </c>
      <c r="H5191">
        <v>7915</v>
      </c>
      <c r="I5191">
        <v>5.26</v>
      </c>
      <c r="J5191">
        <v>50.09</v>
      </c>
      <c r="K5191" t="s">
        <v>41</v>
      </c>
    </row>
    <row r="5192" spans="1:11">
      <c r="A5192" t="str">
        <f>"920006"</f>
        <v>920006</v>
      </c>
      <c r="B5192" t="s">
        <v>5549</v>
      </c>
      <c r="C5192">
        <v>10.13</v>
      </c>
      <c r="D5192">
        <v>5.1</v>
      </c>
      <c r="E5192">
        <v>3.24</v>
      </c>
      <c r="F5192">
        <v>0.9</v>
      </c>
      <c r="G5192">
        <v>0.34</v>
      </c>
      <c r="H5192">
        <v>7097</v>
      </c>
      <c r="I5192">
        <v>8.23</v>
      </c>
      <c r="J5192">
        <v>156</v>
      </c>
      <c r="K5192" t="s">
        <v>353</v>
      </c>
    </row>
    <row r="5193" spans="1:11">
      <c r="A5193" t="str">
        <f>"920007"</f>
        <v>920007</v>
      </c>
      <c r="B5193" t="s">
        <v>5550</v>
      </c>
      <c r="C5193">
        <v>7.57</v>
      </c>
      <c r="D5193">
        <v>9.49</v>
      </c>
      <c r="E5193">
        <v>6.22</v>
      </c>
      <c r="F5193">
        <v>0.44</v>
      </c>
      <c r="G5193">
        <v>0.11</v>
      </c>
      <c r="H5193">
        <v>7178</v>
      </c>
      <c r="I5193">
        <v>4.99</v>
      </c>
      <c r="J5193">
        <v>28.31</v>
      </c>
      <c r="K5193" t="s">
        <v>667</v>
      </c>
    </row>
    <row r="5194" spans="1:11">
      <c r="A5194" t="str">
        <f>"920008"</f>
        <v>920008</v>
      </c>
      <c r="B5194" t="s">
        <v>5551</v>
      </c>
      <c r="C5194">
        <v>11.25</v>
      </c>
      <c r="D5194">
        <v>4.91</v>
      </c>
      <c r="E5194">
        <v>3.13</v>
      </c>
      <c r="F5194">
        <v>0.64</v>
      </c>
      <c r="G5194">
        <v>0.34</v>
      </c>
      <c r="H5194">
        <v>6038</v>
      </c>
      <c r="I5194">
        <v>6.81</v>
      </c>
      <c r="J5194">
        <v>297.99</v>
      </c>
      <c r="K5194" t="s">
        <v>223</v>
      </c>
    </row>
    <row r="5195" spans="1:11">
      <c r="A5195" t="str">
        <f>"920009"</f>
        <v>920009</v>
      </c>
      <c r="B5195" t="s">
        <v>5552</v>
      </c>
      <c r="C5195">
        <v>6</v>
      </c>
      <c r="D5195">
        <v>5.93</v>
      </c>
      <c r="E5195">
        <v>5.36</v>
      </c>
      <c r="F5195">
        <v>0.55</v>
      </c>
      <c r="G5195">
        <v>0.07</v>
      </c>
      <c r="H5195">
        <v>0</v>
      </c>
      <c r="I5195">
        <v>7.09</v>
      </c>
      <c r="J5195">
        <v>48.87</v>
      </c>
      <c r="K5195" t="s">
        <v>2179</v>
      </c>
    </row>
    <row r="5196" spans="1:11">
      <c r="A5196" t="str">
        <f>"920010"</f>
        <v>920010</v>
      </c>
      <c r="B5196" t="s">
        <v>5553</v>
      </c>
      <c r="C5196">
        <v>21.97</v>
      </c>
      <c r="D5196">
        <v>10.18</v>
      </c>
      <c r="E5196">
        <v>6.89</v>
      </c>
      <c r="F5196">
        <v>2.35</v>
      </c>
      <c r="G5196">
        <v>1.74</v>
      </c>
      <c r="H5196">
        <v>9172</v>
      </c>
      <c r="I5196">
        <v>4.31</v>
      </c>
      <c r="J5196">
        <v>81.4</v>
      </c>
      <c r="K5196" t="s">
        <v>136</v>
      </c>
    </row>
    <row r="5197" spans="1:11">
      <c r="A5197" t="str">
        <f>"920014"</f>
        <v>920014</v>
      </c>
      <c r="B5197" t="s">
        <v>5554</v>
      </c>
      <c r="C5197">
        <v>8.32</v>
      </c>
      <c r="D5197">
        <v>11.71</v>
      </c>
      <c r="E5197">
        <v>8</v>
      </c>
      <c r="F5197">
        <v>1.22</v>
      </c>
      <c r="G5197">
        <v>0.67</v>
      </c>
      <c r="H5197">
        <v>6692</v>
      </c>
      <c r="I5197">
        <v>1.93</v>
      </c>
      <c r="J5197">
        <v>51.51</v>
      </c>
      <c r="K5197" t="s">
        <v>493</v>
      </c>
    </row>
    <row r="5198" spans="1:11">
      <c r="A5198" t="str">
        <f>"920015"</f>
        <v>920015</v>
      </c>
      <c r="B5198" t="s">
        <v>5555</v>
      </c>
      <c r="C5198">
        <v>20.74</v>
      </c>
      <c r="D5198">
        <v>19.77</v>
      </c>
      <c r="E5198">
        <v>15.53</v>
      </c>
      <c r="F5198">
        <v>1.36</v>
      </c>
      <c r="G5198">
        <v>0.38</v>
      </c>
      <c r="H5198">
        <v>7062</v>
      </c>
      <c r="I5198">
        <v>4.62</v>
      </c>
      <c r="J5198">
        <v>36.6</v>
      </c>
      <c r="K5198" t="s">
        <v>511</v>
      </c>
    </row>
    <row r="5199" spans="1:11">
      <c r="A5199" t="str">
        <f>"920016"</f>
        <v>920016</v>
      </c>
      <c r="B5199" t="s">
        <v>5556</v>
      </c>
      <c r="C5199">
        <v>6.83</v>
      </c>
      <c r="D5199">
        <v>6.37</v>
      </c>
      <c r="E5199">
        <v>3.8</v>
      </c>
      <c r="F5199">
        <v>0.77</v>
      </c>
      <c r="G5199">
        <v>0.34</v>
      </c>
      <c r="H5199">
        <v>4249</v>
      </c>
      <c r="I5199">
        <v>4.1</v>
      </c>
      <c r="J5199">
        <v>70.47</v>
      </c>
      <c r="K5199" t="s">
        <v>752</v>
      </c>
    </row>
    <row r="5200" spans="1:11">
      <c r="A5200" t="str">
        <f>"920017"</f>
        <v>920017</v>
      </c>
      <c r="B5200" t="s">
        <v>5557</v>
      </c>
      <c r="C5200">
        <v>24.97</v>
      </c>
      <c r="D5200">
        <v>19.55</v>
      </c>
      <c r="E5200">
        <v>16.35</v>
      </c>
      <c r="F5200">
        <v>1.25</v>
      </c>
      <c r="G5200">
        <v>1.24</v>
      </c>
      <c r="H5200">
        <v>8202</v>
      </c>
      <c r="I5200">
        <v>1.55</v>
      </c>
      <c r="J5200">
        <v>21.95</v>
      </c>
      <c r="K5200" t="s">
        <v>109</v>
      </c>
    </row>
    <row r="5201" spans="1:11">
      <c r="A5201" t="str">
        <f>"920018"</f>
        <v>920018</v>
      </c>
      <c r="B5201" t="s">
        <v>5558</v>
      </c>
      <c r="C5201">
        <v>13.13</v>
      </c>
      <c r="D5201">
        <v>20.53</v>
      </c>
      <c r="E5201">
        <v>9.08</v>
      </c>
      <c r="F5201">
        <v>1.27</v>
      </c>
      <c r="G5201">
        <v>0.44</v>
      </c>
      <c r="H5201">
        <v>10083</v>
      </c>
      <c r="I5201">
        <v>4.16</v>
      </c>
      <c r="J5201">
        <v>38.41</v>
      </c>
      <c r="K5201" t="s">
        <v>383</v>
      </c>
    </row>
    <row r="5202" spans="1:11">
      <c r="A5202" t="str">
        <f>"920019"</f>
        <v>920019</v>
      </c>
      <c r="B5202" t="s">
        <v>5559</v>
      </c>
      <c r="C5202">
        <v>35.74</v>
      </c>
      <c r="D5202">
        <v>17.71</v>
      </c>
      <c r="E5202">
        <v>9.19</v>
      </c>
      <c r="F5202">
        <v>2.1</v>
      </c>
      <c r="G5202">
        <v>1.68</v>
      </c>
      <c r="H5202">
        <v>8299</v>
      </c>
      <c r="I5202">
        <v>4.88</v>
      </c>
      <c r="J5202">
        <v>73.73</v>
      </c>
      <c r="K5202" t="s">
        <v>55</v>
      </c>
    </row>
    <row r="5203" spans="1:11">
      <c r="A5203" t="str">
        <f>"920020"</f>
        <v>920020</v>
      </c>
      <c r="B5203" t="s">
        <v>5560</v>
      </c>
      <c r="C5203">
        <v>7.03</v>
      </c>
      <c r="D5203">
        <v>17.79</v>
      </c>
      <c r="E5203">
        <v>8.22</v>
      </c>
      <c r="F5203">
        <v>2.21</v>
      </c>
      <c r="G5203">
        <v>0.4</v>
      </c>
      <c r="H5203">
        <v>0</v>
      </c>
      <c r="I5203">
        <v>3.51</v>
      </c>
      <c r="J5203">
        <v>22.58</v>
      </c>
      <c r="K5203" t="s">
        <v>263</v>
      </c>
    </row>
    <row r="5204" spans="1:11">
      <c r="A5204" t="str">
        <f>"920021"</f>
        <v>920021</v>
      </c>
      <c r="B5204" t="s">
        <v>5561</v>
      </c>
      <c r="C5204">
        <v>31.6</v>
      </c>
      <c r="D5204">
        <v>9.46</v>
      </c>
      <c r="E5204">
        <v>6.25</v>
      </c>
      <c r="F5204">
        <v>3.09</v>
      </c>
      <c r="G5204">
        <v>2.33</v>
      </c>
      <c r="H5204">
        <v>14001</v>
      </c>
      <c r="I5204">
        <v>6.71</v>
      </c>
      <c r="J5204" t="s">
        <v>14</v>
      </c>
      <c r="K5204" t="s">
        <v>113</v>
      </c>
    </row>
    <row r="5205" spans="1:11">
      <c r="A5205" t="str">
        <f>"920022"</f>
        <v>920022</v>
      </c>
      <c r="B5205" t="s">
        <v>5562</v>
      </c>
      <c r="C5205">
        <v>5.1</v>
      </c>
      <c r="D5205">
        <v>7.31</v>
      </c>
      <c r="E5205">
        <v>4.22</v>
      </c>
      <c r="F5205">
        <v>0.6</v>
      </c>
      <c r="G5205">
        <v>0.17</v>
      </c>
      <c r="H5205">
        <v>9527</v>
      </c>
      <c r="I5205">
        <v>4.22</v>
      </c>
      <c r="J5205">
        <v>27.3</v>
      </c>
      <c r="K5205" t="s">
        <v>51</v>
      </c>
    </row>
    <row r="5206" spans="1:11">
      <c r="A5206" t="str">
        <f>"920023"</f>
        <v>920023</v>
      </c>
      <c r="B5206" t="s">
        <v>5563</v>
      </c>
      <c r="C5206">
        <v>13.04</v>
      </c>
      <c r="D5206">
        <v>16.02</v>
      </c>
      <c r="E5206">
        <v>12.21</v>
      </c>
      <c r="F5206">
        <v>3.27</v>
      </c>
      <c r="G5206">
        <v>2.69</v>
      </c>
      <c r="H5206">
        <v>10206</v>
      </c>
      <c r="I5206">
        <v>1.3</v>
      </c>
      <c r="J5206">
        <v>45.11</v>
      </c>
      <c r="K5206" t="s">
        <v>592</v>
      </c>
    </row>
    <row r="5207" spans="1:11">
      <c r="A5207" t="str">
        <f>"920026"</f>
        <v>920026</v>
      </c>
      <c r="B5207" t="s">
        <v>5564</v>
      </c>
      <c r="C5207">
        <v>15.62</v>
      </c>
      <c r="D5207">
        <v>8.44</v>
      </c>
      <c r="E5207">
        <v>6.1</v>
      </c>
      <c r="F5207">
        <v>0.82</v>
      </c>
      <c r="G5207">
        <v>0.37</v>
      </c>
      <c r="H5207">
        <v>5457</v>
      </c>
      <c r="I5207">
        <v>5.65</v>
      </c>
      <c r="J5207">
        <v>63.51</v>
      </c>
      <c r="K5207" t="s">
        <v>493</v>
      </c>
    </row>
    <row r="5208" spans="1:11">
      <c r="A5208" t="str">
        <f>"920027"</f>
        <v>920027</v>
      </c>
      <c r="B5208" t="s">
        <v>5565</v>
      </c>
      <c r="C5208">
        <v>9.61</v>
      </c>
      <c r="D5208">
        <v>7.83</v>
      </c>
      <c r="E5208">
        <v>4.23</v>
      </c>
      <c r="F5208">
        <v>0.79</v>
      </c>
      <c r="G5208">
        <v>0.42</v>
      </c>
      <c r="H5208">
        <v>6789</v>
      </c>
      <c r="I5208">
        <v>4.26</v>
      </c>
      <c r="J5208">
        <v>130.67</v>
      </c>
      <c r="K5208" t="s">
        <v>22</v>
      </c>
    </row>
    <row r="5209" spans="1:11">
      <c r="A5209" t="str">
        <f>"920029"</f>
        <v>920029</v>
      </c>
      <c r="B5209" t="s">
        <v>5566</v>
      </c>
      <c r="C5209">
        <v>34.65</v>
      </c>
      <c r="D5209">
        <v>45.36</v>
      </c>
      <c r="E5209">
        <v>35.8</v>
      </c>
      <c r="F5209">
        <v>1.39</v>
      </c>
      <c r="G5209">
        <v>0.38</v>
      </c>
      <c r="H5209">
        <v>9064</v>
      </c>
      <c r="I5209">
        <v>3.49</v>
      </c>
      <c r="J5209">
        <v>16.91</v>
      </c>
      <c r="K5209" t="s">
        <v>952</v>
      </c>
    </row>
    <row r="5210" spans="1:11">
      <c r="A5210" t="str">
        <f>"920030"</f>
        <v>920030</v>
      </c>
      <c r="B5210" t="s">
        <v>5567</v>
      </c>
      <c r="C5210">
        <v>7.98</v>
      </c>
      <c r="D5210">
        <v>13.86</v>
      </c>
      <c r="E5210">
        <v>4.53</v>
      </c>
      <c r="F5210">
        <v>1.79</v>
      </c>
      <c r="G5210">
        <v>1.12</v>
      </c>
      <c r="H5210">
        <v>7733</v>
      </c>
      <c r="I5210">
        <v>2.81</v>
      </c>
      <c r="J5210" t="s">
        <v>14</v>
      </c>
      <c r="K5210" t="s">
        <v>3480</v>
      </c>
    </row>
    <row r="5211" spans="1:11">
      <c r="A5211" t="str">
        <f>"920033"</f>
        <v>920033</v>
      </c>
      <c r="B5211" t="s">
        <v>5568</v>
      </c>
      <c r="C5211">
        <v>15.06</v>
      </c>
      <c r="D5211">
        <v>8.89</v>
      </c>
      <c r="E5211">
        <v>7.63</v>
      </c>
      <c r="F5211">
        <v>1.19</v>
      </c>
      <c r="G5211">
        <v>0.83</v>
      </c>
      <c r="H5211">
        <v>3765</v>
      </c>
      <c r="I5211">
        <v>2.84</v>
      </c>
      <c r="J5211">
        <v>43.75</v>
      </c>
      <c r="K5211" t="s">
        <v>511</v>
      </c>
    </row>
    <row r="5212" spans="1:11">
      <c r="A5212" t="str">
        <f>"920035"</f>
        <v>920035</v>
      </c>
      <c r="B5212" t="s">
        <v>5569</v>
      </c>
      <c r="C5212">
        <v>5.32</v>
      </c>
      <c r="D5212">
        <v>5.89</v>
      </c>
      <c r="E5212">
        <v>4.23</v>
      </c>
      <c r="F5212">
        <v>0.58</v>
      </c>
      <c r="G5212">
        <v>0.13</v>
      </c>
      <c r="H5212">
        <v>0</v>
      </c>
      <c r="I5212">
        <v>4.16</v>
      </c>
      <c r="J5212">
        <v>40.01</v>
      </c>
      <c r="K5212" t="s">
        <v>3039</v>
      </c>
    </row>
    <row r="5213" spans="1:11">
      <c r="A5213" t="str">
        <f>"920037"</f>
        <v>920037</v>
      </c>
      <c r="B5213" t="s">
        <v>5570</v>
      </c>
      <c r="C5213">
        <v>27.44</v>
      </c>
      <c r="D5213">
        <v>9.97</v>
      </c>
      <c r="E5213">
        <v>8.02</v>
      </c>
      <c r="F5213">
        <v>0.91</v>
      </c>
      <c r="G5213">
        <v>0.3</v>
      </c>
      <c r="H5213">
        <v>4798</v>
      </c>
      <c r="I5213">
        <v>10.58</v>
      </c>
      <c r="J5213">
        <v>42.44</v>
      </c>
      <c r="K5213" t="s">
        <v>383</v>
      </c>
    </row>
    <row r="5214" spans="1:11">
      <c r="A5214" t="str">
        <f>"920039"</f>
        <v>920039</v>
      </c>
      <c r="B5214" t="s">
        <v>5571</v>
      </c>
      <c r="C5214">
        <v>19.9</v>
      </c>
      <c r="D5214">
        <v>8.3</v>
      </c>
      <c r="E5214">
        <v>5.34</v>
      </c>
      <c r="F5214">
        <v>1.54</v>
      </c>
      <c r="G5214">
        <v>1.54</v>
      </c>
      <c r="H5214">
        <v>6451</v>
      </c>
      <c r="I5214">
        <v>3.73</v>
      </c>
      <c r="J5214">
        <v>50.61</v>
      </c>
      <c r="K5214" t="s">
        <v>2514</v>
      </c>
    </row>
    <row r="5215" spans="1:11">
      <c r="A5215" t="str">
        <f>"920045"</f>
        <v>920045</v>
      </c>
      <c r="B5215" t="s">
        <v>5572</v>
      </c>
      <c r="C5215">
        <v>65.42</v>
      </c>
      <c r="D5215">
        <v>15.81</v>
      </c>
      <c r="E5215">
        <v>7.22</v>
      </c>
      <c r="F5215">
        <v>0.68</v>
      </c>
      <c r="G5215">
        <v>0.2</v>
      </c>
      <c r="H5215">
        <v>0</v>
      </c>
      <c r="I5215">
        <v>22.12</v>
      </c>
      <c r="J5215">
        <v>74.06</v>
      </c>
      <c r="K5215" t="s">
        <v>933</v>
      </c>
    </row>
    <row r="5216" spans="1:11">
      <c r="A5216" t="str">
        <f>"920046"</f>
        <v>920046</v>
      </c>
      <c r="B5216" t="s">
        <v>5573</v>
      </c>
      <c r="C5216">
        <v>11.85</v>
      </c>
      <c r="D5216">
        <v>4.46</v>
      </c>
      <c r="E5216">
        <v>2.49</v>
      </c>
      <c r="F5216">
        <v>1.01</v>
      </c>
      <c r="G5216">
        <v>0.64</v>
      </c>
      <c r="H5216">
        <v>4794</v>
      </c>
      <c r="I5216">
        <v>7.5</v>
      </c>
      <c r="J5216">
        <v>114.65</v>
      </c>
      <c r="K5216" t="s">
        <v>208</v>
      </c>
    </row>
    <row r="5217" spans="1:11">
      <c r="A5217" t="str">
        <f>"920047"</f>
        <v>920047</v>
      </c>
      <c r="B5217" t="s">
        <v>5574</v>
      </c>
      <c r="C5217">
        <v>42.23</v>
      </c>
      <c r="D5217">
        <v>4.55</v>
      </c>
      <c r="E5217">
        <v>2.95</v>
      </c>
      <c r="F5217">
        <v>2.74</v>
      </c>
      <c r="G5217">
        <v>1.8</v>
      </c>
      <c r="H5217">
        <v>8368</v>
      </c>
      <c r="I5217">
        <v>21.81</v>
      </c>
      <c r="J5217" t="s">
        <v>14</v>
      </c>
      <c r="K5217" t="s">
        <v>184</v>
      </c>
    </row>
    <row r="5218" spans="1:11">
      <c r="A5218" t="str">
        <f>"920056"</f>
        <v>920056</v>
      </c>
      <c r="B5218" t="s">
        <v>5575</v>
      </c>
      <c r="C5218">
        <v>8.06</v>
      </c>
      <c r="D5218">
        <v>5.92</v>
      </c>
      <c r="E5218">
        <v>5.22</v>
      </c>
      <c r="F5218">
        <v>0.82</v>
      </c>
      <c r="G5218">
        <v>0.31</v>
      </c>
      <c r="H5218">
        <v>7755</v>
      </c>
      <c r="I5218">
        <v>4.12</v>
      </c>
      <c r="J5218">
        <v>39.15</v>
      </c>
      <c r="K5218" t="s">
        <v>549</v>
      </c>
    </row>
    <row r="5219" spans="1:11">
      <c r="A5219" t="str">
        <f>"920057"</f>
        <v>920057</v>
      </c>
      <c r="B5219" t="s">
        <v>5576</v>
      </c>
      <c r="C5219">
        <v>8.23</v>
      </c>
      <c r="D5219">
        <v>18.6</v>
      </c>
      <c r="E5219">
        <v>7.15</v>
      </c>
      <c r="F5219">
        <v>1.81</v>
      </c>
      <c r="G5219">
        <v>1.15</v>
      </c>
      <c r="H5219">
        <v>6957</v>
      </c>
      <c r="I5219">
        <v>1.81</v>
      </c>
      <c r="J5219">
        <v>118.85</v>
      </c>
      <c r="K5219" t="s">
        <v>904</v>
      </c>
    </row>
    <row r="5220" spans="1:11">
      <c r="A5220" t="str">
        <f>"920058"</f>
        <v>920058</v>
      </c>
      <c r="B5220" t="s">
        <v>5577</v>
      </c>
      <c r="C5220">
        <v>9.44</v>
      </c>
      <c r="D5220">
        <v>7.53</v>
      </c>
      <c r="E5220">
        <v>3.45</v>
      </c>
      <c r="F5220">
        <v>0.56</v>
      </c>
      <c r="G5220">
        <v>0.28</v>
      </c>
      <c r="H5220">
        <v>3861</v>
      </c>
      <c r="I5220">
        <v>5.57</v>
      </c>
      <c r="J5220">
        <v>29.96</v>
      </c>
      <c r="K5220" t="s">
        <v>544</v>
      </c>
    </row>
    <row r="5221" spans="1:11">
      <c r="A5221" t="str">
        <f>"920060"</f>
        <v>920060</v>
      </c>
      <c r="B5221" t="s">
        <v>5578</v>
      </c>
      <c r="C5221">
        <v>33.28</v>
      </c>
      <c r="D5221">
        <v>17.26</v>
      </c>
      <c r="E5221">
        <v>10.51</v>
      </c>
      <c r="F5221">
        <v>1.52</v>
      </c>
      <c r="G5221">
        <v>0.95</v>
      </c>
      <c r="H5221">
        <v>9577</v>
      </c>
      <c r="I5221">
        <v>5.08</v>
      </c>
      <c r="J5221">
        <v>39.97</v>
      </c>
      <c r="K5221" t="s">
        <v>472</v>
      </c>
    </row>
    <row r="5222" spans="1:11">
      <c r="A5222" t="str">
        <f>"920061"</f>
        <v>920061</v>
      </c>
      <c r="B5222" t="s">
        <v>5579</v>
      </c>
      <c r="C5222">
        <v>11.71</v>
      </c>
      <c r="D5222">
        <v>3.06</v>
      </c>
      <c r="E5222">
        <v>2.78</v>
      </c>
      <c r="F5222">
        <v>0.71</v>
      </c>
      <c r="G5222">
        <v>0.37</v>
      </c>
      <c r="H5222">
        <v>6170</v>
      </c>
      <c r="I5222">
        <v>8.12</v>
      </c>
      <c r="J5222">
        <v>528.88</v>
      </c>
      <c r="K5222" t="s">
        <v>493</v>
      </c>
    </row>
    <row r="5223" spans="1:11">
      <c r="A5223" t="str">
        <f>"920062"</f>
        <v>920062</v>
      </c>
      <c r="B5223" t="s">
        <v>5580</v>
      </c>
      <c r="C5223">
        <v>15.67</v>
      </c>
      <c r="D5223">
        <v>20.57</v>
      </c>
      <c r="E5223">
        <v>7.51</v>
      </c>
      <c r="F5223">
        <v>1.89</v>
      </c>
      <c r="G5223">
        <v>1.33</v>
      </c>
      <c r="H5223">
        <v>10350</v>
      </c>
      <c r="I5223">
        <v>2.95</v>
      </c>
      <c r="J5223">
        <v>82.56</v>
      </c>
      <c r="K5223" t="s">
        <v>208</v>
      </c>
    </row>
    <row r="5224" spans="1:11">
      <c r="A5224" t="str">
        <f>"920066"</f>
        <v>920066</v>
      </c>
      <c r="B5224" t="s">
        <v>5581</v>
      </c>
      <c r="C5224">
        <v>5.36</v>
      </c>
      <c r="D5224">
        <v>4.47</v>
      </c>
      <c r="E5224">
        <v>3.95</v>
      </c>
      <c r="F5224">
        <v>0.63</v>
      </c>
      <c r="G5224">
        <v>0.2</v>
      </c>
      <c r="H5224">
        <v>3453</v>
      </c>
      <c r="I5224">
        <v>4.29</v>
      </c>
      <c r="J5224">
        <v>58.92</v>
      </c>
      <c r="K5224" t="s">
        <v>549</v>
      </c>
    </row>
    <row r="5225" spans="1:11">
      <c r="A5225" t="str">
        <f>"920068"</f>
        <v>920068</v>
      </c>
      <c r="B5225" t="s">
        <v>5582</v>
      </c>
      <c r="C5225">
        <v>12.79</v>
      </c>
      <c r="D5225">
        <v>15.06</v>
      </c>
      <c r="E5225">
        <v>12.66</v>
      </c>
      <c r="F5225">
        <v>6.56</v>
      </c>
      <c r="G5225">
        <v>0.63</v>
      </c>
      <c r="H5225">
        <v>11096</v>
      </c>
      <c r="I5225">
        <v>10.56</v>
      </c>
      <c r="J5225">
        <v>154.74</v>
      </c>
      <c r="K5225" t="s">
        <v>919</v>
      </c>
    </row>
    <row r="5226" spans="1:11">
      <c r="A5226" t="str">
        <f>"920075"</f>
        <v>920075</v>
      </c>
      <c r="B5226" t="s">
        <v>5583</v>
      </c>
      <c r="C5226">
        <v>11.25</v>
      </c>
      <c r="D5226">
        <v>6.39</v>
      </c>
      <c r="E5226">
        <v>4.01</v>
      </c>
      <c r="F5226">
        <v>0.65</v>
      </c>
      <c r="G5226">
        <v>0.35</v>
      </c>
      <c r="H5226">
        <v>5735</v>
      </c>
      <c r="I5226">
        <v>5.21</v>
      </c>
      <c r="J5226">
        <v>64.23</v>
      </c>
      <c r="K5226" t="s">
        <v>460</v>
      </c>
    </row>
    <row r="5227" spans="1:11">
      <c r="A5227" t="str">
        <f>"920076"</f>
        <v>920076</v>
      </c>
      <c r="B5227" t="s">
        <v>5584</v>
      </c>
      <c r="C5227" t="s">
        <v>14</v>
      </c>
      <c r="D5227">
        <v>14.97</v>
      </c>
      <c r="E5227">
        <v>7.75</v>
      </c>
      <c r="F5227" t="s">
        <v>14</v>
      </c>
      <c r="G5227" t="s">
        <v>14</v>
      </c>
      <c r="H5227">
        <v>0</v>
      </c>
      <c r="I5227" t="s">
        <v>14</v>
      </c>
      <c r="J5227" t="s">
        <v>14</v>
      </c>
      <c r="K5227" t="s">
        <v>827</v>
      </c>
    </row>
    <row r="5228" spans="1:11">
      <c r="A5228" t="str">
        <f>"920077"</f>
        <v>920077</v>
      </c>
      <c r="B5228" t="s">
        <v>5585</v>
      </c>
      <c r="C5228">
        <v>56.7</v>
      </c>
      <c r="D5228">
        <v>64.32</v>
      </c>
      <c r="E5228">
        <v>25.79</v>
      </c>
      <c r="F5228">
        <v>5.88</v>
      </c>
      <c r="G5228">
        <v>3.17</v>
      </c>
      <c r="H5228">
        <v>11471</v>
      </c>
      <c r="I5228">
        <v>4.08</v>
      </c>
      <c r="J5228">
        <v>60.67</v>
      </c>
      <c r="K5228" t="s">
        <v>2480</v>
      </c>
    </row>
    <row r="5229" spans="1:11">
      <c r="A5229" t="str">
        <f>"920080"</f>
        <v>920080</v>
      </c>
      <c r="B5229" t="s">
        <v>5586</v>
      </c>
      <c r="C5229">
        <v>6.47</v>
      </c>
      <c r="D5229">
        <v>10.57</v>
      </c>
      <c r="E5229">
        <v>5.54</v>
      </c>
      <c r="F5229">
        <v>0.83</v>
      </c>
      <c r="G5229">
        <v>0.23</v>
      </c>
      <c r="H5229">
        <v>0</v>
      </c>
      <c r="I5229">
        <v>4.28</v>
      </c>
      <c r="J5229">
        <v>36.59</v>
      </c>
      <c r="K5229" t="s">
        <v>493</v>
      </c>
    </row>
    <row r="5230" spans="1:11">
      <c r="A5230" t="str">
        <f>"920082"</f>
        <v>920082</v>
      </c>
      <c r="B5230" t="s">
        <v>5587</v>
      </c>
      <c r="C5230">
        <v>7.19</v>
      </c>
      <c r="D5230">
        <v>11.24</v>
      </c>
      <c r="E5230">
        <v>5.27</v>
      </c>
      <c r="F5230">
        <v>1.45</v>
      </c>
      <c r="G5230">
        <v>0.39</v>
      </c>
      <c r="H5230">
        <v>6743</v>
      </c>
      <c r="I5230">
        <v>5.07</v>
      </c>
      <c r="J5230">
        <v>34.91</v>
      </c>
      <c r="K5230" t="s">
        <v>63</v>
      </c>
    </row>
    <row r="5231" spans="1:11">
      <c r="A5231" t="str">
        <f>"920087"</f>
        <v>920087</v>
      </c>
      <c r="B5231" t="s">
        <v>5588</v>
      </c>
      <c r="C5231">
        <v>27.28</v>
      </c>
      <c r="D5231">
        <v>7.9</v>
      </c>
      <c r="E5231">
        <v>5.2</v>
      </c>
      <c r="F5231">
        <v>1.65</v>
      </c>
      <c r="G5231">
        <v>1.64</v>
      </c>
      <c r="H5231">
        <v>8667</v>
      </c>
      <c r="I5231">
        <v>5.28</v>
      </c>
      <c r="J5231" t="s">
        <v>14</v>
      </c>
      <c r="K5231" t="s">
        <v>373</v>
      </c>
    </row>
    <row r="5232" spans="1:11">
      <c r="A5232" t="str">
        <f>"920088"</f>
        <v>920088</v>
      </c>
      <c r="B5232" t="s">
        <v>5589</v>
      </c>
      <c r="C5232">
        <v>13.61</v>
      </c>
      <c r="D5232">
        <v>7.95</v>
      </c>
      <c r="E5232">
        <v>6.71</v>
      </c>
      <c r="F5232">
        <v>0.88</v>
      </c>
      <c r="G5232">
        <v>0.32</v>
      </c>
      <c r="H5232">
        <v>7000</v>
      </c>
      <c r="I5232">
        <v>5.62</v>
      </c>
      <c r="J5232">
        <v>93.15</v>
      </c>
      <c r="K5232" t="s">
        <v>988</v>
      </c>
    </row>
    <row r="5233" spans="1:11">
      <c r="A5233" t="str">
        <f>"920089"</f>
        <v>920089</v>
      </c>
      <c r="B5233" t="s">
        <v>5590</v>
      </c>
      <c r="C5233">
        <v>18.7</v>
      </c>
      <c r="D5233">
        <v>20.67</v>
      </c>
      <c r="E5233">
        <v>12.35</v>
      </c>
      <c r="F5233">
        <v>1.51</v>
      </c>
      <c r="G5233">
        <v>0.94</v>
      </c>
      <c r="H5233">
        <v>7564</v>
      </c>
      <c r="I5233">
        <v>2.44</v>
      </c>
      <c r="J5233">
        <v>17.49</v>
      </c>
      <c r="K5233" t="s">
        <v>1113</v>
      </c>
    </row>
    <row r="5234" spans="1:11">
      <c r="A5234" t="str">
        <f>"920090"</f>
        <v>920090</v>
      </c>
      <c r="B5234" t="s">
        <v>5591</v>
      </c>
      <c r="C5234">
        <v>11.82</v>
      </c>
      <c r="D5234">
        <v>2.06</v>
      </c>
      <c r="E5234">
        <v>0.64</v>
      </c>
      <c r="F5234">
        <v>1.99</v>
      </c>
      <c r="G5234">
        <v>1.35</v>
      </c>
      <c r="H5234">
        <v>11332</v>
      </c>
      <c r="I5234">
        <v>27.11</v>
      </c>
      <c r="J5234" t="s">
        <v>14</v>
      </c>
      <c r="K5234" t="s">
        <v>88</v>
      </c>
    </row>
    <row r="5235" spans="1:11">
      <c r="A5235" t="str">
        <f>"920091"</f>
        <v>920091</v>
      </c>
      <c r="B5235" t="s">
        <v>5592</v>
      </c>
      <c r="C5235">
        <v>13.11</v>
      </c>
      <c r="D5235">
        <v>4.39</v>
      </c>
      <c r="E5235">
        <v>3.51</v>
      </c>
      <c r="F5235">
        <v>0.61</v>
      </c>
      <c r="G5235">
        <v>0.14</v>
      </c>
      <c r="H5235">
        <v>0</v>
      </c>
      <c r="I5235">
        <v>12.6</v>
      </c>
      <c r="J5235">
        <v>138.27</v>
      </c>
      <c r="K5235" t="s">
        <v>493</v>
      </c>
    </row>
    <row r="5236" spans="1:11">
      <c r="A5236" t="str">
        <f>"920092"</f>
        <v>920092</v>
      </c>
      <c r="B5236" t="s">
        <v>5593</v>
      </c>
      <c r="C5236">
        <v>15.09</v>
      </c>
      <c r="D5236">
        <v>6.55</v>
      </c>
      <c r="E5236">
        <v>3.71</v>
      </c>
      <c r="F5236">
        <v>0.62</v>
      </c>
      <c r="G5236">
        <v>0.32</v>
      </c>
      <c r="H5236">
        <v>5408</v>
      </c>
      <c r="I5236">
        <v>7.92</v>
      </c>
      <c r="J5236" t="s">
        <v>14</v>
      </c>
      <c r="K5236" t="s">
        <v>117</v>
      </c>
    </row>
    <row r="5237" spans="1:11">
      <c r="A5237" t="str">
        <f>"920098"</f>
        <v>920098</v>
      </c>
      <c r="B5237" t="s">
        <v>5594</v>
      </c>
      <c r="C5237">
        <v>17.84</v>
      </c>
      <c r="D5237">
        <v>11.31</v>
      </c>
      <c r="E5237">
        <v>9.36</v>
      </c>
      <c r="F5237">
        <v>0.81</v>
      </c>
      <c r="G5237">
        <v>0.55</v>
      </c>
      <c r="H5237">
        <v>5216</v>
      </c>
      <c r="I5237">
        <v>2.81</v>
      </c>
      <c r="J5237">
        <v>38.44</v>
      </c>
      <c r="K5237" t="s">
        <v>705</v>
      </c>
    </row>
    <row r="5238" spans="1:11">
      <c r="A5238" t="str">
        <f>"920099"</f>
        <v>920099</v>
      </c>
      <c r="B5238" t="s">
        <v>5595</v>
      </c>
      <c r="C5238">
        <v>13.14</v>
      </c>
      <c r="D5238">
        <v>13.98</v>
      </c>
      <c r="E5238">
        <v>8.73</v>
      </c>
      <c r="F5238">
        <v>0.78</v>
      </c>
      <c r="G5238">
        <v>0.39</v>
      </c>
      <c r="H5238">
        <v>4462</v>
      </c>
      <c r="I5238">
        <v>3</v>
      </c>
      <c r="J5238">
        <v>34.64</v>
      </c>
      <c r="K5238" t="s">
        <v>55</v>
      </c>
    </row>
    <row r="5239" spans="1:11">
      <c r="A5239" t="str">
        <f>"920100"</f>
        <v>920100</v>
      </c>
      <c r="B5239" t="s">
        <v>5596</v>
      </c>
      <c r="C5239">
        <v>12.03</v>
      </c>
      <c r="D5239">
        <v>6.73</v>
      </c>
      <c r="E5239">
        <v>4.59</v>
      </c>
      <c r="F5239">
        <v>0.74</v>
      </c>
      <c r="G5239">
        <v>0.17</v>
      </c>
      <c r="H5239">
        <v>6622</v>
      </c>
      <c r="I5239">
        <v>10.9</v>
      </c>
      <c r="J5239">
        <v>84.39</v>
      </c>
      <c r="K5239" t="s">
        <v>552</v>
      </c>
    </row>
    <row r="5240" spans="1:11">
      <c r="A5240" t="str">
        <f>"920101"</f>
        <v>920101</v>
      </c>
      <c r="B5240" t="s">
        <v>5597</v>
      </c>
      <c r="C5240">
        <v>10.59</v>
      </c>
      <c r="D5240">
        <v>13.81</v>
      </c>
      <c r="E5240">
        <v>10.24</v>
      </c>
      <c r="F5240">
        <v>0.89</v>
      </c>
      <c r="G5240">
        <v>0.26</v>
      </c>
      <c r="H5240">
        <v>11120</v>
      </c>
      <c r="I5240">
        <v>3.59</v>
      </c>
      <c r="J5240">
        <v>32.28</v>
      </c>
      <c r="K5240" t="s">
        <v>493</v>
      </c>
    </row>
    <row r="5241" spans="1:11">
      <c r="A5241" t="str">
        <f>"920106"</f>
        <v>920106</v>
      </c>
      <c r="B5241" t="s">
        <v>5598</v>
      </c>
      <c r="C5241">
        <v>35.58</v>
      </c>
      <c r="D5241">
        <v>6.48</v>
      </c>
      <c r="E5241">
        <v>5.39</v>
      </c>
      <c r="F5241">
        <v>0.57</v>
      </c>
      <c r="G5241">
        <v>0.44</v>
      </c>
      <c r="H5241">
        <v>4526</v>
      </c>
      <c r="I5241">
        <v>8.43</v>
      </c>
      <c r="J5241">
        <v>32.44</v>
      </c>
      <c r="K5241" t="s">
        <v>51</v>
      </c>
    </row>
    <row r="5242" spans="1:11">
      <c r="A5242" t="str">
        <f>"920108"</f>
        <v>920108</v>
      </c>
      <c r="B5242" t="s">
        <v>5599</v>
      </c>
      <c r="C5242">
        <v>5.02</v>
      </c>
      <c r="D5242">
        <v>9.76</v>
      </c>
      <c r="E5242">
        <v>4.92</v>
      </c>
      <c r="F5242">
        <v>1.72</v>
      </c>
      <c r="G5242">
        <v>0.35</v>
      </c>
      <c r="H5242">
        <v>4769</v>
      </c>
      <c r="I5242">
        <v>4.96</v>
      </c>
      <c r="J5242">
        <v>82.98</v>
      </c>
      <c r="K5242" t="s">
        <v>134</v>
      </c>
    </row>
    <row r="5243" spans="1:11">
      <c r="A5243" t="str">
        <f>"920110"</f>
        <v>920110</v>
      </c>
      <c r="B5243" t="s">
        <v>5600</v>
      </c>
      <c r="C5243">
        <v>6.14</v>
      </c>
      <c r="D5243">
        <v>3.85</v>
      </c>
      <c r="E5243">
        <v>3.57</v>
      </c>
      <c r="F5243">
        <v>0.39</v>
      </c>
      <c r="G5243">
        <v>0.16</v>
      </c>
      <c r="H5243">
        <v>3749</v>
      </c>
      <c r="I5243">
        <v>4.13</v>
      </c>
      <c r="J5243">
        <v>34.77</v>
      </c>
      <c r="K5243" t="s">
        <v>1010</v>
      </c>
    </row>
    <row r="5244" spans="1:11">
      <c r="A5244" t="str">
        <f>"920111"</f>
        <v>920111</v>
      </c>
      <c r="B5244" t="s">
        <v>5601</v>
      </c>
      <c r="C5244">
        <v>18.69</v>
      </c>
      <c r="D5244">
        <v>13.71</v>
      </c>
      <c r="E5244">
        <v>8.97</v>
      </c>
      <c r="F5244">
        <v>1.55</v>
      </c>
      <c r="G5244">
        <v>0.74</v>
      </c>
      <c r="H5244">
        <v>6370</v>
      </c>
      <c r="I5244">
        <v>4.35</v>
      </c>
      <c r="J5244">
        <v>35.12</v>
      </c>
      <c r="K5244" t="s">
        <v>943</v>
      </c>
    </row>
    <row r="5245" spans="1:11">
      <c r="A5245" t="str">
        <f>"920112"</f>
        <v>920112</v>
      </c>
      <c r="B5245" t="s">
        <v>5602</v>
      </c>
      <c r="C5245">
        <v>9.04</v>
      </c>
      <c r="D5245">
        <v>11.44</v>
      </c>
      <c r="E5245">
        <v>9.16</v>
      </c>
      <c r="F5245">
        <v>0.85</v>
      </c>
      <c r="G5245">
        <v>0.23</v>
      </c>
      <c r="H5245">
        <v>8184</v>
      </c>
      <c r="I5245">
        <v>3.61</v>
      </c>
      <c r="J5245">
        <v>20.59</v>
      </c>
      <c r="K5245" t="s">
        <v>493</v>
      </c>
    </row>
    <row r="5246" spans="1:11">
      <c r="A5246" t="str">
        <f>"920116"</f>
        <v>920116</v>
      </c>
      <c r="B5246" t="s">
        <v>5603</v>
      </c>
      <c r="C5246">
        <v>59.25</v>
      </c>
      <c r="D5246">
        <v>7.11</v>
      </c>
      <c r="E5246">
        <v>5.49</v>
      </c>
      <c r="F5246">
        <v>1.6</v>
      </c>
      <c r="G5246">
        <v>0.41</v>
      </c>
      <c r="H5246">
        <v>10395</v>
      </c>
      <c r="I5246">
        <v>42.53</v>
      </c>
      <c r="J5246">
        <v>278.15</v>
      </c>
      <c r="K5246" t="s">
        <v>223</v>
      </c>
    </row>
    <row r="5247" spans="1:11">
      <c r="A5247" t="str">
        <f>"920118"</f>
        <v>920118</v>
      </c>
      <c r="B5247" t="s">
        <v>5604</v>
      </c>
      <c r="C5247">
        <v>7.45</v>
      </c>
      <c r="D5247">
        <v>13.33</v>
      </c>
      <c r="E5247">
        <v>5.63</v>
      </c>
      <c r="F5247">
        <v>0.51</v>
      </c>
      <c r="G5247">
        <v>0.31</v>
      </c>
      <c r="H5247">
        <v>2687</v>
      </c>
      <c r="I5247">
        <v>2.18</v>
      </c>
      <c r="J5247">
        <v>42.3</v>
      </c>
      <c r="K5247" t="s">
        <v>549</v>
      </c>
    </row>
    <row r="5248" spans="1:11">
      <c r="A5248" t="str">
        <f>"920121"</f>
        <v>920121</v>
      </c>
      <c r="B5248" t="s">
        <v>5605</v>
      </c>
      <c r="C5248">
        <v>5.35</v>
      </c>
      <c r="D5248">
        <v>7.19</v>
      </c>
      <c r="E5248">
        <v>5.12</v>
      </c>
      <c r="F5248">
        <v>0.66</v>
      </c>
      <c r="G5248">
        <v>0.12</v>
      </c>
      <c r="H5248">
        <v>0</v>
      </c>
      <c r="I5248">
        <v>3.91</v>
      </c>
      <c r="J5248">
        <v>25.03</v>
      </c>
      <c r="K5248" t="s">
        <v>672</v>
      </c>
    </row>
    <row r="5249" spans="1:11">
      <c r="A5249" t="str">
        <f>"920122"</f>
        <v>920122</v>
      </c>
      <c r="B5249" t="s">
        <v>5606</v>
      </c>
      <c r="C5249">
        <v>12.79</v>
      </c>
      <c r="D5249">
        <v>4.01</v>
      </c>
      <c r="E5249">
        <v>3.45</v>
      </c>
      <c r="F5249">
        <v>0.92</v>
      </c>
      <c r="G5249">
        <v>0.36</v>
      </c>
      <c r="H5249">
        <v>4768</v>
      </c>
      <c r="I5249">
        <v>9.58</v>
      </c>
      <c r="J5249">
        <v>147.07</v>
      </c>
      <c r="K5249" t="s">
        <v>1733</v>
      </c>
    </row>
    <row r="5250" spans="1:11">
      <c r="A5250" t="str">
        <f>"920123"</f>
        <v>920123</v>
      </c>
      <c r="B5250" t="s">
        <v>5607</v>
      </c>
      <c r="C5250">
        <v>10.43</v>
      </c>
      <c r="D5250">
        <v>8.7</v>
      </c>
      <c r="E5250">
        <v>4.05</v>
      </c>
      <c r="F5250">
        <v>1.12</v>
      </c>
      <c r="G5250">
        <v>0.64</v>
      </c>
      <c r="H5250">
        <v>5268</v>
      </c>
      <c r="I5250">
        <v>4.51</v>
      </c>
      <c r="J5250">
        <v>46.59</v>
      </c>
      <c r="K5250" t="s">
        <v>856</v>
      </c>
    </row>
    <row r="5251" spans="1:11">
      <c r="A5251" t="str">
        <f>"920124"</f>
        <v>920124</v>
      </c>
      <c r="B5251" t="s">
        <v>5608</v>
      </c>
      <c r="C5251">
        <v>14.52</v>
      </c>
      <c r="D5251">
        <v>18.01</v>
      </c>
      <c r="E5251">
        <v>7.56</v>
      </c>
      <c r="F5251">
        <v>1.49</v>
      </c>
      <c r="G5251">
        <v>0.77</v>
      </c>
      <c r="H5251">
        <v>0</v>
      </c>
      <c r="I5251">
        <v>2.71</v>
      </c>
      <c r="J5251">
        <v>24.93</v>
      </c>
      <c r="K5251" t="s">
        <v>203</v>
      </c>
    </row>
    <row r="5252" spans="1:11">
      <c r="A5252" t="str">
        <f>"920128"</f>
        <v>920128</v>
      </c>
      <c r="B5252" t="s">
        <v>5609</v>
      </c>
      <c r="C5252">
        <v>11.55</v>
      </c>
      <c r="D5252">
        <v>8</v>
      </c>
      <c r="E5252">
        <v>5.16</v>
      </c>
      <c r="F5252">
        <v>0.81</v>
      </c>
      <c r="G5252">
        <v>0.38</v>
      </c>
      <c r="H5252">
        <v>5628</v>
      </c>
      <c r="I5252">
        <v>4.76</v>
      </c>
      <c r="J5252">
        <v>94.56</v>
      </c>
      <c r="K5252" t="s">
        <v>82</v>
      </c>
    </row>
    <row r="5253" spans="1:11">
      <c r="A5253" t="str">
        <f>"920130"</f>
        <v>920130</v>
      </c>
      <c r="B5253" t="s">
        <v>5610</v>
      </c>
      <c r="C5253">
        <v>17.28</v>
      </c>
      <c r="D5253">
        <v>6.83</v>
      </c>
      <c r="E5253">
        <v>5.11</v>
      </c>
      <c r="F5253">
        <v>0.92</v>
      </c>
      <c r="G5253">
        <v>0.56</v>
      </c>
      <c r="H5253">
        <v>5709</v>
      </c>
      <c r="I5253">
        <v>5.58</v>
      </c>
      <c r="J5253" t="s">
        <v>14</v>
      </c>
      <c r="K5253" t="s">
        <v>117</v>
      </c>
    </row>
    <row r="5254" spans="1:11">
      <c r="A5254" t="str">
        <f>"920132"</f>
        <v>920132</v>
      </c>
      <c r="B5254" t="s">
        <v>5611</v>
      </c>
      <c r="C5254">
        <v>4.84</v>
      </c>
      <c r="D5254">
        <v>4</v>
      </c>
      <c r="E5254">
        <v>2.57</v>
      </c>
      <c r="F5254">
        <v>0.83</v>
      </c>
      <c r="G5254">
        <v>0.28</v>
      </c>
      <c r="H5254">
        <v>2503</v>
      </c>
      <c r="I5254">
        <v>5.56</v>
      </c>
      <c r="J5254">
        <v>113</v>
      </c>
      <c r="K5254" t="s">
        <v>625</v>
      </c>
    </row>
    <row r="5255" spans="1:11">
      <c r="A5255" t="str">
        <f>"920139"</f>
        <v>920139</v>
      </c>
      <c r="B5255" t="s">
        <v>5612</v>
      </c>
      <c r="C5255">
        <v>57.81</v>
      </c>
      <c r="D5255">
        <v>13.14</v>
      </c>
      <c r="E5255">
        <v>10.71</v>
      </c>
      <c r="F5255">
        <v>2.7</v>
      </c>
      <c r="G5255">
        <v>2.58</v>
      </c>
      <c r="H5255">
        <v>17472</v>
      </c>
      <c r="I5255">
        <v>5.63</v>
      </c>
      <c r="J5255" t="s">
        <v>14</v>
      </c>
      <c r="K5255" t="s">
        <v>838</v>
      </c>
    </row>
    <row r="5256" spans="1:11">
      <c r="A5256" t="str">
        <f>"920145"</f>
        <v>920145</v>
      </c>
      <c r="B5256" t="s">
        <v>5613</v>
      </c>
      <c r="C5256">
        <v>9.76</v>
      </c>
      <c r="D5256">
        <v>2.69</v>
      </c>
      <c r="E5256">
        <v>2.6</v>
      </c>
      <c r="F5256">
        <v>0.71</v>
      </c>
      <c r="G5256">
        <v>0.49</v>
      </c>
      <c r="H5256">
        <v>4723</v>
      </c>
      <c r="I5256">
        <v>5.44</v>
      </c>
      <c r="J5256" t="s">
        <v>14</v>
      </c>
      <c r="K5256" t="s">
        <v>228</v>
      </c>
    </row>
    <row r="5257" spans="1:11">
      <c r="A5257" t="str">
        <f>"920146"</f>
        <v>920146</v>
      </c>
      <c r="B5257" t="s">
        <v>5614</v>
      </c>
      <c r="C5257">
        <v>9.72</v>
      </c>
      <c r="D5257">
        <v>5.74</v>
      </c>
      <c r="E5257">
        <v>2.21</v>
      </c>
      <c r="F5257">
        <v>1.35</v>
      </c>
      <c r="G5257">
        <v>1.07</v>
      </c>
      <c r="H5257">
        <v>8317</v>
      </c>
      <c r="I5257">
        <v>5.54</v>
      </c>
      <c r="J5257">
        <v>3889.34</v>
      </c>
      <c r="K5257" t="s">
        <v>51</v>
      </c>
    </row>
    <row r="5258" spans="1:11">
      <c r="A5258" t="str">
        <f>"920149"</f>
        <v>920149</v>
      </c>
      <c r="B5258" t="s">
        <v>5615</v>
      </c>
      <c r="C5258">
        <v>8.06</v>
      </c>
      <c r="D5258">
        <v>9.89</v>
      </c>
      <c r="E5258">
        <v>1.53</v>
      </c>
      <c r="F5258">
        <v>0.76</v>
      </c>
      <c r="G5258">
        <v>0.63</v>
      </c>
      <c r="H5258">
        <v>5202</v>
      </c>
      <c r="I5258">
        <v>6.26</v>
      </c>
      <c r="J5258" t="s">
        <v>14</v>
      </c>
      <c r="K5258" t="s">
        <v>55</v>
      </c>
    </row>
    <row r="5259" spans="1:11">
      <c r="A5259" t="str">
        <f>"920152"</f>
        <v>920152</v>
      </c>
      <c r="B5259" t="s">
        <v>5616</v>
      </c>
      <c r="C5259">
        <v>21.9</v>
      </c>
      <c r="D5259">
        <v>15.1</v>
      </c>
      <c r="E5259">
        <v>3.59</v>
      </c>
      <c r="F5259">
        <v>1.11</v>
      </c>
      <c r="G5259">
        <v>0.82</v>
      </c>
      <c r="H5259">
        <v>4419</v>
      </c>
      <c r="I5259">
        <v>8.26</v>
      </c>
      <c r="J5259" t="s">
        <v>14</v>
      </c>
      <c r="K5259" t="s">
        <v>307</v>
      </c>
    </row>
    <row r="5260" spans="1:11">
      <c r="A5260" t="str">
        <f>"920158"</f>
        <v>920158</v>
      </c>
      <c r="B5260" t="s">
        <v>5617</v>
      </c>
      <c r="C5260">
        <v>6.23</v>
      </c>
      <c r="D5260">
        <v>7.15</v>
      </c>
      <c r="E5260">
        <v>5.19</v>
      </c>
      <c r="F5260">
        <v>1.43</v>
      </c>
      <c r="G5260">
        <v>0.38</v>
      </c>
      <c r="H5260">
        <v>8705</v>
      </c>
      <c r="I5260">
        <v>4.49</v>
      </c>
      <c r="J5260">
        <v>52.85</v>
      </c>
      <c r="K5260" t="s">
        <v>491</v>
      </c>
    </row>
    <row r="5261" spans="1:11">
      <c r="A5261" t="str">
        <f>"920160"</f>
        <v>920160</v>
      </c>
      <c r="B5261" t="s">
        <v>5618</v>
      </c>
      <c r="C5261">
        <v>6.92</v>
      </c>
      <c r="D5261">
        <v>3.63</v>
      </c>
      <c r="E5261">
        <v>3.2</v>
      </c>
      <c r="F5261">
        <v>1.13</v>
      </c>
      <c r="G5261">
        <v>0.25</v>
      </c>
      <c r="H5261">
        <v>0</v>
      </c>
      <c r="I5261">
        <v>6.24</v>
      </c>
      <c r="J5261">
        <v>41.85</v>
      </c>
      <c r="K5261" t="s">
        <v>1733</v>
      </c>
    </row>
    <row r="5262" spans="1:11">
      <c r="A5262" t="str">
        <f>"920163"</f>
        <v>920163</v>
      </c>
      <c r="B5262" t="s">
        <v>5619</v>
      </c>
      <c r="C5262">
        <v>9.8</v>
      </c>
      <c r="D5262">
        <v>8.93</v>
      </c>
      <c r="E5262">
        <v>4.85</v>
      </c>
      <c r="F5262">
        <v>1.29</v>
      </c>
      <c r="G5262">
        <v>0.6</v>
      </c>
      <c r="H5262">
        <v>5096</v>
      </c>
      <c r="I5262">
        <v>4.35</v>
      </c>
      <c r="J5262">
        <v>54.54</v>
      </c>
      <c r="K5262" t="s">
        <v>1030</v>
      </c>
    </row>
    <row r="5263" spans="1:11">
      <c r="A5263" t="str">
        <f>"920167"</f>
        <v>920167</v>
      </c>
      <c r="B5263" t="s">
        <v>5620</v>
      </c>
      <c r="C5263">
        <v>12.02</v>
      </c>
      <c r="D5263">
        <v>24.4</v>
      </c>
      <c r="E5263">
        <v>6.21</v>
      </c>
      <c r="F5263">
        <v>1.1</v>
      </c>
      <c r="G5263">
        <v>0.65</v>
      </c>
      <c r="H5263">
        <v>6380</v>
      </c>
      <c r="I5263">
        <v>3.25</v>
      </c>
      <c r="J5263">
        <v>128.29</v>
      </c>
      <c r="K5263" t="s">
        <v>667</v>
      </c>
    </row>
    <row r="5264" spans="1:11">
      <c r="A5264" t="str">
        <f>"920169"</f>
        <v>920169</v>
      </c>
      <c r="B5264" t="s">
        <v>5621</v>
      </c>
      <c r="C5264">
        <v>23.45</v>
      </c>
      <c r="D5264">
        <v>4.06</v>
      </c>
      <c r="E5264">
        <v>3.35</v>
      </c>
      <c r="F5264">
        <v>0.81</v>
      </c>
      <c r="G5264">
        <v>0.51</v>
      </c>
      <c r="H5264">
        <v>8531</v>
      </c>
      <c r="I5264">
        <v>11.26</v>
      </c>
      <c r="J5264">
        <v>98.51</v>
      </c>
      <c r="K5264" t="s">
        <v>424</v>
      </c>
    </row>
    <row r="5265" spans="1:11">
      <c r="A5265" t="str">
        <f>"920171"</f>
        <v>920171</v>
      </c>
      <c r="B5265" t="s">
        <v>5622</v>
      </c>
      <c r="C5265">
        <v>17.95</v>
      </c>
      <c r="D5265">
        <v>3.64</v>
      </c>
      <c r="E5265">
        <v>2.1</v>
      </c>
      <c r="F5265">
        <v>1</v>
      </c>
      <c r="G5265">
        <v>0.67</v>
      </c>
      <c r="H5265">
        <v>8221</v>
      </c>
      <c r="I5265">
        <v>12.7</v>
      </c>
      <c r="J5265" t="s">
        <v>14</v>
      </c>
      <c r="K5265" t="s">
        <v>117</v>
      </c>
    </row>
    <row r="5266" spans="1:11">
      <c r="A5266" t="str">
        <f>"920174"</f>
        <v>920174</v>
      </c>
      <c r="B5266" t="s">
        <v>5623</v>
      </c>
      <c r="C5266">
        <v>42.85</v>
      </c>
      <c r="D5266">
        <v>11.64</v>
      </c>
      <c r="E5266">
        <v>8.4</v>
      </c>
      <c r="F5266">
        <v>0.9</v>
      </c>
      <c r="G5266">
        <v>0.87</v>
      </c>
      <c r="H5266">
        <v>12468</v>
      </c>
      <c r="I5266">
        <v>5.27</v>
      </c>
      <c r="J5266">
        <v>50.22</v>
      </c>
      <c r="K5266" t="s">
        <v>115</v>
      </c>
    </row>
    <row r="5267" spans="1:11">
      <c r="A5267" t="str">
        <f>"920175"</f>
        <v>920175</v>
      </c>
      <c r="B5267" t="s">
        <v>5624</v>
      </c>
      <c r="C5267">
        <v>9.62</v>
      </c>
      <c r="D5267">
        <v>12.18</v>
      </c>
      <c r="E5267">
        <v>7.19</v>
      </c>
      <c r="F5267">
        <v>1.19</v>
      </c>
      <c r="G5267">
        <v>0.79</v>
      </c>
      <c r="H5267">
        <v>7362</v>
      </c>
      <c r="I5267">
        <v>2.01</v>
      </c>
      <c r="J5267" t="s">
        <v>14</v>
      </c>
      <c r="K5267" t="s">
        <v>682</v>
      </c>
    </row>
    <row r="5268" spans="1:11">
      <c r="A5268" t="str">
        <f>"920179"</f>
        <v>920179</v>
      </c>
      <c r="B5268" t="s">
        <v>5625</v>
      </c>
      <c r="C5268">
        <v>26.16</v>
      </c>
      <c r="D5268">
        <v>10.43</v>
      </c>
      <c r="E5268">
        <v>7.55</v>
      </c>
      <c r="F5268">
        <v>0.75</v>
      </c>
      <c r="G5268">
        <v>0.6</v>
      </c>
      <c r="H5268">
        <v>7255</v>
      </c>
      <c r="I5268">
        <v>4.35</v>
      </c>
      <c r="J5268">
        <v>110.76</v>
      </c>
      <c r="K5268" t="s">
        <v>682</v>
      </c>
    </row>
    <row r="5269" spans="1:11">
      <c r="A5269" t="str">
        <f>"920184"</f>
        <v>920184</v>
      </c>
      <c r="B5269" t="s">
        <v>5626</v>
      </c>
      <c r="C5269">
        <v>19.67</v>
      </c>
      <c r="D5269">
        <v>6.58</v>
      </c>
      <c r="E5269">
        <v>6.22</v>
      </c>
      <c r="F5269">
        <v>1.33</v>
      </c>
      <c r="G5269">
        <v>0.88</v>
      </c>
      <c r="H5269">
        <v>11487</v>
      </c>
      <c r="I5269">
        <v>4.78</v>
      </c>
      <c r="J5269">
        <v>167.81</v>
      </c>
      <c r="K5269" t="s">
        <v>117</v>
      </c>
    </row>
    <row r="5270" spans="1:11">
      <c r="A5270" t="str">
        <f>"920185"</f>
        <v>920185</v>
      </c>
      <c r="B5270" t="s">
        <v>5627</v>
      </c>
      <c r="C5270">
        <v>364.92</v>
      </c>
      <c r="D5270">
        <v>357.42</v>
      </c>
      <c r="E5270">
        <v>124.59</v>
      </c>
      <c r="F5270">
        <v>11.27</v>
      </c>
      <c r="G5270">
        <v>11.09</v>
      </c>
      <c r="H5270">
        <v>26299</v>
      </c>
      <c r="I5270">
        <v>2.98</v>
      </c>
      <c r="J5270">
        <v>36.23</v>
      </c>
      <c r="K5270" t="s">
        <v>24</v>
      </c>
    </row>
    <row r="5271" spans="1:11">
      <c r="A5271" t="str">
        <f>"920190"</f>
        <v>920190</v>
      </c>
      <c r="B5271" t="s">
        <v>5628</v>
      </c>
      <c r="C5271">
        <v>32.72</v>
      </c>
      <c r="D5271">
        <v>19.04</v>
      </c>
      <c r="E5271">
        <v>8.58</v>
      </c>
      <c r="F5271">
        <v>1</v>
      </c>
      <c r="G5271">
        <v>0.99</v>
      </c>
      <c r="H5271">
        <v>10158</v>
      </c>
      <c r="I5271">
        <v>3.83</v>
      </c>
      <c r="J5271">
        <v>123.1</v>
      </c>
      <c r="K5271" t="s">
        <v>88</v>
      </c>
    </row>
    <row r="5272" spans="1:11">
      <c r="A5272" t="str">
        <f>"920195"</f>
        <v>920195</v>
      </c>
      <c r="B5272" t="s">
        <v>5629</v>
      </c>
      <c r="C5272">
        <v>15.74</v>
      </c>
      <c r="D5272">
        <v>14.59</v>
      </c>
      <c r="E5272">
        <v>7.99</v>
      </c>
      <c r="F5272">
        <v>0.98</v>
      </c>
      <c r="G5272">
        <v>0.71</v>
      </c>
      <c r="H5272">
        <v>5910</v>
      </c>
      <c r="I5272">
        <v>2.73</v>
      </c>
      <c r="J5272">
        <v>20.42</v>
      </c>
      <c r="K5272" t="s">
        <v>51</v>
      </c>
    </row>
    <row r="5273" spans="1:11">
      <c r="A5273" t="str">
        <f>"920198"</f>
        <v>920198</v>
      </c>
      <c r="B5273" t="s">
        <v>5630</v>
      </c>
      <c r="C5273">
        <v>8.17</v>
      </c>
      <c r="D5273">
        <v>6.77</v>
      </c>
      <c r="E5273">
        <v>4</v>
      </c>
      <c r="F5273">
        <v>1.61</v>
      </c>
      <c r="G5273">
        <v>0.7</v>
      </c>
      <c r="H5273">
        <v>7896</v>
      </c>
      <c r="I5273">
        <v>4.67</v>
      </c>
      <c r="J5273" t="s">
        <v>14</v>
      </c>
      <c r="K5273" t="s">
        <v>1022</v>
      </c>
    </row>
    <row r="5274" spans="1:11">
      <c r="A5274" t="str">
        <f>"920199"</f>
        <v>920199</v>
      </c>
      <c r="B5274" t="s">
        <v>5631</v>
      </c>
      <c r="C5274">
        <v>18</v>
      </c>
      <c r="D5274">
        <v>7.15</v>
      </c>
      <c r="E5274">
        <v>5.25</v>
      </c>
      <c r="F5274">
        <v>0.68</v>
      </c>
      <c r="G5274">
        <v>0.37</v>
      </c>
      <c r="H5274">
        <v>5874</v>
      </c>
      <c r="I5274">
        <v>6.31</v>
      </c>
      <c r="J5274">
        <v>743.42</v>
      </c>
      <c r="K5274" t="s">
        <v>1399</v>
      </c>
    </row>
    <row r="5275" spans="1:11">
      <c r="A5275" t="str">
        <f>"920204"</f>
        <v>920204</v>
      </c>
      <c r="B5275" t="s">
        <v>5632</v>
      </c>
      <c r="C5275">
        <v>9.6</v>
      </c>
      <c r="D5275">
        <v>6.28</v>
      </c>
      <c r="E5275">
        <v>4.89</v>
      </c>
      <c r="F5275">
        <v>0.94</v>
      </c>
      <c r="G5275">
        <v>0.5</v>
      </c>
      <c r="H5275">
        <v>5545</v>
      </c>
      <c r="I5275">
        <v>3.71</v>
      </c>
      <c r="J5275">
        <v>78.4</v>
      </c>
      <c r="K5275" t="s">
        <v>324</v>
      </c>
    </row>
    <row r="5276" spans="1:11">
      <c r="A5276" t="str">
        <f>"920207"</f>
        <v>920207</v>
      </c>
      <c r="B5276" t="s">
        <v>5633</v>
      </c>
      <c r="C5276">
        <v>22.23</v>
      </c>
      <c r="D5276">
        <v>7.05</v>
      </c>
      <c r="E5276">
        <v>2.87</v>
      </c>
      <c r="F5276">
        <v>0.92</v>
      </c>
      <c r="G5276">
        <v>0.56</v>
      </c>
      <c r="H5276">
        <v>7115</v>
      </c>
      <c r="I5276">
        <v>12.68</v>
      </c>
      <c r="J5276" t="s">
        <v>14</v>
      </c>
      <c r="K5276" t="s">
        <v>117</v>
      </c>
    </row>
    <row r="5277" spans="1:11">
      <c r="A5277" t="str">
        <f>"920208"</f>
        <v>920208</v>
      </c>
      <c r="B5277" t="s">
        <v>5634</v>
      </c>
      <c r="C5277">
        <v>27.56</v>
      </c>
      <c r="D5277">
        <v>14.14</v>
      </c>
      <c r="E5277">
        <v>9.91</v>
      </c>
      <c r="F5277">
        <v>1.34</v>
      </c>
      <c r="G5277">
        <v>0.98</v>
      </c>
      <c r="H5277">
        <v>5842</v>
      </c>
      <c r="I5277">
        <v>3.81</v>
      </c>
      <c r="J5277">
        <v>28.02</v>
      </c>
      <c r="K5277" t="s">
        <v>428</v>
      </c>
    </row>
    <row r="5278" spans="1:11">
      <c r="A5278" t="str">
        <f>"920212"</f>
        <v>920212</v>
      </c>
      <c r="B5278" t="s">
        <v>5635</v>
      </c>
      <c r="C5278">
        <v>7.6</v>
      </c>
      <c r="D5278">
        <v>5.53</v>
      </c>
      <c r="E5278">
        <v>4.2</v>
      </c>
      <c r="F5278">
        <v>1.06</v>
      </c>
      <c r="G5278">
        <v>0.52</v>
      </c>
      <c r="H5278">
        <v>5610</v>
      </c>
      <c r="I5278">
        <v>3.73</v>
      </c>
      <c r="J5278">
        <v>162.03</v>
      </c>
      <c r="K5278" t="s">
        <v>41</v>
      </c>
    </row>
    <row r="5279" spans="1:11">
      <c r="A5279" t="str">
        <f>"920221"</f>
        <v>920221</v>
      </c>
      <c r="B5279" t="s">
        <v>5636</v>
      </c>
      <c r="C5279">
        <v>11.03</v>
      </c>
      <c r="D5279">
        <v>5.63</v>
      </c>
      <c r="E5279">
        <v>4.08</v>
      </c>
      <c r="F5279">
        <v>1.16</v>
      </c>
      <c r="G5279">
        <v>0.62</v>
      </c>
      <c r="H5279">
        <v>4563</v>
      </c>
      <c r="I5279">
        <v>5.08</v>
      </c>
      <c r="J5279">
        <v>32.77</v>
      </c>
      <c r="K5279" t="s">
        <v>517</v>
      </c>
    </row>
    <row r="5280" spans="1:11">
      <c r="A5280" t="str">
        <f>"920223"</f>
        <v>920223</v>
      </c>
      <c r="B5280" t="s">
        <v>5637</v>
      </c>
      <c r="C5280">
        <v>19.34</v>
      </c>
      <c r="D5280">
        <v>5.83</v>
      </c>
      <c r="E5280">
        <v>2.51</v>
      </c>
      <c r="F5280">
        <v>1.57</v>
      </c>
      <c r="G5280">
        <v>0.82</v>
      </c>
      <c r="H5280">
        <v>8452</v>
      </c>
      <c r="I5280">
        <v>14.85</v>
      </c>
      <c r="J5280" t="s">
        <v>14</v>
      </c>
      <c r="K5280" t="s">
        <v>424</v>
      </c>
    </row>
    <row r="5281" spans="1:11">
      <c r="A5281" t="str">
        <f>"920225"</f>
        <v>920225</v>
      </c>
      <c r="B5281" t="s">
        <v>5638</v>
      </c>
      <c r="C5281">
        <v>29.35</v>
      </c>
      <c r="D5281">
        <v>9.03</v>
      </c>
      <c r="E5281">
        <v>7.14</v>
      </c>
      <c r="F5281">
        <v>1.27</v>
      </c>
      <c r="G5281">
        <v>0.83</v>
      </c>
      <c r="H5281">
        <v>7615</v>
      </c>
      <c r="I5281">
        <v>6.3</v>
      </c>
      <c r="J5281">
        <v>51.04</v>
      </c>
      <c r="K5281" t="s">
        <v>705</v>
      </c>
    </row>
    <row r="5282" spans="1:11">
      <c r="A5282" t="str">
        <f>"920227"</f>
        <v>920227</v>
      </c>
      <c r="B5282" t="s">
        <v>5639</v>
      </c>
      <c r="C5282">
        <v>20.36</v>
      </c>
      <c r="D5282">
        <v>4.29</v>
      </c>
      <c r="E5282">
        <v>4.02</v>
      </c>
      <c r="F5282">
        <v>0.39</v>
      </c>
      <c r="G5282">
        <v>0.18</v>
      </c>
      <c r="H5282">
        <v>4435</v>
      </c>
      <c r="I5282">
        <v>11.2</v>
      </c>
      <c r="J5282">
        <v>113.05</v>
      </c>
      <c r="K5282" t="s">
        <v>924</v>
      </c>
    </row>
    <row r="5283" spans="1:11">
      <c r="A5283" t="str">
        <f>"920230"</f>
        <v>920230</v>
      </c>
      <c r="B5283" t="s">
        <v>5640</v>
      </c>
      <c r="C5283">
        <v>6.67</v>
      </c>
      <c r="D5283">
        <v>5.05</v>
      </c>
      <c r="E5283">
        <v>4.07</v>
      </c>
      <c r="F5283">
        <v>1.01</v>
      </c>
      <c r="G5283">
        <v>0.47</v>
      </c>
      <c r="H5283">
        <v>5329</v>
      </c>
      <c r="I5283">
        <v>3.5</v>
      </c>
      <c r="J5283">
        <v>259.79</v>
      </c>
      <c r="K5283" t="s">
        <v>210</v>
      </c>
    </row>
    <row r="5284" spans="1:11">
      <c r="A5284" t="str">
        <f>"920237"</f>
        <v>920237</v>
      </c>
      <c r="B5284" t="s">
        <v>5641</v>
      </c>
      <c r="C5284">
        <v>22.09</v>
      </c>
      <c r="D5284">
        <v>7.02</v>
      </c>
      <c r="E5284">
        <v>5.13</v>
      </c>
      <c r="F5284">
        <v>0.86</v>
      </c>
      <c r="G5284">
        <v>0.85</v>
      </c>
      <c r="H5284">
        <v>6898</v>
      </c>
      <c r="I5284">
        <v>4.39</v>
      </c>
      <c r="J5284">
        <v>54.51</v>
      </c>
      <c r="K5284" t="s">
        <v>70</v>
      </c>
    </row>
    <row r="5285" spans="1:11">
      <c r="A5285" t="str">
        <f>"920239"</f>
        <v>920239</v>
      </c>
      <c r="B5285" t="s">
        <v>5642</v>
      </c>
      <c r="C5285">
        <v>59.95</v>
      </c>
      <c r="D5285">
        <v>53.09</v>
      </c>
      <c r="E5285">
        <v>10.2</v>
      </c>
      <c r="F5285">
        <v>1.82</v>
      </c>
      <c r="G5285">
        <v>1.79</v>
      </c>
      <c r="H5285">
        <v>11375</v>
      </c>
      <c r="I5285">
        <v>5.96</v>
      </c>
      <c r="J5285">
        <v>25.83</v>
      </c>
      <c r="K5285" t="s">
        <v>70</v>
      </c>
    </row>
    <row r="5286" spans="1:11">
      <c r="A5286" t="str">
        <f>"920242"</f>
        <v>920242</v>
      </c>
      <c r="B5286" t="s">
        <v>5643</v>
      </c>
      <c r="C5286">
        <v>11.45</v>
      </c>
      <c r="D5286">
        <v>8.55</v>
      </c>
      <c r="E5286">
        <v>6.58</v>
      </c>
      <c r="F5286">
        <v>0.66</v>
      </c>
      <c r="G5286">
        <v>0.37</v>
      </c>
      <c r="H5286">
        <v>4160</v>
      </c>
      <c r="I5286">
        <v>3.1</v>
      </c>
      <c r="J5286">
        <v>21.14</v>
      </c>
      <c r="K5286" t="s">
        <v>51</v>
      </c>
    </row>
    <row r="5287" spans="1:11">
      <c r="A5287" t="str">
        <f>"920245"</f>
        <v>920245</v>
      </c>
      <c r="B5287" t="s">
        <v>5644</v>
      </c>
      <c r="C5287">
        <v>11.35</v>
      </c>
      <c r="D5287">
        <v>5.93</v>
      </c>
      <c r="E5287">
        <v>3.47</v>
      </c>
      <c r="F5287">
        <v>0.5</v>
      </c>
      <c r="G5287">
        <v>0.38</v>
      </c>
      <c r="H5287">
        <v>4984</v>
      </c>
      <c r="I5287">
        <v>4.27</v>
      </c>
      <c r="J5287">
        <v>68.72</v>
      </c>
      <c r="K5287" t="s">
        <v>641</v>
      </c>
    </row>
    <row r="5288" spans="1:11">
      <c r="A5288" t="str">
        <f>"920247"</f>
        <v>920247</v>
      </c>
      <c r="B5288" t="s">
        <v>5645</v>
      </c>
      <c r="C5288">
        <v>31.97</v>
      </c>
      <c r="D5288">
        <v>6.25</v>
      </c>
      <c r="E5288">
        <v>4.61</v>
      </c>
      <c r="F5288">
        <v>1.58</v>
      </c>
      <c r="G5288">
        <v>1.14</v>
      </c>
      <c r="H5288">
        <v>10585</v>
      </c>
      <c r="I5288">
        <v>9.56</v>
      </c>
      <c r="J5288">
        <v>132.37</v>
      </c>
      <c r="K5288" t="s">
        <v>705</v>
      </c>
    </row>
    <row r="5289" spans="1:11">
      <c r="A5289" t="str">
        <f>"920249"</f>
        <v>920249</v>
      </c>
      <c r="B5289" t="s">
        <v>5646</v>
      </c>
      <c r="C5289">
        <v>18.79</v>
      </c>
      <c r="D5289">
        <v>20.31</v>
      </c>
      <c r="E5289">
        <v>7.29</v>
      </c>
      <c r="F5289">
        <v>4.22</v>
      </c>
      <c r="G5289">
        <v>1.25</v>
      </c>
      <c r="H5289">
        <v>11631</v>
      </c>
      <c r="I5289">
        <v>8.72</v>
      </c>
      <c r="J5289">
        <v>273.77</v>
      </c>
      <c r="K5289" t="s">
        <v>82</v>
      </c>
    </row>
    <row r="5290" spans="1:11">
      <c r="A5290" t="str">
        <f>"920252"</f>
        <v>920252</v>
      </c>
      <c r="B5290" t="s">
        <v>5647</v>
      </c>
      <c r="C5290">
        <v>22.06</v>
      </c>
      <c r="D5290">
        <v>4.88</v>
      </c>
      <c r="E5290">
        <v>2.61</v>
      </c>
      <c r="F5290">
        <v>1.03</v>
      </c>
      <c r="G5290">
        <v>0.68</v>
      </c>
      <c r="H5290">
        <v>12717</v>
      </c>
      <c r="I5290">
        <v>12.71</v>
      </c>
      <c r="J5290">
        <v>366.23</v>
      </c>
      <c r="K5290" t="s">
        <v>70</v>
      </c>
    </row>
    <row r="5291" spans="1:11">
      <c r="A5291" t="str">
        <f>"920260"</f>
        <v>920260</v>
      </c>
      <c r="B5291" t="s">
        <v>5648</v>
      </c>
      <c r="C5291">
        <v>11.56</v>
      </c>
      <c r="D5291">
        <v>5.79</v>
      </c>
      <c r="E5291">
        <v>4.32</v>
      </c>
      <c r="F5291">
        <v>1.04</v>
      </c>
      <c r="G5291">
        <v>0.99</v>
      </c>
      <c r="H5291">
        <v>5330</v>
      </c>
      <c r="I5291">
        <v>2.81</v>
      </c>
      <c r="J5291">
        <v>36.7</v>
      </c>
      <c r="K5291" t="s">
        <v>493</v>
      </c>
    </row>
    <row r="5292" spans="1:11">
      <c r="A5292" t="str">
        <f>"920261"</f>
        <v>920261</v>
      </c>
      <c r="B5292" t="s">
        <v>5649</v>
      </c>
      <c r="C5292">
        <v>26.42</v>
      </c>
      <c r="D5292">
        <v>28.01</v>
      </c>
      <c r="E5292">
        <v>16.22</v>
      </c>
      <c r="F5292">
        <v>2.91</v>
      </c>
      <c r="G5292">
        <v>1.71</v>
      </c>
      <c r="H5292">
        <v>6491</v>
      </c>
      <c r="I5292">
        <v>2.78</v>
      </c>
      <c r="J5292">
        <v>20.62</v>
      </c>
      <c r="K5292" t="s">
        <v>939</v>
      </c>
    </row>
    <row r="5293" spans="1:11">
      <c r="A5293" t="str">
        <f>"920262"</f>
        <v>920262</v>
      </c>
      <c r="B5293" t="s">
        <v>5650</v>
      </c>
      <c r="C5293">
        <v>8.23</v>
      </c>
      <c r="D5293">
        <v>5.14</v>
      </c>
      <c r="E5293">
        <v>3.42</v>
      </c>
      <c r="F5293">
        <v>0.69</v>
      </c>
      <c r="G5293">
        <v>0.31</v>
      </c>
      <c r="H5293">
        <v>4750</v>
      </c>
      <c r="I5293">
        <v>5.33</v>
      </c>
      <c r="J5293">
        <v>59.05</v>
      </c>
      <c r="K5293" t="s">
        <v>846</v>
      </c>
    </row>
    <row r="5294" spans="1:11">
      <c r="A5294" t="str">
        <f>"920263"</f>
        <v>920263</v>
      </c>
      <c r="B5294" t="s">
        <v>5651</v>
      </c>
      <c r="C5294">
        <v>14.53</v>
      </c>
      <c r="D5294">
        <v>10.83</v>
      </c>
      <c r="E5294">
        <v>5.79</v>
      </c>
      <c r="F5294">
        <v>1.41</v>
      </c>
      <c r="G5294">
        <v>1.03</v>
      </c>
      <c r="H5294">
        <v>8145</v>
      </c>
      <c r="I5294">
        <v>3.45</v>
      </c>
      <c r="J5294">
        <v>76.92</v>
      </c>
      <c r="K5294" t="s">
        <v>1330</v>
      </c>
    </row>
    <row r="5295" spans="1:11">
      <c r="A5295" t="str">
        <f>"920266"</f>
        <v>920266</v>
      </c>
      <c r="B5295" t="s">
        <v>5652</v>
      </c>
      <c r="C5295">
        <v>11.53</v>
      </c>
      <c r="D5295">
        <v>10.75</v>
      </c>
      <c r="E5295">
        <v>8.9</v>
      </c>
      <c r="F5295">
        <v>1.24</v>
      </c>
      <c r="G5295">
        <v>1.18</v>
      </c>
      <c r="H5295">
        <v>7387</v>
      </c>
      <c r="I5295">
        <v>1.36</v>
      </c>
      <c r="J5295" t="s">
        <v>14</v>
      </c>
      <c r="K5295" t="s">
        <v>155</v>
      </c>
    </row>
    <row r="5296" spans="1:11">
      <c r="A5296" t="str">
        <f>"920267"</f>
        <v>920267</v>
      </c>
      <c r="B5296" t="s">
        <v>5653</v>
      </c>
      <c r="C5296">
        <v>7.09</v>
      </c>
      <c r="D5296">
        <v>6.95</v>
      </c>
      <c r="E5296">
        <v>2.6</v>
      </c>
      <c r="F5296">
        <v>0.5</v>
      </c>
      <c r="G5296">
        <v>0.29</v>
      </c>
      <c r="H5296">
        <v>4441</v>
      </c>
      <c r="I5296">
        <v>4.71</v>
      </c>
      <c r="J5296">
        <v>698.59</v>
      </c>
      <c r="K5296" t="s">
        <v>82</v>
      </c>
    </row>
    <row r="5297" spans="1:11">
      <c r="A5297" t="str">
        <f>"920270"</f>
        <v>920270</v>
      </c>
      <c r="B5297" t="s">
        <v>5654</v>
      </c>
      <c r="C5297">
        <v>16.84</v>
      </c>
      <c r="D5297">
        <v>4.75</v>
      </c>
      <c r="E5297">
        <v>4.08</v>
      </c>
      <c r="F5297">
        <v>1.05</v>
      </c>
      <c r="G5297">
        <v>0.81</v>
      </c>
      <c r="H5297">
        <v>4488</v>
      </c>
      <c r="I5297">
        <v>5.32</v>
      </c>
      <c r="J5297">
        <v>46.53</v>
      </c>
      <c r="K5297" t="s">
        <v>356</v>
      </c>
    </row>
    <row r="5298" spans="1:11">
      <c r="A5298" t="str">
        <f>"920271"</f>
        <v>920271</v>
      </c>
      <c r="B5298" t="s">
        <v>5655</v>
      </c>
      <c r="C5298">
        <v>9.7</v>
      </c>
      <c r="D5298">
        <v>7.12</v>
      </c>
      <c r="E5298">
        <v>6.16</v>
      </c>
      <c r="F5298">
        <v>1.31</v>
      </c>
      <c r="G5298">
        <v>0.58</v>
      </c>
      <c r="H5298">
        <v>4711</v>
      </c>
      <c r="I5298">
        <v>3.56</v>
      </c>
      <c r="J5298">
        <v>20.23</v>
      </c>
      <c r="K5298" t="s">
        <v>517</v>
      </c>
    </row>
    <row r="5299" spans="1:11">
      <c r="A5299" t="str">
        <f>"920273"</f>
        <v>920273</v>
      </c>
      <c r="B5299" t="s">
        <v>5656</v>
      </c>
      <c r="C5299">
        <v>23.33</v>
      </c>
      <c r="D5299">
        <v>7.58</v>
      </c>
      <c r="E5299">
        <v>6.5</v>
      </c>
      <c r="F5299">
        <v>1.03</v>
      </c>
      <c r="G5299">
        <v>0.69</v>
      </c>
      <c r="H5299">
        <v>7709</v>
      </c>
      <c r="I5299">
        <v>5.39</v>
      </c>
      <c r="J5299">
        <v>42.17</v>
      </c>
      <c r="K5299" t="s">
        <v>376</v>
      </c>
    </row>
    <row r="5300" spans="1:11">
      <c r="A5300" t="str">
        <f>"920274"</f>
        <v>920274</v>
      </c>
      <c r="B5300" t="s">
        <v>5657</v>
      </c>
      <c r="C5300">
        <v>23.51</v>
      </c>
      <c r="D5300">
        <v>9.03</v>
      </c>
      <c r="E5300">
        <v>4.88</v>
      </c>
      <c r="F5300">
        <v>0.81</v>
      </c>
      <c r="G5300">
        <v>0.81</v>
      </c>
      <c r="H5300">
        <v>4403</v>
      </c>
      <c r="I5300">
        <v>4.82</v>
      </c>
      <c r="J5300">
        <v>116.36</v>
      </c>
      <c r="K5300" t="s">
        <v>324</v>
      </c>
    </row>
    <row r="5301" spans="1:11">
      <c r="A5301" t="str">
        <f>"920275"</f>
        <v>920275</v>
      </c>
      <c r="B5301" t="s">
        <v>5658</v>
      </c>
      <c r="C5301">
        <v>13.71</v>
      </c>
      <c r="D5301">
        <v>2.4</v>
      </c>
      <c r="E5301">
        <v>2.33</v>
      </c>
      <c r="F5301">
        <v>1.59</v>
      </c>
      <c r="G5301">
        <v>1.32</v>
      </c>
      <c r="H5301">
        <v>4397</v>
      </c>
      <c r="I5301">
        <v>7.11</v>
      </c>
      <c r="J5301">
        <v>314.74</v>
      </c>
      <c r="K5301" t="s">
        <v>912</v>
      </c>
    </row>
    <row r="5302" spans="1:11">
      <c r="A5302" t="str">
        <f>"920278"</f>
        <v>920278</v>
      </c>
      <c r="B5302" t="s">
        <v>5659</v>
      </c>
      <c r="C5302">
        <v>8.06</v>
      </c>
      <c r="D5302">
        <v>5.73</v>
      </c>
      <c r="E5302">
        <v>3.83</v>
      </c>
      <c r="F5302">
        <v>1.75</v>
      </c>
      <c r="G5302">
        <v>0.74</v>
      </c>
      <c r="H5302">
        <v>6016</v>
      </c>
      <c r="I5302">
        <v>4.96</v>
      </c>
      <c r="J5302">
        <v>80.51</v>
      </c>
      <c r="K5302" t="s">
        <v>1005</v>
      </c>
    </row>
    <row r="5303" spans="1:11">
      <c r="A5303" t="str">
        <f>"920284"</f>
        <v>920284</v>
      </c>
      <c r="B5303" t="s">
        <v>5660</v>
      </c>
      <c r="C5303">
        <v>27.36</v>
      </c>
      <c r="D5303">
        <v>6.83</v>
      </c>
      <c r="E5303">
        <v>3.14</v>
      </c>
      <c r="F5303">
        <v>1.05</v>
      </c>
      <c r="G5303">
        <v>0.68</v>
      </c>
      <c r="H5303">
        <v>7271</v>
      </c>
      <c r="I5303">
        <v>13.46</v>
      </c>
      <c r="J5303">
        <v>439.44</v>
      </c>
      <c r="K5303" t="s">
        <v>493</v>
      </c>
    </row>
    <row r="5304" spans="1:11">
      <c r="A5304" t="str">
        <f>"920299"</f>
        <v>920299</v>
      </c>
      <c r="B5304" t="s">
        <v>5661</v>
      </c>
      <c r="C5304">
        <v>11.25</v>
      </c>
      <c r="D5304">
        <v>3.3</v>
      </c>
      <c r="E5304">
        <v>2.8</v>
      </c>
      <c r="F5304">
        <v>0.9</v>
      </c>
      <c r="G5304">
        <v>0.44</v>
      </c>
      <c r="H5304">
        <v>5762</v>
      </c>
      <c r="I5304">
        <v>8.2</v>
      </c>
      <c r="J5304">
        <v>108.85</v>
      </c>
      <c r="K5304" t="s">
        <v>127</v>
      </c>
    </row>
    <row r="5305" spans="1:11">
      <c r="A5305" t="str">
        <f>"920300"</f>
        <v>920300</v>
      </c>
      <c r="B5305" t="s">
        <v>5662</v>
      </c>
      <c r="C5305">
        <v>11.56</v>
      </c>
      <c r="D5305">
        <v>4.05</v>
      </c>
      <c r="E5305">
        <v>2.09</v>
      </c>
      <c r="F5305">
        <v>0.86</v>
      </c>
      <c r="G5305">
        <v>0.67</v>
      </c>
      <c r="H5305">
        <v>5605</v>
      </c>
      <c r="I5305">
        <v>7.15</v>
      </c>
      <c r="J5305" t="s">
        <v>14</v>
      </c>
      <c r="K5305" t="s">
        <v>1836</v>
      </c>
    </row>
    <row r="5306" spans="1:11">
      <c r="A5306" t="str">
        <f>"920304"</f>
        <v>920304</v>
      </c>
      <c r="B5306" t="s">
        <v>5663</v>
      </c>
      <c r="C5306">
        <v>10.93</v>
      </c>
      <c r="D5306">
        <v>8.81</v>
      </c>
      <c r="E5306">
        <v>5.16</v>
      </c>
      <c r="F5306">
        <v>1.62</v>
      </c>
      <c r="G5306">
        <v>0.79</v>
      </c>
      <c r="H5306">
        <v>5942</v>
      </c>
      <c r="I5306">
        <v>4.37</v>
      </c>
      <c r="J5306">
        <v>37.37</v>
      </c>
      <c r="K5306" t="s">
        <v>348</v>
      </c>
    </row>
    <row r="5307" spans="1:11">
      <c r="A5307" t="str">
        <f>"920305"</f>
        <v>920305</v>
      </c>
      <c r="B5307" t="s">
        <v>5664</v>
      </c>
      <c r="C5307">
        <v>8.59</v>
      </c>
      <c r="D5307">
        <v>8.2</v>
      </c>
      <c r="E5307">
        <v>6</v>
      </c>
      <c r="F5307">
        <v>1.32</v>
      </c>
      <c r="G5307">
        <v>0.81</v>
      </c>
      <c r="H5307">
        <v>9214</v>
      </c>
      <c r="I5307">
        <v>2.34</v>
      </c>
      <c r="J5307" t="s">
        <v>14</v>
      </c>
      <c r="K5307" t="s">
        <v>463</v>
      </c>
    </row>
    <row r="5308" spans="1:11">
      <c r="A5308" t="str">
        <f>"920339"</f>
        <v>920339</v>
      </c>
      <c r="B5308" t="s">
        <v>5665</v>
      </c>
      <c r="C5308">
        <v>15.1</v>
      </c>
      <c r="D5308">
        <v>8.01</v>
      </c>
      <c r="E5308">
        <v>6.08</v>
      </c>
      <c r="F5308">
        <v>2.2</v>
      </c>
      <c r="G5308">
        <v>1.51</v>
      </c>
      <c r="H5308">
        <v>4127</v>
      </c>
      <c r="I5308">
        <v>3.62</v>
      </c>
      <c r="J5308">
        <v>40.46</v>
      </c>
      <c r="K5308" t="s">
        <v>216</v>
      </c>
    </row>
    <row r="5309" spans="1:11">
      <c r="A5309" t="str">
        <f>"920344"</f>
        <v>920344</v>
      </c>
      <c r="B5309" t="s">
        <v>5666</v>
      </c>
      <c r="C5309">
        <v>31.29</v>
      </c>
      <c r="D5309">
        <v>12.05</v>
      </c>
      <c r="E5309">
        <v>6.07</v>
      </c>
      <c r="F5309">
        <v>1.22</v>
      </c>
      <c r="G5309">
        <v>1.13</v>
      </c>
      <c r="H5309">
        <v>5796</v>
      </c>
      <c r="I5309">
        <v>5.54</v>
      </c>
      <c r="J5309" t="s">
        <v>14</v>
      </c>
      <c r="K5309" t="s">
        <v>184</v>
      </c>
    </row>
    <row r="5310" spans="1:11">
      <c r="A5310" t="str">
        <f>"920346"</f>
        <v>920346</v>
      </c>
      <c r="B5310" t="s">
        <v>5667</v>
      </c>
      <c r="C5310">
        <v>12.2</v>
      </c>
      <c r="D5310">
        <v>5.31</v>
      </c>
      <c r="E5310">
        <v>4.62</v>
      </c>
      <c r="F5310">
        <v>0.81</v>
      </c>
      <c r="G5310">
        <v>0.45</v>
      </c>
      <c r="H5310">
        <v>6330</v>
      </c>
      <c r="I5310">
        <v>4.78</v>
      </c>
      <c r="J5310">
        <v>48.94</v>
      </c>
      <c r="K5310" t="s">
        <v>41</v>
      </c>
    </row>
    <row r="5311" spans="1:11">
      <c r="A5311" t="str">
        <f>"920351"</f>
        <v>920351</v>
      </c>
      <c r="B5311" t="s">
        <v>5668</v>
      </c>
      <c r="C5311">
        <v>9.5</v>
      </c>
      <c r="D5311">
        <v>10.23</v>
      </c>
      <c r="E5311">
        <v>4.36</v>
      </c>
      <c r="F5311">
        <v>0.88</v>
      </c>
      <c r="G5311">
        <v>0.4</v>
      </c>
      <c r="H5311">
        <v>6973</v>
      </c>
      <c r="I5311">
        <v>4.84</v>
      </c>
      <c r="J5311">
        <v>80.48</v>
      </c>
      <c r="K5311" t="s">
        <v>536</v>
      </c>
    </row>
    <row r="5312" spans="1:11">
      <c r="A5312" t="str">
        <f>"920357"</f>
        <v>920357</v>
      </c>
      <c r="B5312" t="s">
        <v>5669</v>
      </c>
      <c r="C5312">
        <v>11.1</v>
      </c>
      <c r="D5312">
        <v>5.92</v>
      </c>
      <c r="E5312">
        <v>3.67</v>
      </c>
      <c r="F5312">
        <v>0.8</v>
      </c>
      <c r="G5312">
        <v>0.45</v>
      </c>
      <c r="H5312">
        <v>5240</v>
      </c>
      <c r="I5312">
        <v>5.45</v>
      </c>
      <c r="J5312">
        <v>34.12</v>
      </c>
      <c r="K5312" t="s">
        <v>472</v>
      </c>
    </row>
    <row r="5313" spans="1:11">
      <c r="A5313" t="str">
        <f>"920363"</f>
        <v>920363</v>
      </c>
      <c r="B5313" t="s">
        <v>5670</v>
      </c>
      <c r="C5313">
        <v>11.08</v>
      </c>
      <c r="D5313">
        <v>4.4</v>
      </c>
      <c r="E5313">
        <v>3.51</v>
      </c>
      <c r="F5313">
        <v>0.95</v>
      </c>
      <c r="G5313">
        <v>0.51</v>
      </c>
      <c r="H5313">
        <v>5936</v>
      </c>
      <c r="I5313">
        <v>5.89</v>
      </c>
      <c r="J5313">
        <v>354.94</v>
      </c>
      <c r="K5313" t="s">
        <v>952</v>
      </c>
    </row>
    <row r="5314" spans="1:11">
      <c r="A5314" t="str">
        <f>"920367"</f>
        <v>920367</v>
      </c>
      <c r="B5314" t="s">
        <v>5671</v>
      </c>
      <c r="C5314">
        <v>11.7</v>
      </c>
      <c r="D5314">
        <v>5.46</v>
      </c>
      <c r="E5314">
        <v>4.75</v>
      </c>
      <c r="F5314">
        <v>0.71</v>
      </c>
      <c r="G5314">
        <v>0.42</v>
      </c>
      <c r="H5314">
        <v>4295</v>
      </c>
      <c r="I5314">
        <v>4.17</v>
      </c>
      <c r="J5314">
        <v>179.15</v>
      </c>
      <c r="K5314" t="s">
        <v>404</v>
      </c>
    </row>
    <row r="5315" spans="1:11">
      <c r="A5315" t="str">
        <f>"920368"</f>
        <v>920368</v>
      </c>
      <c r="B5315" t="s">
        <v>5672</v>
      </c>
      <c r="C5315">
        <v>68.77</v>
      </c>
      <c r="D5315">
        <v>87.66</v>
      </c>
      <c r="E5315">
        <v>42.2</v>
      </c>
      <c r="F5315">
        <v>2.35</v>
      </c>
      <c r="G5315">
        <v>2.23</v>
      </c>
      <c r="H5315">
        <v>15670</v>
      </c>
      <c r="I5315">
        <v>1.71</v>
      </c>
      <c r="J5315">
        <v>56.99</v>
      </c>
      <c r="K5315" t="s">
        <v>469</v>
      </c>
    </row>
    <row r="5316" spans="1:11">
      <c r="A5316" t="str">
        <f>"920370"</f>
        <v>920370</v>
      </c>
      <c r="B5316" t="s">
        <v>5673</v>
      </c>
      <c r="C5316">
        <v>11.67</v>
      </c>
      <c r="D5316">
        <v>8.23</v>
      </c>
      <c r="E5316">
        <v>6.11</v>
      </c>
      <c r="F5316">
        <v>3</v>
      </c>
      <c r="G5316">
        <v>2.62</v>
      </c>
      <c r="H5316">
        <v>11273</v>
      </c>
      <c r="I5316">
        <v>2.19</v>
      </c>
      <c r="J5316" t="s">
        <v>14</v>
      </c>
      <c r="K5316" t="s">
        <v>59</v>
      </c>
    </row>
    <row r="5317" spans="1:11">
      <c r="A5317" t="str">
        <f>"920371"</f>
        <v>920371</v>
      </c>
      <c r="B5317" t="s">
        <v>5674</v>
      </c>
      <c r="C5317">
        <v>21.12</v>
      </c>
      <c r="D5317">
        <v>7.42</v>
      </c>
      <c r="E5317">
        <v>5.97</v>
      </c>
      <c r="F5317">
        <v>2.05</v>
      </c>
      <c r="G5317">
        <v>1.94</v>
      </c>
      <c r="H5317">
        <v>4689</v>
      </c>
      <c r="I5317">
        <v>3.75</v>
      </c>
      <c r="J5317">
        <v>25.37</v>
      </c>
      <c r="K5317" t="s">
        <v>376</v>
      </c>
    </row>
    <row r="5318" spans="1:11">
      <c r="A5318" t="str">
        <f>"920374"</f>
        <v>920374</v>
      </c>
      <c r="B5318" t="s">
        <v>5675</v>
      </c>
      <c r="C5318">
        <v>9.81</v>
      </c>
      <c r="D5318">
        <v>3.27</v>
      </c>
      <c r="E5318">
        <v>2.54</v>
      </c>
      <c r="F5318">
        <v>0.82</v>
      </c>
      <c r="G5318">
        <v>0.34</v>
      </c>
      <c r="H5318">
        <v>7106</v>
      </c>
      <c r="I5318">
        <v>9.22</v>
      </c>
      <c r="J5318">
        <v>209.38</v>
      </c>
      <c r="K5318" t="s">
        <v>770</v>
      </c>
    </row>
    <row r="5319" spans="1:11">
      <c r="A5319" t="str">
        <f>"920375"</f>
        <v>920375</v>
      </c>
      <c r="B5319" t="s">
        <v>5676</v>
      </c>
      <c r="C5319">
        <v>10.26</v>
      </c>
      <c r="D5319">
        <v>11.65</v>
      </c>
      <c r="E5319">
        <v>8.02</v>
      </c>
      <c r="F5319">
        <v>1.09</v>
      </c>
      <c r="G5319">
        <v>0.65</v>
      </c>
      <c r="H5319">
        <v>4772</v>
      </c>
      <c r="I5319">
        <v>2.14</v>
      </c>
      <c r="J5319" t="s">
        <v>14</v>
      </c>
      <c r="K5319" t="s">
        <v>127</v>
      </c>
    </row>
    <row r="5320" spans="1:11">
      <c r="A5320" t="str">
        <f>"920378"</f>
        <v>920378</v>
      </c>
      <c r="B5320" t="s">
        <v>5677</v>
      </c>
      <c r="C5320">
        <v>12.02</v>
      </c>
      <c r="D5320">
        <v>6.18</v>
      </c>
      <c r="E5320">
        <v>3.82</v>
      </c>
      <c r="F5320">
        <v>1.56</v>
      </c>
      <c r="G5320">
        <v>1.11</v>
      </c>
      <c r="H5320">
        <v>6846</v>
      </c>
      <c r="I5320">
        <v>4.39</v>
      </c>
      <c r="J5320">
        <v>75.73</v>
      </c>
      <c r="K5320" t="s">
        <v>517</v>
      </c>
    </row>
    <row r="5321" spans="1:11">
      <c r="A5321" t="str">
        <f>"920392"</f>
        <v>920392</v>
      </c>
      <c r="B5321" t="s">
        <v>5678</v>
      </c>
      <c r="C5321">
        <v>9.65</v>
      </c>
      <c r="D5321">
        <v>7.13</v>
      </c>
      <c r="E5321">
        <v>3.38</v>
      </c>
      <c r="F5321">
        <v>0.76</v>
      </c>
      <c r="G5321">
        <v>0.36</v>
      </c>
      <c r="H5321">
        <v>2869</v>
      </c>
      <c r="I5321">
        <v>5.98</v>
      </c>
      <c r="J5321">
        <v>92.17</v>
      </c>
      <c r="K5321" t="s">
        <v>460</v>
      </c>
    </row>
    <row r="5322" spans="1:11">
      <c r="A5322" t="str">
        <f>"920394"</f>
        <v>920394</v>
      </c>
      <c r="B5322" t="s">
        <v>5679</v>
      </c>
      <c r="C5322">
        <v>83.36</v>
      </c>
      <c r="D5322">
        <v>10.18</v>
      </c>
      <c r="E5322">
        <v>7.76</v>
      </c>
      <c r="F5322">
        <v>1.46</v>
      </c>
      <c r="G5322">
        <v>1.45</v>
      </c>
      <c r="H5322">
        <v>5736</v>
      </c>
      <c r="I5322">
        <v>10.82</v>
      </c>
      <c r="J5322">
        <v>69.08</v>
      </c>
      <c r="K5322" t="s">
        <v>765</v>
      </c>
    </row>
    <row r="5323" spans="1:11">
      <c r="A5323" t="str">
        <f>"920395"</f>
        <v>920395</v>
      </c>
      <c r="B5323" t="s">
        <v>5680</v>
      </c>
      <c r="C5323">
        <v>12.77</v>
      </c>
      <c r="D5323">
        <v>2.63</v>
      </c>
      <c r="E5323">
        <v>2.31</v>
      </c>
      <c r="F5323">
        <v>1.53</v>
      </c>
      <c r="G5323">
        <v>1.03</v>
      </c>
      <c r="H5323">
        <v>6666</v>
      </c>
      <c r="I5323">
        <v>8.18</v>
      </c>
      <c r="J5323">
        <v>34.76</v>
      </c>
      <c r="K5323" t="s">
        <v>1022</v>
      </c>
    </row>
    <row r="5324" spans="1:11">
      <c r="A5324" t="str">
        <f>"920396"</f>
        <v>920396</v>
      </c>
      <c r="B5324" t="s">
        <v>5681</v>
      </c>
      <c r="C5324">
        <v>19.89</v>
      </c>
      <c r="D5324">
        <v>6.09</v>
      </c>
      <c r="E5324">
        <v>3.46</v>
      </c>
      <c r="F5324">
        <v>0.72</v>
      </c>
      <c r="G5324">
        <v>0.51</v>
      </c>
      <c r="H5324">
        <v>6861</v>
      </c>
      <c r="I5324">
        <v>8.14</v>
      </c>
      <c r="J5324">
        <v>79.2</v>
      </c>
      <c r="K5324" t="s">
        <v>663</v>
      </c>
    </row>
    <row r="5325" spans="1:11">
      <c r="A5325" t="str">
        <f>"920402"</f>
        <v>920402</v>
      </c>
      <c r="B5325" t="s">
        <v>5682</v>
      </c>
      <c r="C5325">
        <v>30.23</v>
      </c>
      <c r="D5325">
        <v>19.89</v>
      </c>
      <c r="E5325">
        <v>16.01</v>
      </c>
      <c r="F5325">
        <v>4.22</v>
      </c>
      <c r="G5325">
        <v>2.73</v>
      </c>
      <c r="H5325">
        <v>11586</v>
      </c>
      <c r="I5325">
        <v>2.92</v>
      </c>
      <c r="J5325" t="s">
        <v>14</v>
      </c>
      <c r="K5325" t="s">
        <v>348</v>
      </c>
    </row>
    <row r="5326" spans="1:11">
      <c r="A5326" t="str">
        <f>"920403"</f>
        <v>920403</v>
      </c>
      <c r="B5326" t="s">
        <v>5683</v>
      </c>
      <c r="C5326">
        <v>13.65</v>
      </c>
      <c r="D5326">
        <v>9.4</v>
      </c>
      <c r="E5326">
        <v>4.75</v>
      </c>
      <c r="F5326">
        <v>0.99</v>
      </c>
      <c r="G5326">
        <v>0.58</v>
      </c>
      <c r="H5326">
        <v>4600</v>
      </c>
      <c r="I5326">
        <v>4.93</v>
      </c>
      <c r="J5326" t="s">
        <v>14</v>
      </c>
      <c r="K5326" t="s">
        <v>373</v>
      </c>
    </row>
    <row r="5327" spans="1:11">
      <c r="A5327" t="str">
        <f>"920405"</f>
        <v>920405</v>
      </c>
      <c r="B5327" t="s">
        <v>5684</v>
      </c>
      <c r="C5327">
        <v>30.06</v>
      </c>
      <c r="D5327">
        <v>17.41</v>
      </c>
      <c r="E5327">
        <v>8.1</v>
      </c>
      <c r="F5327">
        <v>1.4</v>
      </c>
      <c r="G5327">
        <v>1.1</v>
      </c>
      <c r="H5327">
        <v>7156</v>
      </c>
      <c r="I5327">
        <v>4.73</v>
      </c>
      <c r="J5327">
        <v>59.74</v>
      </c>
      <c r="K5327" t="s">
        <v>663</v>
      </c>
    </row>
    <row r="5328" spans="1:11">
      <c r="A5328" t="str">
        <f>"920407"</f>
        <v>920407</v>
      </c>
      <c r="B5328" t="s">
        <v>5685</v>
      </c>
      <c r="C5328">
        <v>8.91</v>
      </c>
      <c r="D5328">
        <v>3.98</v>
      </c>
      <c r="E5328">
        <v>2.74</v>
      </c>
      <c r="F5328">
        <v>0.85</v>
      </c>
      <c r="G5328">
        <v>0.35</v>
      </c>
      <c r="H5328">
        <v>3891</v>
      </c>
      <c r="I5328">
        <v>7.99</v>
      </c>
      <c r="J5328">
        <v>85.08</v>
      </c>
      <c r="K5328" t="s">
        <v>952</v>
      </c>
    </row>
    <row r="5329" spans="1:11">
      <c r="A5329" t="str">
        <f>"920414"</f>
        <v>920414</v>
      </c>
      <c r="B5329" t="s">
        <v>5686</v>
      </c>
      <c r="C5329">
        <v>7.52</v>
      </c>
      <c r="D5329">
        <v>4.13</v>
      </c>
      <c r="E5329">
        <v>2.81</v>
      </c>
      <c r="F5329">
        <v>0.8</v>
      </c>
      <c r="G5329">
        <v>0.55</v>
      </c>
      <c r="H5329">
        <v>5184</v>
      </c>
      <c r="I5329">
        <v>3.87</v>
      </c>
      <c r="J5329" t="s">
        <v>14</v>
      </c>
      <c r="K5329" t="s">
        <v>469</v>
      </c>
    </row>
    <row r="5330" spans="1:11">
      <c r="A5330" t="str">
        <f>"920415"</f>
        <v>920415</v>
      </c>
      <c r="B5330" t="s">
        <v>5687</v>
      </c>
      <c r="C5330">
        <v>19.24</v>
      </c>
      <c r="D5330">
        <v>6.19</v>
      </c>
      <c r="E5330">
        <v>5.36</v>
      </c>
      <c r="F5330">
        <v>1.41</v>
      </c>
      <c r="G5330">
        <v>1.08</v>
      </c>
      <c r="H5330">
        <v>10343</v>
      </c>
      <c r="I5330">
        <v>4.66</v>
      </c>
      <c r="J5330">
        <v>319.57</v>
      </c>
      <c r="K5330" t="s">
        <v>117</v>
      </c>
    </row>
    <row r="5331" spans="1:11">
      <c r="A5331" t="str">
        <f>"920418"</f>
        <v>920418</v>
      </c>
      <c r="B5331" t="s">
        <v>5688</v>
      </c>
      <c r="C5331">
        <v>48.12</v>
      </c>
      <c r="D5331">
        <v>10.45</v>
      </c>
      <c r="E5331">
        <v>8.89</v>
      </c>
      <c r="F5331">
        <v>1.62</v>
      </c>
      <c r="G5331">
        <v>1.56</v>
      </c>
      <c r="H5331">
        <v>10550</v>
      </c>
      <c r="I5331">
        <v>5.64</v>
      </c>
      <c r="J5331">
        <v>31.75</v>
      </c>
      <c r="K5331" t="s">
        <v>51</v>
      </c>
    </row>
    <row r="5332" spans="1:11">
      <c r="A5332" t="str">
        <f>"920419"</f>
        <v>920419</v>
      </c>
      <c r="B5332" t="s">
        <v>5689</v>
      </c>
      <c r="C5332">
        <v>16.32</v>
      </c>
      <c r="D5332">
        <v>8.21</v>
      </c>
      <c r="E5332">
        <v>6.03</v>
      </c>
      <c r="F5332">
        <v>1.03</v>
      </c>
      <c r="G5332">
        <v>0.97</v>
      </c>
      <c r="H5332">
        <v>6780</v>
      </c>
      <c r="I5332">
        <v>2.89</v>
      </c>
      <c r="J5332">
        <v>27.97</v>
      </c>
      <c r="K5332" t="s">
        <v>1663</v>
      </c>
    </row>
    <row r="5333" spans="1:11">
      <c r="A5333" t="str">
        <f>"920422"</f>
        <v>920422</v>
      </c>
      <c r="B5333" t="s">
        <v>5690</v>
      </c>
      <c r="C5333">
        <v>9.03</v>
      </c>
      <c r="D5333">
        <v>5.35</v>
      </c>
      <c r="E5333">
        <v>4.24</v>
      </c>
      <c r="F5333">
        <v>0.88</v>
      </c>
      <c r="G5333">
        <v>0.66</v>
      </c>
      <c r="H5333">
        <v>4454</v>
      </c>
      <c r="I5333">
        <v>2.84</v>
      </c>
      <c r="J5333">
        <v>66.41</v>
      </c>
      <c r="K5333" t="s">
        <v>1281</v>
      </c>
    </row>
    <row r="5334" spans="1:11">
      <c r="A5334" t="str">
        <f>"920425"</f>
        <v>920425</v>
      </c>
      <c r="B5334" t="s">
        <v>5691</v>
      </c>
      <c r="C5334">
        <v>13.93</v>
      </c>
      <c r="D5334">
        <v>2.76</v>
      </c>
      <c r="E5334">
        <v>2.58</v>
      </c>
      <c r="F5334">
        <v>0.71</v>
      </c>
      <c r="G5334">
        <v>0.59</v>
      </c>
      <c r="H5334">
        <v>5440</v>
      </c>
      <c r="I5334">
        <v>6.48</v>
      </c>
      <c r="J5334">
        <v>54.55</v>
      </c>
      <c r="K5334" t="s">
        <v>663</v>
      </c>
    </row>
    <row r="5335" spans="1:11">
      <c r="A5335" t="str">
        <f>"920427"</f>
        <v>920427</v>
      </c>
      <c r="B5335" t="s">
        <v>5692</v>
      </c>
      <c r="C5335">
        <v>7.1</v>
      </c>
      <c r="D5335">
        <v>5.21</v>
      </c>
      <c r="E5335">
        <v>3.29</v>
      </c>
      <c r="F5335">
        <v>1.03</v>
      </c>
      <c r="G5335">
        <v>0.51</v>
      </c>
      <c r="H5335">
        <v>5002</v>
      </c>
      <c r="I5335">
        <v>4.4</v>
      </c>
      <c r="J5335">
        <v>279.82</v>
      </c>
      <c r="K5335" t="s">
        <v>428</v>
      </c>
    </row>
    <row r="5336" spans="1:11">
      <c r="A5336" t="str">
        <f>"920429"</f>
        <v>920429</v>
      </c>
      <c r="B5336" t="s">
        <v>5693</v>
      </c>
      <c r="C5336">
        <v>19.2</v>
      </c>
      <c r="D5336">
        <v>12.41</v>
      </c>
      <c r="E5336">
        <v>8.29</v>
      </c>
      <c r="F5336">
        <v>1.25</v>
      </c>
      <c r="G5336">
        <v>1.13</v>
      </c>
      <c r="H5336">
        <v>6515</v>
      </c>
      <c r="I5336">
        <v>2.55</v>
      </c>
      <c r="J5336">
        <v>108.41</v>
      </c>
      <c r="K5336" t="s">
        <v>376</v>
      </c>
    </row>
    <row r="5337" spans="1:11">
      <c r="A5337" t="str">
        <f>"920433"</f>
        <v>920433</v>
      </c>
      <c r="B5337" t="s">
        <v>5694</v>
      </c>
      <c r="C5337">
        <v>10.84</v>
      </c>
      <c r="D5337">
        <v>5.81</v>
      </c>
      <c r="E5337">
        <v>4.22</v>
      </c>
      <c r="F5337">
        <v>2.56</v>
      </c>
      <c r="G5337">
        <v>1.69</v>
      </c>
      <c r="H5337">
        <v>8836</v>
      </c>
      <c r="I5337">
        <v>3.88</v>
      </c>
      <c r="J5337" t="s">
        <v>14</v>
      </c>
      <c r="K5337" t="s">
        <v>155</v>
      </c>
    </row>
    <row r="5338" spans="1:11">
      <c r="A5338" t="str">
        <f>"920436"</f>
        <v>920436</v>
      </c>
      <c r="B5338" t="s">
        <v>5695</v>
      </c>
      <c r="C5338">
        <v>16.16</v>
      </c>
      <c r="D5338">
        <v>16.24</v>
      </c>
      <c r="E5338">
        <v>3.82</v>
      </c>
      <c r="F5338">
        <v>0.94</v>
      </c>
      <c r="G5338">
        <v>0.89</v>
      </c>
      <c r="H5338">
        <v>5710</v>
      </c>
      <c r="I5338">
        <v>4.49</v>
      </c>
      <c r="J5338" t="s">
        <v>14</v>
      </c>
      <c r="K5338" t="s">
        <v>530</v>
      </c>
    </row>
    <row r="5339" spans="1:11">
      <c r="A5339" t="str">
        <f>"920438"</f>
        <v>920438</v>
      </c>
      <c r="B5339" t="s">
        <v>5696</v>
      </c>
      <c r="C5339">
        <v>56.55</v>
      </c>
      <c r="D5339">
        <v>15.95</v>
      </c>
      <c r="E5339">
        <v>9.9</v>
      </c>
      <c r="F5339">
        <v>1.45</v>
      </c>
      <c r="G5339">
        <v>1.39</v>
      </c>
      <c r="H5339">
        <v>7833</v>
      </c>
      <c r="I5339">
        <v>5.92</v>
      </c>
      <c r="J5339">
        <v>202.6</v>
      </c>
      <c r="K5339" t="s">
        <v>66</v>
      </c>
    </row>
    <row r="5340" spans="1:11">
      <c r="A5340" t="str">
        <f>"920445"</f>
        <v>920445</v>
      </c>
      <c r="B5340" t="s">
        <v>5697</v>
      </c>
      <c r="C5340">
        <v>12.55</v>
      </c>
      <c r="D5340">
        <v>4.65</v>
      </c>
      <c r="E5340">
        <v>3.24</v>
      </c>
      <c r="F5340">
        <v>1.48</v>
      </c>
      <c r="G5340">
        <v>1.05</v>
      </c>
      <c r="H5340">
        <v>6855</v>
      </c>
      <c r="I5340">
        <v>5.43</v>
      </c>
      <c r="J5340">
        <v>55.94</v>
      </c>
      <c r="K5340" t="s">
        <v>625</v>
      </c>
    </row>
    <row r="5341" spans="1:11">
      <c r="A5341" t="str">
        <f>"920454"</f>
        <v>920454</v>
      </c>
      <c r="B5341" t="s">
        <v>5698</v>
      </c>
      <c r="C5341">
        <v>10.99</v>
      </c>
      <c r="D5341">
        <v>4.04</v>
      </c>
      <c r="E5341">
        <v>3.22</v>
      </c>
      <c r="F5341">
        <v>1.05</v>
      </c>
      <c r="G5341">
        <v>0.63</v>
      </c>
      <c r="H5341">
        <v>7109</v>
      </c>
      <c r="I5341">
        <v>5.68</v>
      </c>
      <c r="J5341">
        <v>63.2</v>
      </c>
      <c r="K5341" t="s">
        <v>51</v>
      </c>
    </row>
    <row r="5342" spans="1:11">
      <c r="A5342" t="str">
        <f>"920455"</f>
        <v>920455</v>
      </c>
      <c r="B5342" t="s">
        <v>5699</v>
      </c>
      <c r="C5342">
        <v>8.3</v>
      </c>
      <c r="D5342">
        <v>3.89</v>
      </c>
      <c r="E5342">
        <v>3.4</v>
      </c>
      <c r="F5342">
        <v>1.77</v>
      </c>
      <c r="G5342">
        <v>0.93</v>
      </c>
      <c r="H5342">
        <v>3628</v>
      </c>
      <c r="I5342">
        <v>4.68</v>
      </c>
      <c r="J5342">
        <v>52.17</v>
      </c>
      <c r="K5342" t="s">
        <v>744</v>
      </c>
    </row>
    <row r="5343" spans="1:11">
      <c r="A5343" t="str">
        <f>"920469"</f>
        <v>920469</v>
      </c>
      <c r="B5343" t="s">
        <v>5700</v>
      </c>
      <c r="C5343">
        <v>12.96</v>
      </c>
      <c r="D5343">
        <v>13.11</v>
      </c>
      <c r="E5343">
        <v>4.57</v>
      </c>
      <c r="F5343">
        <v>1.41</v>
      </c>
      <c r="G5343">
        <v>1.03</v>
      </c>
      <c r="H5343">
        <v>6854</v>
      </c>
      <c r="I5343">
        <v>3.87</v>
      </c>
      <c r="J5343" t="s">
        <v>14</v>
      </c>
      <c r="K5343" t="s">
        <v>1113</v>
      </c>
    </row>
    <row r="5344" spans="1:11">
      <c r="A5344" t="str">
        <f>"920471"</f>
        <v>920471</v>
      </c>
      <c r="B5344" t="s">
        <v>5701</v>
      </c>
      <c r="C5344">
        <v>7.37</v>
      </c>
      <c r="D5344">
        <v>9.52</v>
      </c>
      <c r="E5344">
        <v>5.25</v>
      </c>
      <c r="F5344">
        <v>0.83</v>
      </c>
      <c r="G5344">
        <v>0.53</v>
      </c>
      <c r="H5344">
        <v>4154</v>
      </c>
      <c r="I5344">
        <v>2.2</v>
      </c>
      <c r="J5344" t="s">
        <v>14</v>
      </c>
      <c r="K5344" t="s">
        <v>1201</v>
      </c>
    </row>
    <row r="5345" spans="1:11">
      <c r="A5345" t="str">
        <f>"920475"</f>
        <v>920475</v>
      </c>
      <c r="B5345" t="s">
        <v>5702</v>
      </c>
      <c r="C5345">
        <v>7.86</v>
      </c>
      <c r="D5345">
        <v>5.39</v>
      </c>
      <c r="E5345">
        <v>3.53</v>
      </c>
      <c r="F5345">
        <v>1.01</v>
      </c>
      <c r="G5345">
        <v>0.42</v>
      </c>
      <c r="H5345">
        <v>5285</v>
      </c>
      <c r="I5345">
        <v>5.35</v>
      </c>
      <c r="J5345" t="s">
        <v>14</v>
      </c>
      <c r="K5345" t="s">
        <v>491</v>
      </c>
    </row>
    <row r="5346" spans="1:11">
      <c r="A5346" t="str">
        <f>"920476"</f>
        <v>920476</v>
      </c>
      <c r="B5346" t="s">
        <v>5703</v>
      </c>
      <c r="C5346">
        <v>19.82</v>
      </c>
      <c r="D5346">
        <v>5.32</v>
      </c>
      <c r="E5346">
        <v>4.3</v>
      </c>
      <c r="F5346">
        <v>0.85</v>
      </c>
      <c r="G5346">
        <v>0.81</v>
      </c>
      <c r="H5346">
        <v>6588</v>
      </c>
      <c r="I5346">
        <v>4.87</v>
      </c>
      <c r="J5346">
        <v>86.8</v>
      </c>
      <c r="K5346" t="s">
        <v>952</v>
      </c>
    </row>
    <row r="5347" spans="1:11">
      <c r="A5347" t="str">
        <f>"920478"</f>
        <v>920478</v>
      </c>
      <c r="B5347" t="s">
        <v>5704</v>
      </c>
      <c r="C5347">
        <v>9.64</v>
      </c>
      <c r="D5347">
        <v>6.17</v>
      </c>
      <c r="E5347">
        <v>5.11</v>
      </c>
      <c r="F5347">
        <v>0.79</v>
      </c>
      <c r="G5347">
        <v>0.47</v>
      </c>
      <c r="H5347">
        <v>4761</v>
      </c>
      <c r="I5347">
        <v>3.16</v>
      </c>
      <c r="J5347">
        <v>26.3</v>
      </c>
      <c r="K5347" t="s">
        <v>404</v>
      </c>
    </row>
    <row r="5348" spans="1:11">
      <c r="A5348" t="str">
        <f>"920489"</f>
        <v>920489</v>
      </c>
      <c r="B5348" t="s">
        <v>5705</v>
      </c>
      <c r="C5348">
        <v>17</v>
      </c>
      <c r="D5348">
        <v>13.04</v>
      </c>
      <c r="E5348">
        <v>4.73</v>
      </c>
      <c r="F5348">
        <v>1.36</v>
      </c>
      <c r="G5348">
        <v>0.87</v>
      </c>
      <c r="H5348">
        <v>11627</v>
      </c>
      <c r="I5348">
        <v>5.65</v>
      </c>
      <c r="J5348">
        <v>472.05</v>
      </c>
      <c r="K5348" t="s">
        <v>1529</v>
      </c>
    </row>
    <row r="5349" spans="1:11">
      <c r="A5349" t="str">
        <f>"920491"</f>
        <v>920491</v>
      </c>
      <c r="B5349" t="s">
        <v>5706</v>
      </c>
      <c r="C5349">
        <v>35.37</v>
      </c>
      <c r="D5349">
        <v>12</v>
      </c>
      <c r="E5349">
        <v>10.5</v>
      </c>
      <c r="F5349">
        <v>1.41</v>
      </c>
      <c r="G5349">
        <v>1.16</v>
      </c>
      <c r="H5349">
        <v>14206</v>
      </c>
      <c r="I5349">
        <v>4.11</v>
      </c>
      <c r="J5349">
        <v>45.33</v>
      </c>
      <c r="K5349" t="s">
        <v>310</v>
      </c>
    </row>
    <row r="5350" spans="1:11">
      <c r="A5350" t="str">
        <f>"920493"</f>
        <v>920493</v>
      </c>
      <c r="B5350" t="s">
        <v>5707</v>
      </c>
      <c r="C5350">
        <v>69.82</v>
      </c>
      <c r="D5350">
        <v>22.13</v>
      </c>
      <c r="E5350">
        <v>4.22</v>
      </c>
      <c r="F5350">
        <v>0.6</v>
      </c>
      <c r="G5350">
        <v>0.41</v>
      </c>
      <c r="H5350">
        <v>15027</v>
      </c>
      <c r="I5350">
        <v>23.94</v>
      </c>
      <c r="J5350">
        <v>900.49</v>
      </c>
      <c r="K5350" t="s">
        <v>924</v>
      </c>
    </row>
    <row r="5351" spans="1:11">
      <c r="A5351" t="str">
        <f>"920496"</f>
        <v>920496</v>
      </c>
      <c r="B5351" t="s">
        <v>5708</v>
      </c>
      <c r="C5351">
        <v>16.33</v>
      </c>
      <c r="D5351">
        <v>10.89</v>
      </c>
      <c r="E5351">
        <v>5.93</v>
      </c>
      <c r="F5351">
        <v>1.66</v>
      </c>
      <c r="G5351">
        <v>1.45</v>
      </c>
      <c r="H5351">
        <v>7946</v>
      </c>
      <c r="I5351">
        <v>3.14</v>
      </c>
      <c r="J5351">
        <v>55.48</v>
      </c>
      <c r="K5351" t="s">
        <v>208</v>
      </c>
    </row>
    <row r="5352" spans="1:11">
      <c r="A5352" t="str">
        <f>"920504"</f>
        <v>920504</v>
      </c>
      <c r="B5352" t="s">
        <v>5709</v>
      </c>
      <c r="C5352">
        <v>4.76</v>
      </c>
      <c r="D5352">
        <v>2.55</v>
      </c>
      <c r="E5352">
        <v>2</v>
      </c>
      <c r="F5352">
        <v>0.43</v>
      </c>
      <c r="G5352">
        <v>0.17</v>
      </c>
      <c r="H5352">
        <v>2883</v>
      </c>
      <c r="I5352">
        <v>6.04</v>
      </c>
      <c r="J5352">
        <v>105.98</v>
      </c>
      <c r="K5352" t="s">
        <v>1972</v>
      </c>
    </row>
    <row r="5353" spans="1:11">
      <c r="A5353" t="str">
        <f>"920505"</f>
        <v>920505</v>
      </c>
      <c r="B5353" t="s">
        <v>5710</v>
      </c>
      <c r="C5353">
        <v>18.36</v>
      </c>
      <c r="D5353">
        <v>3.87</v>
      </c>
      <c r="E5353">
        <v>3.33</v>
      </c>
      <c r="F5353">
        <v>0.65</v>
      </c>
      <c r="G5353">
        <v>0.36</v>
      </c>
      <c r="H5353">
        <v>6438</v>
      </c>
      <c r="I5353">
        <v>9.87</v>
      </c>
      <c r="J5353">
        <v>182.76</v>
      </c>
      <c r="K5353" t="s">
        <v>424</v>
      </c>
    </row>
    <row r="5354" spans="1:11">
      <c r="A5354" t="str">
        <f>"920508"</f>
        <v>920508</v>
      </c>
      <c r="B5354" t="s">
        <v>5711</v>
      </c>
      <c r="C5354">
        <v>7.97</v>
      </c>
      <c r="D5354">
        <v>2.53</v>
      </c>
      <c r="E5354">
        <v>1.92</v>
      </c>
      <c r="F5354">
        <v>0.6</v>
      </c>
      <c r="G5354">
        <v>0.31</v>
      </c>
      <c r="H5354">
        <v>5089</v>
      </c>
      <c r="I5354">
        <v>7.96</v>
      </c>
      <c r="J5354" t="s">
        <v>14</v>
      </c>
      <c r="K5354" t="s">
        <v>127</v>
      </c>
    </row>
    <row r="5355" spans="1:11">
      <c r="A5355" t="str">
        <f>"920509"</f>
        <v>920509</v>
      </c>
      <c r="B5355" t="s">
        <v>5712</v>
      </c>
      <c r="C5355">
        <v>32.45</v>
      </c>
      <c r="D5355">
        <v>3.91</v>
      </c>
      <c r="E5355">
        <v>3.45</v>
      </c>
      <c r="F5355">
        <v>1.6</v>
      </c>
      <c r="G5355">
        <v>0.84</v>
      </c>
      <c r="H5355">
        <v>8248</v>
      </c>
      <c r="I5355">
        <v>18.02</v>
      </c>
      <c r="J5355">
        <v>105.62</v>
      </c>
      <c r="K5355" t="s">
        <v>952</v>
      </c>
    </row>
    <row r="5356" spans="1:11">
      <c r="A5356" t="str">
        <f>"920510"</f>
        <v>920510</v>
      </c>
      <c r="B5356" t="s">
        <v>5713</v>
      </c>
      <c r="C5356">
        <v>18.66</v>
      </c>
      <c r="D5356">
        <v>5.43</v>
      </c>
      <c r="E5356">
        <v>4.01</v>
      </c>
      <c r="F5356">
        <v>1.84</v>
      </c>
      <c r="G5356">
        <v>0.94</v>
      </c>
      <c r="H5356">
        <v>6239</v>
      </c>
      <c r="I5356">
        <v>9.13</v>
      </c>
      <c r="J5356" t="s">
        <v>14</v>
      </c>
      <c r="K5356" t="s">
        <v>63</v>
      </c>
    </row>
    <row r="5357" spans="1:11">
      <c r="A5357" t="str">
        <f>"920519"</f>
        <v>920519</v>
      </c>
      <c r="B5357" t="s">
        <v>5714</v>
      </c>
      <c r="C5357">
        <v>8.18</v>
      </c>
      <c r="D5357">
        <v>5.75</v>
      </c>
      <c r="E5357">
        <v>5.12</v>
      </c>
      <c r="F5357">
        <v>0.89</v>
      </c>
      <c r="G5357">
        <v>0.63</v>
      </c>
      <c r="H5357">
        <v>4696</v>
      </c>
      <c r="I5357">
        <v>2.27</v>
      </c>
      <c r="J5357">
        <v>77.77</v>
      </c>
      <c r="K5357" t="s">
        <v>511</v>
      </c>
    </row>
    <row r="5358" spans="1:11">
      <c r="A5358" t="str">
        <f>"920522"</f>
        <v>920522</v>
      </c>
      <c r="B5358" t="s">
        <v>5715</v>
      </c>
      <c r="C5358">
        <v>94.58</v>
      </c>
      <c r="D5358">
        <v>22.87</v>
      </c>
      <c r="E5358">
        <v>10.68</v>
      </c>
      <c r="F5358">
        <v>1.57</v>
      </c>
      <c r="G5358">
        <v>1.3</v>
      </c>
      <c r="H5358">
        <v>11876</v>
      </c>
      <c r="I5358">
        <v>10.68</v>
      </c>
      <c r="J5358">
        <v>150.36</v>
      </c>
      <c r="K5358" t="s">
        <v>1975</v>
      </c>
    </row>
    <row r="5359" spans="1:11">
      <c r="A5359" t="str">
        <f>"920523"</f>
        <v>920523</v>
      </c>
      <c r="B5359" t="s">
        <v>5716</v>
      </c>
      <c r="C5359">
        <v>22.02</v>
      </c>
      <c r="D5359">
        <v>9.9</v>
      </c>
      <c r="E5359">
        <v>6.76</v>
      </c>
      <c r="F5359">
        <v>1.01</v>
      </c>
      <c r="G5359">
        <v>0.8</v>
      </c>
      <c r="H5359">
        <v>10880</v>
      </c>
      <c r="I5359">
        <v>4.1</v>
      </c>
      <c r="J5359">
        <v>18.65</v>
      </c>
      <c r="K5359" t="s">
        <v>70</v>
      </c>
    </row>
    <row r="5360" spans="1:11">
      <c r="A5360" t="str">
        <f>"920526"</f>
        <v>920526</v>
      </c>
      <c r="B5360" t="s">
        <v>5717</v>
      </c>
      <c r="C5360">
        <v>13.48</v>
      </c>
      <c r="D5360">
        <v>2.43</v>
      </c>
      <c r="E5360">
        <v>2.25</v>
      </c>
      <c r="F5360">
        <v>0.83</v>
      </c>
      <c r="G5360">
        <v>0.52</v>
      </c>
      <c r="H5360">
        <v>5025</v>
      </c>
      <c r="I5360">
        <v>9.48</v>
      </c>
      <c r="J5360">
        <v>158.31</v>
      </c>
      <c r="K5360" t="s">
        <v>884</v>
      </c>
    </row>
    <row r="5361" spans="1:11">
      <c r="A5361" t="str">
        <f>"920527"</f>
        <v>920527</v>
      </c>
      <c r="B5361" t="s">
        <v>5718</v>
      </c>
      <c r="C5361">
        <v>6.97</v>
      </c>
      <c r="D5361">
        <v>5.63</v>
      </c>
      <c r="E5361">
        <v>3.84</v>
      </c>
      <c r="F5361">
        <v>0.6</v>
      </c>
      <c r="G5361">
        <v>0.36</v>
      </c>
      <c r="H5361">
        <v>6196</v>
      </c>
      <c r="I5361">
        <v>3.01</v>
      </c>
      <c r="J5361">
        <v>101.15</v>
      </c>
      <c r="K5361" t="s">
        <v>511</v>
      </c>
    </row>
    <row r="5362" spans="1:11">
      <c r="A5362" t="str">
        <f>"920533"</f>
        <v>920533</v>
      </c>
      <c r="B5362" t="s">
        <v>5719</v>
      </c>
      <c r="C5362">
        <v>22.26</v>
      </c>
      <c r="D5362">
        <v>8.65</v>
      </c>
      <c r="E5362">
        <v>3.53</v>
      </c>
      <c r="F5362">
        <v>1.31</v>
      </c>
      <c r="G5362">
        <v>0.72</v>
      </c>
      <c r="H5362">
        <v>10428</v>
      </c>
      <c r="I5362">
        <v>11.43</v>
      </c>
      <c r="J5362">
        <v>146.74</v>
      </c>
      <c r="K5362" t="s">
        <v>356</v>
      </c>
    </row>
    <row r="5363" spans="1:11">
      <c r="A5363" t="str">
        <f>"920541"</f>
        <v>920541</v>
      </c>
      <c r="B5363" t="s">
        <v>5720</v>
      </c>
      <c r="C5363">
        <v>13.27</v>
      </c>
      <c r="D5363">
        <v>6.53</v>
      </c>
      <c r="E5363">
        <v>4.3</v>
      </c>
      <c r="F5363">
        <v>1.37</v>
      </c>
      <c r="G5363">
        <v>0.9</v>
      </c>
      <c r="H5363">
        <v>5451</v>
      </c>
      <c r="I5363">
        <v>4.68</v>
      </c>
      <c r="J5363">
        <v>45.11</v>
      </c>
      <c r="K5363" t="s">
        <v>22</v>
      </c>
    </row>
    <row r="5364" spans="1:11">
      <c r="A5364" t="str">
        <f>"920547"</f>
        <v>920547</v>
      </c>
      <c r="B5364" t="s">
        <v>5721</v>
      </c>
      <c r="C5364">
        <v>9.64</v>
      </c>
      <c r="D5364">
        <v>8.47</v>
      </c>
      <c r="E5364">
        <v>6.95</v>
      </c>
      <c r="F5364">
        <v>0.78</v>
      </c>
      <c r="G5364">
        <v>0.38</v>
      </c>
      <c r="H5364">
        <v>3484</v>
      </c>
      <c r="I5364">
        <v>2.86</v>
      </c>
      <c r="J5364">
        <v>31</v>
      </c>
      <c r="K5364" t="s">
        <v>404</v>
      </c>
    </row>
    <row r="5365" spans="1:11">
      <c r="A5365" t="str">
        <f>"920553"</f>
        <v>920553</v>
      </c>
      <c r="B5365" t="s">
        <v>5722</v>
      </c>
      <c r="C5365">
        <v>10.22</v>
      </c>
      <c r="D5365">
        <v>6.16</v>
      </c>
      <c r="E5365">
        <v>3.53</v>
      </c>
      <c r="F5365">
        <v>1.44</v>
      </c>
      <c r="G5365">
        <v>0.92</v>
      </c>
      <c r="H5365">
        <v>6257</v>
      </c>
      <c r="I5365">
        <v>4.52</v>
      </c>
      <c r="J5365">
        <v>57.73</v>
      </c>
      <c r="K5365" t="s">
        <v>657</v>
      </c>
    </row>
    <row r="5366" spans="1:11">
      <c r="A5366" t="str">
        <f>"920556"</f>
        <v>920556</v>
      </c>
      <c r="B5366" t="s">
        <v>5723</v>
      </c>
      <c r="C5366">
        <v>14.08</v>
      </c>
      <c r="D5366">
        <v>6.39</v>
      </c>
      <c r="E5366">
        <v>5.2</v>
      </c>
      <c r="F5366">
        <v>1.61</v>
      </c>
      <c r="G5366">
        <v>1.17</v>
      </c>
      <c r="H5366">
        <v>7114</v>
      </c>
      <c r="I5366">
        <v>3.72</v>
      </c>
      <c r="J5366">
        <v>71.51</v>
      </c>
      <c r="K5366" t="s">
        <v>888</v>
      </c>
    </row>
    <row r="5367" spans="1:11">
      <c r="A5367" t="str">
        <f>"920564"</f>
        <v>920564</v>
      </c>
      <c r="B5367" t="s">
        <v>5724</v>
      </c>
      <c r="C5367">
        <v>14.8</v>
      </c>
      <c r="D5367">
        <v>4.06</v>
      </c>
      <c r="E5367">
        <v>3.09</v>
      </c>
      <c r="F5367">
        <v>0.89</v>
      </c>
      <c r="G5367">
        <v>0.4</v>
      </c>
      <c r="H5367">
        <v>5759</v>
      </c>
      <c r="I5367">
        <v>10.55</v>
      </c>
      <c r="J5367" t="s">
        <v>14</v>
      </c>
      <c r="K5367" t="s">
        <v>117</v>
      </c>
    </row>
    <row r="5368" spans="1:11">
      <c r="A5368" t="str">
        <f>"920566"</f>
        <v>920566</v>
      </c>
      <c r="B5368" t="s">
        <v>5725</v>
      </c>
      <c r="C5368">
        <v>13.47</v>
      </c>
      <c r="D5368">
        <v>9.31</v>
      </c>
      <c r="E5368">
        <v>8.07</v>
      </c>
      <c r="F5368">
        <v>1.45</v>
      </c>
      <c r="G5368">
        <v>1.12</v>
      </c>
      <c r="H5368">
        <v>8909</v>
      </c>
      <c r="I5368">
        <v>2.16</v>
      </c>
      <c r="J5368">
        <v>23.32</v>
      </c>
      <c r="K5368" t="s">
        <v>109</v>
      </c>
    </row>
    <row r="5369" spans="1:11">
      <c r="A5369" t="str">
        <f>"920570"</f>
        <v>920570</v>
      </c>
      <c r="B5369" t="s">
        <v>5726</v>
      </c>
      <c r="C5369">
        <v>9.44</v>
      </c>
      <c r="D5369">
        <v>3.86</v>
      </c>
      <c r="E5369">
        <v>3.43</v>
      </c>
      <c r="F5369">
        <v>0.5</v>
      </c>
      <c r="G5369">
        <v>0.24</v>
      </c>
      <c r="H5369">
        <v>4439</v>
      </c>
      <c r="I5369">
        <v>5.67</v>
      </c>
      <c r="J5369">
        <v>321.95</v>
      </c>
      <c r="K5369" t="s">
        <v>424</v>
      </c>
    </row>
    <row r="5370" spans="1:11">
      <c r="A5370" t="str">
        <f>"920571"</f>
        <v>920571</v>
      </c>
      <c r="B5370" t="s">
        <v>5727</v>
      </c>
      <c r="C5370">
        <v>28.15</v>
      </c>
      <c r="D5370">
        <v>40.5</v>
      </c>
      <c r="E5370">
        <v>13.8</v>
      </c>
      <c r="F5370">
        <v>5.55</v>
      </c>
      <c r="G5370">
        <v>2.81</v>
      </c>
      <c r="H5370">
        <v>18744</v>
      </c>
      <c r="I5370">
        <v>4.03</v>
      </c>
      <c r="J5370">
        <v>20340.11</v>
      </c>
      <c r="K5370" t="s">
        <v>188</v>
      </c>
    </row>
    <row r="5371" spans="1:11">
      <c r="A5371" t="str">
        <f>"920575"</f>
        <v>920575</v>
      </c>
      <c r="B5371" t="s">
        <v>5728</v>
      </c>
      <c r="C5371">
        <v>21.08</v>
      </c>
      <c r="D5371">
        <v>14.96</v>
      </c>
      <c r="E5371">
        <v>3.24</v>
      </c>
      <c r="F5371">
        <v>2.81</v>
      </c>
      <c r="G5371">
        <v>1.88</v>
      </c>
      <c r="H5371">
        <v>8210</v>
      </c>
      <c r="I5371">
        <v>9.74</v>
      </c>
      <c r="J5371" t="s">
        <v>14</v>
      </c>
      <c r="K5371" t="s">
        <v>1921</v>
      </c>
    </row>
    <row r="5372" spans="1:11">
      <c r="A5372" t="str">
        <f>"920576"</f>
        <v>920576</v>
      </c>
      <c r="B5372" t="s">
        <v>5729</v>
      </c>
      <c r="C5372">
        <v>104.18</v>
      </c>
      <c r="D5372">
        <v>7.11</v>
      </c>
      <c r="E5372">
        <v>4.48</v>
      </c>
      <c r="F5372">
        <v>1.09</v>
      </c>
      <c r="G5372">
        <v>1.07</v>
      </c>
      <c r="H5372">
        <v>4900</v>
      </c>
      <c r="I5372">
        <v>23.63</v>
      </c>
      <c r="J5372">
        <v>353.66</v>
      </c>
      <c r="K5372" t="s">
        <v>307</v>
      </c>
    </row>
    <row r="5373" spans="1:11">
      <c r="A5373" t="str">
        <f>"920578"</f>
        <v>920578</v>
      </c>
      <c r="B5373" t="s">
        <v>5730</v>
      </c>
      <c r="C5373">
        <v>6.32</v>
      </c>
      <c r="D5373">
        <v>3.85</v>
      </c>
      <c r="E5373">
        <v>2.68</v>
      </c>
      <c r="F5373">
        <v>0.76</v>
      </c>
      <c r="G5373">
        <v>0.23</v>
      </c>
      <c r="H5373">
        <v>4598</v>
      </c>
      <c r="I5373">
        <v>7.84</v>
      </c>
      <c r="J5373">
        <v>766.43</v>
      </c>
      <c r="K5373" t="s">
        <v>1527</v>
      </c>
    </row>
    <row r="5374" spans="1:11">
      <c r="A5374" t="str">
        <f>"920579"</f>
        <v>920579</v>
      </c>
      <c r="B5374" t="s">
        <v>5731</v>
      </c>
      <c r="C5374">
        <v>12.29</v>
      </c>
      <c r="D5374">
        <v>12.04</v>
      </c>
      <c r="E5374">
        <v>5.2</v>
      </c>
      <c r="F5374">
        <v>1.29</v>
      </c>
      <c r="G5374">
        <v>0.45</v>
      </c>
      <c r="H5374">
        <v>7251</v>
      </c>
      <c r="I5374">
        <v>6.86</v>
      </c>
      <c r="J5374">
        <v>1219.73</v>
      </c>
      <c r="K5374" t="s">
        <v>744</v>
      </c>
    </row>
    <row r="5375" spans="1:11">
      <c r="A5375" t="str">
        <f>"920580"</f>
        <v>920580</v>
      </c>
      <c r="B5375" t="s">
        <v>5732</v>
      </c>
      <c r="C5375">
        <v>8.33</v>
      </c>
      <c r="D5375">
        <v>3.81</v>
      </c>
      <c r="E5375">
        <v>3.35</v>
      </c>
      <c r="F5375">
        <v>0.86</v>
      </c>
      <c r="G5375">
        <v>0.52</v>
      </c>
      <c r="H5375">
        <v>5928</v>
      </c>
      <c r="I5375">
        <v>4.14</v>
      </c>
      <c r="J5375">
        <v>91.7</v>
      </c>
      <c r="K5375" t="s">
        <v>827</v>
      </c>
    </row>
    <row r="5376" spans="1:11">
      <c r="A5376" t="str">
        <f>"920592"</f>
        <v>920592</v>
      </c>
      <c r="B5376" t="s">
        <v>5733</v>
      </c>
      <c r="C5376">
        <v>23.28</v>
      </c>
      <c r="D5376">
        <v>4.8</v>
      </c>
      <c r="E5376">
        <v>3.44</v>
      </c>
      <c r="F5376">
        <v>0.81</v>
      </c>
      <c r="G5376">
        <v>0.5</v>
      </c>
      <c r="H5376">
        <v>7385</v>
      </c>
      <c r="I5376">
        <v>10.87</v>
      </c>
      <c r="J5376" t="s">
        <v>14</v>
      </c>
      <c r="K5376" t="s">
        <v>117</v>
      </c>
    </row>
    <row r="5377" spans="1:11">
      <c r="A5377" t="str">
        <f>"920593"</f>
        <v>920593</v>
      </c>
      <c r="B5377" t="s">
        <v>5734</v>
      </c>
      <c r="C5377">
        <v>58.66</v>
      </c>
      <c r="D5377">
        <v>7.81</v>
      </c>
      <c r="E5377">
        <v>7.1</v>
      </c>
      <c r="F5377">
        <v>1.9</v>
      </c>
      <c r="G5377">
        <v>1.62</v>
      </c>
      <c r="H5377">
        <v>13729</v>
      </c>
      <c r="I5377">
        <v>9.72</v>
      </c>
      <c r="J5377">
        <v>197.09</v>
      </c>
      <c r="K5377" t="s">
        <v>663</v>
      </c>
    </row>
    <row r="5378" spans="1:11">
      <c r="A5378" t="str">
        <f>"920599"</f>
        <v>920599</v>
      </c>
      <c r="B5378" t="s">
        <v>5735</v>
      </c>
      <c r="C5378">
        <v>73.97</v>
      </c>
      <c r="D5378">
        <v>75.57</v>
      </c>
      <c r="E5378">
        <v>32.88</v>
      </c>
      <c r="F5378">
        <v>4.63</v>
      </c>
      <c r="G5378">
        <v>3.49</v>
      </c>
      <c r="H5378">
        <v>14595</v>
      </c>
      <c r="I5378">
        <v>2.98</v>
      </c>
      <c r="J5378">
        <v>13.75</v>
      </c>
      <c r="K5378" t="s">
        <v>115</v>
      </c>
    </row>
    <row r="5379" spans="1:11">
      <c r="A5379" t="str">
        <f>"920608"</f>
        <v>920608</v>
      </c>
      <c r="B5379" t="s">
        <v>5736</v>
      </c>
      <c r="C5379">
        <v>7.92</v>
      </c>
      <c r="D5379">
        <v>5.57</v>
      </c>
      <c r="E5379">
        <v>4.73</v>
      </c>
      <c r="F5379">
        <v>0.62</v>
      </c>
      <c r="G5379">
        <v>0.39</v>
      </c>
      <c r="H5379">
        <v>3758</v>
      </c>
      <c r="I5379">
        <v>2.64</v>
      </c>
      <c r="J5379">
        <v>34.56</v>
      </c>
      <c r="K5379" t="s">
        <v>424</v>
      </c>
    </row>
    <row r="5380" spans="1:11">
      <c r="A5380" t="str">
        <f>"920627"</f>
        <v>920627</v>
      </c>
      <c r="B5380" t="s">
        <v>5737</v>
      </c>
      <c r="C5380">
        <v>11.35</v>
      </c>
      <c r="D5380">
        <v>7.82</v>
      </c>
      <c r="E5380">
        <v>4.51</v>
      </c>
      <c r="F5380">
        <v>0.94</v>
      </c>
      <c r="G5380">
        <v>0.47</v>
      </c>
      <c r="H5380">
        <v>6567</v>
      </c>
      <c r="I5380">
        <v>5.08</v>
      </c>
      <c r="J5380">
        <v>116.81</v>
      </c>
      <c r="K5380" t="s">
        <v>1514</v>
      </c>
    </row>
    <row r="5381" spans="1:11">
      <c r="A5381" t="str">
        <f>"920634"</f>
        <v>920634</v>
      </c>
      <c r="B5381" t="s">
        <v>5738</v>
      </c>
      <c r="C5381">
        <v>10.78</v>
      </c>
      <c r="D5381">
        <v>3.88</v>
      </c>
      <c r="E5381">
        <v>2.84</v>
      </c>
      <c r="F5381">
        <v>0.64</v>
      </c>
      <c r="G5381">
        <v>0.4</v>
      </c>
      <c r="H5381">
        <v>6008</v>
      </c>
      <c r="I5381">
        <v>6.01</v>
      </c>
      <c r="J5381">
        <v>84.32</v>
      </c>
      <c r="K5381" t="s">
        <v>79</v>
      </c>
    </row>
    <row r="5382" spans="1:11">
      <c r="A5382" t="str">
        <f>"920639"</f>
        <v>920639</v>
      </c>
      <c r="B5382" t="s">
        <v>5739</v>
      </c>
      <c r="C5382">
        <v>10.07</v>
      </c>
      <c r="D5382">
        <v>21.29</v>
      </c>
      <c r="E5382">
        <v>8.67</v>
      </c>
      <c r="F5382">
        <v>2.02</v>
      </c>
      <c r="G5382">
        <v>1.17</v>
      </c>
      <c r="H5382">
        <v>9345</v>
      </c>
      <c r="I5382">
        <v>2</v>
      </c>
      <c r="J5382">
        <v>39.38</v>
      </c>
      <c r="K5382" t="s">
        <v>383</v>
      </c>
    </row>
    <row r="5383" spans="1:11">
      <c r="A5383" t="str">
        <f>"920640"</f>
        <v>920640</v>
      </c>
      <c r="B5383" t="s">
        <v>5740</v>
      </c>
      <c r="C5383">
        <v>90.79</v>
      </c>
      <c r="D5383">
        <v>15.19</v>
      </c>
      <c r="E5383">
        <v>9.19</v>
      </c>
      <c r="F5383">
        <v>1.88</v>
      </c>
      <c r="G5383">
        <v>1.81</v>
      </c>
      <c r="H5383">
        <v>10237</v>
      </c>
      <c r="I5383">
        <v>10.27</v>
      </c>
      <c r="J5383">
        <v>126.56</v>
      </c>
      <c r="K5383" t="s">
        <v>972</v>
      </c>
    </row>
    <row r="5384" spans="1:11">
      <c r="A5384" t="str">
        <f>"920641"</f>
        <v>920641</v>
      </c>
      <c r="B5384" t="s">
        <v>5741</v>
      </c>
      <c r="C5384">
        <v>9.8</v>
      </c>
      <c r="D5384">
        <v>6.32</v>
      </c>
      <c r="E5384">
        <v>3.56</v>
      </c>
      <c r="F5384">
        <v>0.75</v>
      </c>
      <c r="G5384">
        <v>0.45</v>
      </c>
      <c r="H5384">
        <v>3803</v>
      </c>
      <c r="I5384">
        <v>4.62</v>
      </c>
      <c r="J5384">
        <v>75.6</v>
      </c>
      <c r="K5384" t="s">
        <v>442</v>
      </c>
    </row>
    <row r="5385" spans="1:11">
      <c r="A5385" t="str">
        <f>"920642"</f>
        <v>920642</v>
      </c>
      <c r="B5385" t="s">
        <v>5742</v>
      </c>
      <c r="C5385">
        <v>18.07</v>
      </c>
      <c r="D5385">
        <v>4.26</v>
      </c>
      <c r="E5385">
        <v>2.36</v>
      </c>
      <c r="F5385">
        <v>1.04</v>
      </c>
      <c r="G5385">
        <v>1</v>
      </c>
      <c r="H5385">
        <v>7306</v>
      </c>
      <c r="I5385">
        <v>7.94</v>
      </c>
      <c r="J5385" t="s">
        <v>14</v>
      </c>
      <c r="K5385" t="s">
        <v>353</v>
      </c>
    </row>
    <row r="5386" spans="1:11">
      <c r="A5386" t="str">
        <f>"920651"</f>
        <v>920651</v>
      </c>
      <c r="B5386" t="s">
        <v>5743</v>
      </c>
      <c r="C5386">
        <v>6.31</v>
      </c>
      <c r="D5386">
        <v>7.08</v>
      </c>
      <c r="E5386">
        <v>5.14</v>
      </c>
      <c r="F5386">
        <v>0.61</v>
      </c>
      <c r="G5386">
        <v>0.15</v>
      </c>
      <c r="H5386">
        <v>2811</v>
      </c>
      <c r="I5386">
        <v>4.9</v>
      </c>
      <c r="J5386">
        <v>36.14</v>
      </c>
      <c r="K5386" t="s">
        <v>952</v>
      </c>
    </row>
    <row r="5387" spans="1:11">
      <c r="A5387" t="str">
        <f>"920656"</f>
        <v>920656</v>
      </c>
      <c r="B5387" t="s">
        <v>5744</v>
      </c>
      <c r="C5387">
        <v>5.93</v>
      </c>
      <c r="D5387">
        <v>7.06</v>
      </c>
      <c r="E5387">
        <v>6.83</v>
      </c>
      <c r="F5387">
        <v>1</v>
      </c>
      <c r="G5387">
        <v>0.32</v>
      </c>
      <c r="H5387">
        <v>4139</v>
      </c>
      <c r="I5387">
        <v>2.68</v>
      </c>
      <c r="J5387">
        <v>28</v>
      </c>
      <c r="K5387" t="s">
        <v>404</v>
      </c>
    </row>
    <row r="5388" spans="1:11">
      <c r="A5388" t="str">
        <f>"920662"</f>
        <v>920662</v>
      </c>
      <c r="B5388" t="s">
        <v>5745</v>
      </c>
      <c r="C5388">
        <v>7.87</v>
      </c>
      <c r="D5388">
        <v>6.07</v>
      </c>
      <c r="E5388">
        <v>4.59</v>
      </c>
      <c r="F5388">
        <v>0.88</v>
      </c>
      <c r="G5388">
        <v>0.25</v>
      </c>
      <c r="H5388">
        <v>5788</v>
      </c>
      <c r="I5388">
        <v>5.96</v>
      </c>
      <c r="J5388">
        <v>105.71</v>
      </c>
      <c r="K5388" t="s">
        <v>744</v>
      </c>
    </row>
    <row r="5389" spans="1:11">
      <c r="A5389" t="str">
        <f>"920663"</f>
        <v>920663</v>
      </c>
      <c r="B5389" t="s">
        <v>5746</v>
      </c>
      <c r="C5389">
        <v>12.06</v>
      </c>
      <c r="D5389">
        <v>5.05</v>
      </c>
      <c r="E5389">
        <v>3.72</v>
      </c>
      <c r="F5389">
        <v>1.34</v>
      </c>
      <c r="G5389">
        <v>0.63</v>
      </c>
      <c r="H5389">
        <v>5356</v>
      </c>
      <c r="I5389">
        <v>6.85</v>
      </c>
      <c r="J5389">
        <v>35.29</v>
      </c>
      <c r="K5389" t="s">
        <v>517</v>
      </c>
    </row>
    <row r="5390" spans="1:11">
      <c r="A5390" t="str">
        <f>"920665"</f>
        <v>920665</v>
      </c>
      <c r="B5390" t="s">
        <v>5747</v>
      </c>
      <c r="C5390">
        <v>9.96</v>
      </c>
      <c r="D5390">
        <v>8.46</v>
      </c>
      <c r="E5390">
        <v>7.22</v>
      </c>
      <c r="F5390">
        <v>1.3</v>
      </c>
      <c r="G5390">
        <v>0.64</v>
      </c>
      <c r="H5390">
        <v>4041</v>
      </c>
      <c r="I5390">
        <v>2.8</v>
      </c>
      <c r="J5390">
        <v>47.27</v>
      </c>
      <c r="K5390" t="s">
        <v>705</v>
      </c>
    </row>
    <row r="5391" spans="1:11">
      <c r="A5391" t="str">
        <f>"920670"</f>
        <v>920670</v>
      </c>
      <c r="B5391" t="s">
        <v>5748</v>
      </c>
      <c r="C5391">
        <v>15.12</v>
      </c>
      <c r="D5391">
        <v>2.85</v>
      </c>
      <c r="E5391">
        <v>2.43</v>
      </c>
      <c r="F5391">
        <v>1.06</v>
      </c>
      <c r="G5391">
        <v>0.67</v>
      </c>
      <c r="H5391">
        <v>8522</v>
      </c>
      <c r="I5391">
        <v>9.93</v>
      </c>
      <c r="J5391">
        <v>1375.05</v>
      </c>
      <c r="K5391" t="s">
        <v>117</v>
      </c>
    </row>
    <row r="5392" spans="1:11">
      <c r="A5392" t="str">
        <f>"920675"</f>
        <v>920675</v>
      </c>
      <c r="B5392" t="s">
        <v>5749</v>
      </c>
      <c r="C5392">
        <v>8.41</v>
      </c>
      <c r="D5392">
        <v>10.23</v>
      </c>
      <c r="E5392">
        <v>6.21</v>
      </c>
      <c r="F5392">
        <v>1.72</v>
      </c>
      <c r="G5392">
        <v>0.79</v>
      </c>
      <c r="H5392">
        <v>4950</v>
      </c>
      <c r="I5392">
        <v>2.95</v>
      </c>
      <c r="J5392">
        <v>29.4</v>
      </c>
      <c r="K5392" t="s">
        <v>682</v>
      </c>
    </row>
    <row r="5393" spans="1:11">
      <c r="A5393" t="str">
        <f>"920679"</f>
        <v>920679</v>
      </c>
      <c r="B5393" t="s">
        <v>5750</v>
      </c>
      <c r="C5393">
        <v>4.8</v>
      </c>
      <c r="D5393">
        <v>5.44</v>
      </c>
      <c r="E5393">
        <v>4.99</v>
      </c>
      <c r="F5393">
        <v>0.56</v>
      </c>
      <c r="G5393">
        <v>0.23</v>
      </c>
      <c r="H5393">
        <v>3029</v>
      </c>
      <c r="I5393">
        <v>2.38</v>
      </c>
      <c r="J5393">
        <v>62.1</v>
      </c>
      <c r="K5393" t="s">
        <v>744</v>
      </c>
    </row>
    <row r="5394" spans="1:11">
      <c r="A5394" t="str">
        <f>"920682"</f>
        <v>920682</v>
      </c>
      <c r="B5394" t="s">
        <v>5751</v>
      </c>
      <c r="C5394">
        <v>19.02</v>
      </c>
      <c r="D5394">
        <v>27.52</v>
      </c>
      <c r="E5394">
        <v>11.41</v>
      </c>
      <c r="F5394">
        <v>3.24</v>
      </c>
      <c r="G5394">
        <v>1.88</v>
      </c>
      <c r="H5394">
        <v>12755</v>
      </c>
      <c r="I5394">
        <v>2.88</v>
      </c>
      <c r="J5394">
        <v>31.21</v>
      </c>
      <c r="K5394" t="s">
        <v>383</v>
      </c>
    </row>
    <row r="5395" spans="1:11">
      <c r="A5395" t="str">
        <f>"920685"</f>
        <v>920685</v>
      </c>
      <c r="B5395" t="s">
        <v>5752</v>
      </c>
      <c r="C5395">
        <v>8.71</v>
      </c>
      <c r="D5395">
        <v>6.57</v>
      </c>
      <c r="E5395">
        <v>5.44</v>
      </c>
      <c r="F5395">
        <v>0.92</v>
      </c>
      <c r="G5395">
        <v>0.55</v>
      </c>
      <c r="H5395">
        <v>5845</v>
      </c>
      <c r="I5395">
        <v>2.68</v>
      </c>
      <c r="J5395">
        <v>52.7</v>
      </c>
      <c r="K5395" t="s">
        <v>952</v>
      </c>
    </row>
    <row r="5396" spans="1:11">
      <c r="A5396" t="str">
        <f>"920689"</f>
        <v>920689</v>
      </c>
      <c r="B5396" t="s">
        <v>5753</v>
      </c>
      <c r="C5396">
        <v>12.74</v>
      </c>
      <c r="D5396">
        <v>8.55</v>
      </c>
      <c r="E5396">
        <v>4.86</v>
      </c>
      <c r="F5396">
        <v>0.73</v>
      </c>
      <c r="G5396">
        <v>0.38</v>
      </c>
      <c r="H5396">
        <v>7003</v>
      </c>
      <c r="I5396">
        <v>5.07</v>
      </c>
      <c r="J5396">
        <v>38.28</v>
      </c>
      <c r="K5396" t="s">
        <v>493</v>
      </c>
    </row>
    <row r="5397" spans="1:11">
      <c r="A5397" t="str">
        <f>"920690"</f>
        <v>920690</v>
      </c>
      <c r="B5397" t="s">
        <v>5754</v>
      </c>
      <c r="C5397">
        <v>14.31</v>
      </c>
      <c r="D5397">
        <v>6.78</v>
      </c>
      <c r="E5397">
        <v>5.84</v>
      </c>
      <c r="F5397">
        <v>0.66</v>
      </c>
      <c r="G5397">
        <v>0.43</v>
      </c>
      <c r="H5397">
        <v>3856</v>
      </c>
      <c r="I5397">
        <v>3.77</v>
      </c>
      <c r="J5397">
        <v>30.95</v>
      </c>
      <c r="K5397" t="s">
        <v>356</v>
      </c>
    </row>
    <row r="5398" spans="1:11">
      <c r="A5398" t="str">
        <f>"920693"</f>
        <v>920693</v>
      </c>
      <c r="B5398" t="s">
        <v>5755</v>
      </c>
      <c r="C5398">
        <v>15.76</v>
      </c>
      <c r="D5398">
        <v>4.38</v>
      </c>
      <c r="E5398">
        <v>3.53</v>
      </c>
      <c r="F5398">
        <v>0.73</v>
      </c>
      <c r="G5398">
        <v>0.37</v>
      </c>
      <c r="H5398">
        <v>5621</v>
      </c>
      <c r="I5398">
        <v>8.87</v>
      </c>
      <c r="J5398">
        <v>279.06</v>
      </c>
      <c r="K5398" t="s">
        <v>63</v>
      </c>
    </row>
    <row r="5399" spans="1:11">
      <c r="A5399" t="str">
        <f>"920694"</f>
        <v>920694</v>
      </c>
      <c r="B5399" t="s">
        <v>5756</v>
      </c>
      <c r="C5399">
        <v>13.74</v>
      </c>
      <c r="D5399">
        <v>12.8</v>
      </c>
      <c r="E5399">
        <v>8.75</v>
      </c>
      <c r="F5399">
        <v>1.32</v>
      </c>
      <c r="G5399">
        <v>0.62</v>
      </c>
      <c r="H5399">
        <v>4966</v>
      </c>
      <c r="I5399">
        <v>3.32</v>
      </c>
      <c r="J5399">
        <v>28.48</v>
      </c>
      <c r="K5399" t="s">
        <v>549</v>
      </c>
    </row>
    <row r="5400" spans="1:11">
      <c r="A5400" t="str">
        <f>"920699"</f>
        <v>920699</v>
      </c>
      <c r="B5400" t="s">
        <v>5757</v>
      </c>
      <c r="C5400">
        <v>11.59</v>
      </c>
      <c r="D5400">
        <v>5.15</v>
      </c>
      <c r="E5400">
        <v>3.3</v>
      </c>
      <c r="F5400">
        <v>0.46</v>
      </c>
      <c r="G5400">
        <v>0.21</v>
      </c>
      <c r="H5400">
        <v>3092</v>
      </c>
      <c r="I5400">
        <v>7.67</v>
      </c>
      <c r="J5400">
        <v>36.41</v>
      </c>
      <c r="K5400" t="s">
        <v>134</v>
      </c>
    </row>
    <row r="5401" spans="1:11">
      <c r="A5401" t="str">
        <f>"920701"</f>
        <v>920701</v>
      </c>
      <c r="B5401" t="s">
        <v>5758</v>
      </c>
      <c r="C5401">
        <v>19.17</v>
      </c>
      <c r="D5401">
        <v>11.81</v>
      </c>
      <c r="E5401">
        <v>8.31</v>
      </c>
      <c r="F5401">
        <v>1.37</v>
      </c>
      <c r="G5401">
        <v>1</v>
      </c>
      <c r="H5401">
        <v>6004</v>
      </c>
      <c r="I5401">
        <v>3.16</v>
      </c>
      <c r="J5401">
        <v>35.73</v>
      </c>
      <c r="K5401" t="s">
        <v>41</v>
      </c>
    </row>
    <row r="5402" spans="1:11">
      <c r="A5402" t="str">
        <f>"920703"</f>
        <v>920703</v>
      </c>
      <c r="B5402" t="s">
        <v>5759</v>
      </c>
      <c r="C5402">
        <v>11.8</v>
      </c>
      <c r="D5402">
        <v>13.47</v>
      </c>
      <c r="E5402">
        <v>11.16</v>
      </c>
      <c r="F5402">
        <v>1.51</v>
      </c>
      <c r="G5402">
        <v>0.76</v>
      </c>
      <c r="H5402">
        <v>4166</v>
      </c>
      <c r="I5402">
        <v>2.09</v>
      </c>
      <c r="J5402">
        <v>22.52</v>
      </c>
      <c r="K5402" t="s">
        <v>493</v>
      </c>
    </row>
    <row r="5403" spans="1:11">
      <c r="A5403" t="str">
        <f>"920706"</f>
        <v>920706</v>
      </c>
      <c r="B5403" t="s">
        <v>5760</v>
      </c>
      <c r="C5403">
        <v>10.57</v>
      </c>
      <c r="D5403">
        <v>8.38</v>
      </c>
      <c r="E5403">
        <v>5.85</v>
      </c>
      <c r="F5403">
        <v>0.92</v>
      </c>
      <c r="G5403">
        <v>0.42</v>
      </c>
      <c r="H5403">
        <v>5515</v>
      </c>
      <c r="I5403">
        <v>3.94</v>
      </c>
      <c r="J5403">
        <v>41.12</v>
      </c>
      <c r="K5403" t="s">
        <v>115</v>
      </c>
    </row>
    <row r="5404" spans="1:11">
      <c r="A5404" t="str">
        <f>"920717"</f>
        <v>920717</v>
      </c>
      <c r="B5404" t="s">
        <v>5761</v>
      </c>
      <c r="C5404">
        <v>5.07</v>
      </c>
      <c r="D5404">
        <v>6.69</v>
      </c>
      <c r="E5404">
        <v>5.64</v>
      </c>
      <c r="F5404">
        <v>1.15</v>
      </c>
      <c r="G5404">
        <v>0.44</v>
      </c>
      <c r="H5404">
        <v>3253</v>
      </c>
      <c r="I5404">
        <v>2.33</v>
      </c>
      <c r="J5404">
        <v>264.4</v>
      </c>
      <c r="K5404" t="s">
        <v>493</v>
      </c>
    </row>
    <row r="5405" spans="1:11">
      <c r="A5405" t="str">
        <f>"920718"</f>
        <v>920718</v>
      </c>
      <c r="B5405" t="s">
        <v>5762</v>
      </c>
      <c r="C5405">
        <v>6.9</v>
      </c>
      <c r="D5405">
        <v>9.21</v>
      </c>
      <c r="E5405">
        <v>5.89</v>
      </c>
      <c r="F5405">
        <v>0.91</v>
      </c>
      <c r="G5405">
        <v>0.43</v>
      </c>
      <c r="H5405">
        <v>4945</v>
      </c>
      <c r="I5405">
        <v>2.49</v>
      </c>
      <c r="J5405">
        <v>29.7</v>
      </c>
      <c r="K5405" t="s">
        <v>134</v>
      </c>
    </row>
    <row r="5406" spans="1:11">
      <c r="A5406" t="str">
        <f>"920719"</f>
        <v>920719</v>
      </c>
      <c r="B5406" t="s">
        <v>5763</v>
      </c>
      <c r="C5406">
        <v>10.23</v>
      </c>
      <c r="D5406">
        <v>16.95</v>
      </c>
      <c r="E5406">
        <v>5.08</v>
      </c>
      <c r="F5406">
        <v>0.93</v>
      </c>
      <c r="G5406">
        <v>0.73</v>
      </c>
      <c r="H5406">
        <v>8140</v>
      </c>
      <c r="I5406">
        <v>2.56</v>
      </c>
      <c r="J5406" t="s">
        <v>14</v>
      </c>
      <c r="K5406" t="s">
        <v>682</v>
      </c>
    </row>
    <row r="5407" spans="1:11">
      <c r="A5407" t="str">
        <f>"920720"</f>
        <v>920720</v>
      </c>
      <c r="B5407" t="s">
        <v>5764</v>
      </c>
      <c r="C5407">
        <v>10.56</v>
      </c>
      <c r="D5407">
        <v>9.74</v>
      </c>
      <c r="E5407">
        <v>5.05</v>
      </c>
      <c r="F5407">
        <v>2.66</v>
      </c>
      <c r="G5407">
        <v>0.72</v>
      </c>
      <c r="H5407">
        <v>9390</v>
      </c>
      <c r="I5407">
        <v>7.78</v>
      </c>
      <c r="J5407">
        <v>64.47</v>
      </c>
      <c r="K5407" t="s">
        <v>63</v>
      </c>
    </row>
    <row r="5408" spans="1:11">
      <c r="A5408" t="str">
        <f>"920725"</f>
        <v>920725</v>
      </c>
      <c r="B5408" t="s">
        <v>5765</v>
      </c>
      <c r="C5408">
        <v>14.54</v>
      </c>
      <c r="D5408">
        <v>6.94</v>
      </c>
      <c r="E5408">
        <v>6.06</v>
      </c>
      <c r="F5408">
        <v>0.91</v>
      </c>
      <c r="G5408">
        <v>0.42</v>
      </c>
      <c r="H5408">
        <v>6053</v>
      </c>
      <c r="I5408">
        <v>5.21</v>
      </c>
      <c r="J5408" t="s">
        <v>14</v>
      </c>
      <c r="K5408" t="s">
        <v>682</v>
      </c>
    </row>
    <row r="5409" spans="1:11">
      <c r="A5409" t="str">
        <f>"920726"</f>
        <v>920726</v>
      </c>
      <c r="B5409" t="s">
        <v>5766</v>
      </c>
      <c r="C5409">
        <v>12.45</v>
      </c>
      <c r="D5409">
        <v>4.83</v>
      </c>
      <c r="E5409">
        <v>4.52</v>
      </c>
      <c r="F5409">
        <v>1.02</v>
      </c>
      <c r="G5409">
        <v>0.56</v>
      </c>
      <c r="H5409">
        <v>5543</v>
      </c>
      <c r="I5409">
        <v>5.01</v>
      </c>
      <c r="J5409">
        <v>107.34</v>
      </c>
      <c r="K5409" t="s">
        <v>1281</v>
      </c>
    </row>
    <row r="5410" spans="1:11">
      <c r="A5410" t="str">
        <f>"920729"</f>
        <v>920729</v>
      </c>
      <c r="B5410" t="s">
        <v>5767</v>
      </c>
      <c r="C5410">
        <v>7.01</v>
      </c>
      <c r="D5410">
        <v>7.91</v>
      </c>
      <c r="E5410">
        <v>6.63</v>
      </c>
      <c r="F5410">
        <v>2.73</v>
      </c>
      <c r="G5410">
        <v>0.77</v>
      </c>
      <c r="H5410">
        <v>4794</v>
      </c>
      <c r="I5410">
        <v>3.76</v>
      </c>
      <c r="J5410">
        <v>61.74</v>
      </c>
      <c r="K5410" t="s">
        <v>912</v>
      </c>
    </row>
    <row r="5411" spans="1:11">
      <c r="A5411" t="str">
        <f>"920735"</f>
        <v>920735</v>
      </c>
      <c r="B5411" t="s">
        <v>5768</v>
      </c>
      <c r="C5411">
        <v>37.64</v>
      </c>
      <c r="D5411">
        <v>15.31</v>
      </c>
      <c r="E5411">
        <v>12.29</v>
      </c>
      <c r="F5411">
        <v>1.17</v>
      </c>
      <c r="G5411">
        <v>1.04</v>
      </c>
      <c r="H5411">
        <v>8114</v>
      </c>
      <c r="I5411">
        <v>3.46</v>
      </c>
      <c r="J5411">
        <v>20.09</v>
      </c>
      <c r="K5411" t="s">
        <v>109</v>
      </c>
    </row>
    <row r="5412" spans="1:11">
      <c r="A5412" t="str">
        <f>"920748"</f>
        <v>920748</v>
      </c>
      <c r="B5412" t="s">
        <v>5769</v>
      </c>
      <c r="C5412">
        <v>32.86</v>
      </c>
      <c r="D5412">
        <v>4.76</v>
      </c>
      <c r="E5412">
        <v>2.47</v>
      </c>
      <c r="F5412">
        <v>0.77</v>
      </c>
      <c r="G5412">
        <v>0.62</v>
      </c>
      <c r="H5412">
        <v>4759</v>
      </c>
      <c r="I5412">
        <v>16.38</v>
      </c>
      <c r="J5412" t="s">
        <v>14</v>
      </c>
      <c r="K5412" t="s">
        <v>117</v>
      </c>
    </row>
    <row r="5413" spans="1:11">
      <c r="A5413" t="str">
        <f>"920751"</f>
        <v>920751</v>
      </c>
      <c r="B5413" t="s">
        <v>5770</v>
      </c>
      <c r="C5413">
        <v>20.56</v>
      </c>
      <c r="D5413">
        <v>4.3</v>
      </c>
      <c r="E5413">
        <v>3.94</v>
      </c>
      <c r="F5413">
        <v>0.87</v>
      </c>
      <c r="G5413">
        <v>0.83</v>
      </c>
      <c r="H5413">
        <v>3821</v>
      </c>
      <c r="I5413">
        <v>5.46</v>
      </c>
      <c r="J5413">
        <v>41.77</v>
      </c>
      <c r="K5413" t="s">
        <v>307</v>
      </c>
    </row>
    <row r="5414" spans="1:11">
      <c r="A5414" t="str">
        <f>"920753"</f>
        <v>920753</v>
      </c>
      <c r="B5414" t="s">
        <v>5771</v>
      </c>
      <c r="C5414">
        <v>7.35</v>
      </c>
      <c r="D5414">
        <v>4.79</v>
      </c>
      <c r="E5414">
        <v>3.95</v>
      </c>
      <c r="F5414">
        <v>0.81</v>
      </c>
      <c r="G5414">
        <v>0.32</v>
      </c>
      <c r="H5414">
        <v>4884</v>
      </c>
      <c r="I5414">
        <v>4.81</v>
      </c>
      <c r="J5414">
        <v>61.79</v>
      </c>
      <c r="K5414" t="s">
        <v>1733</v>
      </c>
    </row>
    <row r="5415" spans="1:11">
      <c r="A5415" t="str">
        <f>"920765"</f>
        <v>920765</v>
      </c>
      <c r="B5415" t="s">
        <v>5772</v>
      </c>
      <c r="C5415">
        <v>11.21</v>
      </c>
      <c r="D5415">
        <v>4.33</v>
      </c>
      <c r="E5415">
        <v>3.08</v>
      </c>
      <c r="F5415">
        <v>0.87</v>
      </c>
      <c r="G5415">
        <v>0.53</v>
      </c>
      <c r="H5415">
        <v>2555</v>
      </c>
      <c r="I5415">
        <v>6.18</v>
      </c>
      <c r="J5415" t="s">
        <v>14</v>
      </c>
      <c r="K5415" t="s">
        <v>625</v>
      </c>
    </row>
    <row r="5416" spans="1:11">
      <c r="A5416" t="str">
        <f>"920768"</f>
        <v>920768</v>
      </c>
      <c r="B5416" t="s">
        <v>5773</v>
      </c>
      <c r="C5416">
        <v>10.1</v>
      </c>
      <c r="D5416">
        <v>14.04</v>
      </c>
      <c r="E5416">
        <v>6.99</v>
      </c>
      <c r="F5416">
        <v>1.11</v>
      </c>
      <c r="G5416">
        <v>0.76</v>
      </c>
      <c r="H5416">
        <v>6246</v>
      </c>
      <c r="I5416">
        <v>2.1</v>
      </c>
      <c r="J5416">
        <v>23.97</v>
      </c>
      <c r="K5416" t="s">
        <v>134</v>
      </c>
    </row>
    <row r="5417" spans="1:11">
      <c r="A5417" t="str">
        <f>"920770"</f>
        <v>920770</v>
      </c>
      <c r="B5417" t="s">
        <v>5774</v>
      </c>
      <c r="C5417">
        <v>15.61</v>
      </c>
      <c r="D5417">
        <v>9.24</v>
      </c>
      <c r="E5417">
        <v>6.22</v>
      </c>
      <c r="F5417">
        <v>1.3</v>
      </c>
      <c r="G5417">
        <v>0.82</v>
      </c>
      <c r="H5417">
        <v>9583</v>
      </c>
      <c r="I5417">
        <v>3.99</v>
      </c>
      <c r="J5417">
        <v>37.57</v>
      </c>
      <c r="K5417" t="s">
        <v>815</v>
      </c>
    </row>
    <row r="5418" spans="1:11">
      <c r="A5418" t="str">
        <f>"920779"</f>
        <v>920779</v>
      </c>
      <c r="B5418" t="s">
        <v>5775</v>
      </c>
      <c r="C5418">
        <v>7.34</v>
      </c>
      <c r="D5418">
        <v>5.69</v>
      </c>
      <c r="E5418">
        <v>4.67</v>
      </c>
      <c r="F5418">
        <v>0.8</v>
      </c>
      <c r="G5418">
        <v>0.2</v>
      </c>
      <c r="H5418">
        <v>5922</v>
      </c>
      <c r="I5418">
        <v>6.28</v>
      </c>
      <c r="J5418">
        <v>55.88</v>
      </c>
      <c r="K5418" t="s">
        <v>952</v>
      </c>
    </row>
    <row r="5419" spans="1:11">
      <c r="A5419" t="str">
        <f>"920781"</f>
        <v>920781</v>
      </c>
      <c r="B5419" t="s">
        <v>5776</v>
      </c>
      <c r="C5419">
        <v>10.33</v>
      </c>
      <c r="D5419">
        <v>7.33</v>
      </c>
      <c r="E5419">
        <v>3.95</v>
      </c>
      <c r="F5419">
        <v>1.55</v>
      </c>
      <c r="G5419">
        <v>1.02</v>
      </c>
      <c r="H5419">
        <v>9274</v>
      </c>
      <c r="I5419">
        <v>3.96</v>
      </c>
      <c r="J5419" t="s">
        <v>14</v>
      </c>
      <c r="K5419" t="s">
        <v>491</v>
      </c>
    </row>
    <row r="5420" spans="1:11">
      <c r="A5420" t="str">
        <f>"920786"</f>
        <v>920786</v>
      </c>
      <c r="B5420" t="s">
        <v>5777</v>
      </c>
      <c r="C5420">
        <v>15.03</v>
      </c>
      <c r="D5420">
        <v>21.72</v>
      </c>
      <c r="E5420">
        <v>7.5</v>
      </c>
      <c r="F5420">
        <v>2.09</v>
      </c>
      <c r="G5420">
        <v>1.42</v>
      </c>
      <c r="H5420">
        <v>10657</v>
      </c>
      <c r="I5420">
        <v>2.95</v>
      </c>
      <c r="J5420">
        <v>42.39</v>
      </c>
      <c r="K5420" t="s">
        <v>699</v>
      </c>
    </row>
    <row r="5421" spans="1:11">
      <c r="A5421" t="str">
        <f>"920790"</f>
        <v>920790</v>
      </c>
      <c r="B5421" t="s">
        <v>5778</v>
      </c>
      <c r="C5421">
        <v>24.52</v>
      </c>
      <c r="D5421">
        <v>3.46</v>
      </c>
      <c r="E5421">
        <v>3.24</v>
      </c>
      <c r="F5421">
        <v>0.79</v>
      </c>
      <c r="G5421">
        <v>0.54</v>
      </c>
      <c r="H5421">
        <v>7190</v>
      </c>
      <c r="I5421">
        <v>10.98</v>
      </c>
      <c r="J5421">
        <v>384.09</v>
      </c>
      <c r="K5421" t="s">
        <v>117</v>
      </c>
    </row>
    <row r="5422" spans="1:11">
      <c r="A5422" t="str">
        <f>"920792"</f>
        <v>920792</v>
      </c>
      <c r="B5422" t="s">
        <v>5779</v>
      </c>
      <c r="C5422">
        <v>12.88</v>
      </c>
      <c r="D5422">
        <v>23.23</v>
      </c>
      <c r="E5422">
        <v>10.18</v>
      </c>
      <c r="F5422">
        <v>1.66</v>
      </c>
      <c r="G5422">
        <v>1</v>
      </c>
      <c r="H5422">
        <v>5566</v>
      </c>
      <c r="I5422">
        <v>2.09</v>
      </c>
      <c r="J5422">
        <v>31.71</v>
      </c>
      <c r="K5422" t="s">
        <v>827</v>
      </c>
    </row>
    <row r="5423" spans="1:11">
      <c r="A5423" t="str">
        <f>"920799"</f>
        <v>920799</v>
      </c>
      <c r="B5423" t="s">
        <v>5780</v>
      </c>
      <c r="C5423">
        <v>63.55</v>
      </c>
      <c r="D5423">
        <v>12.1</v>
      </c>
      <c r="E5423">
        <v>4.14</v>
      </c>
      <c r="F5423">
        <v>2.1</v>
      </c>
      <c r="G5423">
        <v>1.21</v>
      </c>
      <c r="H5423">
        <v>17203</v>
      </c>
      <c r="I5423">
        <v>26.7</v>
      </c>
      <c r="J5423">
        <v>158.98</v>
      </c>
      <c r="K5423" t="s">
        <v>117</v>
      </c>
    </row>
    <row r="5424" spans="1:11">
      <c r="A5424" t="str">
        <f>"920802"</f>
        <v>920802</v>
      </c>
      <c r="B5424" t="s">
        <v>5781</v>
      </c>
      <c r="C5424">
        <v>3.63</v>
      </c>
      <c r="D5424">
        <v>5.42</v>
      </c>
      <c r="E5424">
        <v>4.33</v>
      </c>
      <c r="F5424">
        <v>0.82</v>
      </c>
      <c r="G5424">
        <v>0.22</v>
      </c>
      <c r="H5424">
        <v>3027</v>
      </c>
      <c r="I5424">
        <v>3.11</v>
      </c>
      <c r="J5424">
        <v>65.98</v>
      </c>
      <c r="K5424" t="s">
        <v>228</v>
      </c>
    </row>
    <row r="5425" spans="1:11">
      <c r="A5425" t="str">
        <f>"920806"</f>
        <v>920806</v>
      </c>
      <c r="B5425" t="s">
        <v>5782</v>
      </c>
      <c r="C5425">
        <v>45.68</v>
      </c>
      <c r="D5425">
        <v>34.46</v>
      </c>
      <c r="E5425">
        <v>14.93</v>
      </c>
      <c r="F5425">
        <v>3.01</v>
      </c>
      <c r="G5425">
        <v>3.01</v>
      </c>
      <c r="H5425">
        <v>9631</v>
      </c>
      <c r="I5425">
        <v>3.06</v>
      </c>
      <c r="J5425">
        <v>138.78</v>
      </c>
      <c r="K5425" t="s">
        <v>117</v>
      </c>
    </row>
    <row r="5426" spans="1:11">
      <c r="A5426" t="str">
        <f>"920807"</f>
        <v>920807</v>
      </c>
      <c r="B5426" t="s">
        <v>5783</v>
      </c>
      <c r="C5426">
        <v>19.61</v>
      </c>
      <c r="D5426">
        <v>13.47</v>
      </c>
      <c r="E5426">
        <v>9.46</v>
      </c>
      <c r="F5426">
        <v>1.82</v>
      </c>
      <c r="G5426">
        <v>1.22</v>
      </c>
      <c r="H5426">
        <v>11969</v>
      </c>
      <c r="I5426">
        <v>3.09</v>
      </c>
      <c r="J5426">
        <v>72.85</v>
      </c>
      <c r="K5426" t="s">
        <v>1069</v>
      </c>
    </row>
    <row r="5427" spans="1:11">
      <c r="A5427" t="str">
        <f>"920808"</f>
        <v>920808</v>
      </c>
      <c r="B5427" t="s">
        <v>5784</v>
      </c>
      <c r="C5427">
        <v>156.73</v>
      </c>
      <c r="D5427">
        <v>15.12</v>
      </c>
      <c r="E5427">
        <v>6.5</v>
      </c>
      <c r="F5427">
        <v>2</v>
      </c>
      <c r="G5427">
        <v>1.95</v>
      </c>
      <c r="H5427">
        <v>12716</v>
      </c>
      <c r="I5427">
        <v>24.77</v>
      </c>
      <c r="J5427" t="s">
        <v>14</v>
      </c>
      <c r="K5427" t="s">
        <v>88</v>
      </c>
    </row>
    <row r="5428" spans="1:11">
      <c r="A5428" t="str">
        <f>"920809"</f>
        <v>920809</v>
      </c>
      <c r="B5428" t="s">
        <v>5785</v>
      </c>
      <c r="C5428">
        <v>35.12</v>
      </c>
      <c r="D5428">
        <v>45.9</v>
      </c>
      <c r="E5428">
        <v>15.78</v>
      </c>
      <c r="F5428">
        <v>5.99</v>
      </c>
      <c r="G5428">
        <v>4.59</v>
      </c>
      <c r="H5428">
        <v>21160</v>
      </c>
      <c r="I5428">
        <v>2.9</v>
      </c>
      <c r="J5428" t="s">
        <v>14</v>
      </c>
      <c r="K5428" t="s">
        <v>24</v>
      </c>
    </row>
    <row r="5429" spans="1:11">
      <c r="A5429" t="str">
        <f>"920810"</f>
        <v>920810</v>
      </c>
      <c r="B5429" t="s">
        <v>5786</v>
      </c>
      <c r="C5429">
        <v>8.64</v>
      </c>
      <c r="D5429">
        <v>4.66</v>
      </c>
      <c r="E5429">
        <v>2.32</v>
      </c>
      <c r="F5429">
        <v>0.96</v>
      </c>
      <c r="G5429">
        <v>0.62</v>
      </c>
      <c r="H5429">
        <v>6084</v>
      </c>
      <c r="I5429">
        <v>5.72</v>
      </c>
      <c r="J5429">
        <v>242.12</v>
      </c>
      <c r="K5429" t="s">
        <v>657</v>
      </c>
    </row>
    <row r="5430" spans="1:11">
      <c r="A5430" t="str">
        <f>"920819"</f>
        <v>920819</v>
      </c>
      <c r="B5430" t="s">
        <v>5787</v>
      </c>
      <c r="C5430">
        <v>48.42</v>
      </c>
      <c r="D5430">
        <v>114.96</v>
      </c>
      <c r="E5430">
        <v>50.61</v>
      </c>
      <c r="F5430">
        <v>12.26</v>
      </c>
      <c r="G5430">
        <v>12.08</v>
      </c>
      <c r="H5430">
        <v>23552</v>
      </c>
      <c r="I5430">
        <v>0.97</v>
      </c>
      <c r="J5430" t="s">
        <v>14</v>
      </c>
      <c r="K5430" t="s">
        <v>196</v>
      </c>
    </row>
    <row r="5431" spans="1:11">
      <c r="A5431" t="str">
        <f>"920821"</f>
        <v>920821</v>
      </c>
      <c r="B5431" t="s">
        <v>5788</v>
      </c>
      <c r="C5431">
        <v>20.44</v>
      </c>
      <c r="D5431">
        <v>8.3</v>
      </c>
      <c r="E5431">
        <v>5.26</v>
      </c>
      <c r="F5431">
        <v>1.38</v>
      </c>
      <c r="G5431">
        <v>0.73</v>
      </c>
      <c r="H5431">
        <v>7450</v>
      </c>
      <c r="I5431">
        <v>7.39</v>
      </c>
      <c r="J5431">
        <v>195.85</v>
      </c>
      <c r="K5431" t="s">
        <v>472</v>
      </c>
    </row>
    <row r="5432" spans="1:11">
      <c r="A5432" t="str">
        <f>"920826"</f>
        <v>920826</v>
      </c>
      <c r="B5432" t="s">
        <v>5789</v>
      </c>
      <c r="C5432">
        <v>8.85</v>
      </c>
      <c r="D5432">
        <v>5.72</v>
      </c>
      <c r="E5432">
        <v>3.76</v>
      </c>
      <c r="F5432">
        <v>1.41</v>
      </c>
      <c r="G5432">
        <v>0.62</v>
      </c>
      <c r="H5432">
        <v>8932</v>
      </c>
      <c r="I5432">
        <v>5.29</v>
      </c>
      <c r="J5432">
        <v>41.78</v>
      </c>
      <c r="K5432" t="s">
        <v>629</v>
      </c>
    </row>
    <row r="5433" spans="1:11">
      <c r="A5433" t="str">
        <f>"920832"</f>
        <v>920832</v>
      </c>
      <c r="B5433" t="s">
        <v>5790</v>
      </c>
      <c r="C5433">
        <v>9.73</v>
      </c>
      <c r="D5433">
        <v>9.88</v>
      </c>
      <c r="E5433">
        <v>7.46</v>
      </c>
      <c r="F5433">
        <v>1.39</v>
      </c>
      <c r="G5433">
        <v>1.23</v>
      </c>
      <c r="H5433">
        <v>6096</v>
      </c>
      <c r="I5433">
        <v>1.47</v>
      </c>
      <c r="J5433">
        <v>649.22</v>
      </c>
      <c r="K5433" t="s">
        <v>682</v>
      </c>
    </row>
    <row r="5434" spans="1:11">
      <c r="A5434" t="str">
        <f>"920833"</f>
        <v>920833</v>
      </c>
      <c r="B5434" t="s">
        <v>5791</v>
      </c>
      <c r="C5434">
        <v>11.03</v>
      </c>
      <c r="D5434">
        <v>7.66</v>
      </c>
      <c r="E5434">
        <v>6.13</v>
      </c>
      <c r="F5434">
        <v>0.82</v>
      </c>
      <c r="G5434">
        <v>0.62</v>
      </c>
      <c r="H5434">
        <v>4128</v>
      </c>
      <c r="I5434">
        <v>2.37</v>
      </c>
      <c r="J5434">
        <v>38.61</v>
      </c>
      <c r="K5434" t="s">
        <v>51</v>
      </c>
    </row>
    <row r="5435" spans="1:11">
      <c r="A5435" t="str">
        <f>"920834"</f>
        <v>920834</v>
      </c>
      <c r="B5435" t="s">
        <v>5792</v>
      </c>
      <c r="C5435">
        <v>10.6</v>
      </c>
      <c r="D5435">
        <v>3.79</v>
      </c>
      <c r="E5435">
        <v>2.99</v>
      </c>
      <c r="F5435">
        <v>1.2</v>
      </c>
      <c r="G5435">
        <v>0.63</v>
      </c>
      <c r="H5435">
        <v>7854</v>
      </c>
      <c r="I5435">
        <v>6.78</v>
      </c>
      <c r="J5435">
        <v>40.22</v>
      </c>
      <c r="K5435" t="s">
        <v>549</v>
      </c>
    </row>
    <row r="5436" spans="1:11">
      <c r="A5436" t="str">
        <f>"920837"</f>
        <v>920837</v>
      </c>
      <c r="B5436" t="s">
        <v>5793</v>
      </c>
      <c r="C5436">
        <v>21.07</v>
      </c>
      <c r="D5436">
        <v>9.51</v>
      </c>
      <c r="E5436">
        <v>5.54</v>
      </c>
      <c r="F5436">
        <v>1.52</v>
      </c>
      <c r="G5436">
        <v>1.37</v>
      </c>
      <c r="H5436">
        <v>5756</v>
      </c>
      <c r="I5436">
        <v>4.22</v>
      </c>
      <c r="J5436">
        <v>29.54</v>
      </c>
      <c r="K5436" t="s">
        <v>517</v>
      </c>
    </row>
    <row r="5437" spans="1:11">
      <c r="A5437" t="str">
        <f>"920839"</f>
        <v>920839</v>
      </c>
      <c r="B5437" t="s">
        <v>5794</v>
      </c>
      <c r="C5437">
        <v>28.3</v>
      </c>
      <c r="D5437">
        <v>8.22</v>
      </c>
      <c r="E5437">
        <v>6.23</v>
      </c>
      <c r="F5437">
        <v>1.18</v>
      </c>
      <c r="G5437">
        <v>0.65</v>
      </c>
      <c r="H5437">
        <v>5497</v>
      </c>
      <c r="I5437">
        <v>8.33</v>
      </c>
      <c r="J5437">
        <v>40.48</v>
      </c>
      <c r="K5437" t="s">
        <v>641</v>
      </c>
    </row>
    <row r="5438" spans="1:11">
      <c r="A5438" t="str">
        <f>"920855"</f>
        <v>920855</v>
      </c>
      <c r="B5438" t="s">
        <v>5795</v>
      </c>
      <c r="C5438">
        <v>13.19</v>
      </c>
      <c r="D5438">
        <v>6.86</v>
      </c>
      <c r="E5438">
        <v>5.74</v>
      </c>
      <c r="F5438">
        <v>0.75</v>
      </c>
      <c r="G5438">
        <v>0.67</v>
      </c>
      <c r="H5438">
        <v>4292</v>
      </c>
      <c r="I5438">
        <v>2.56</v>
      </c>
      <c r="J5438">
        <v>34.03</v>
      </c>
      <c r="K5438" t="s">
        <v>744</v>
      </c>
    </row>
    <row r="5439" spans="1:11">
      <c r="A5439" t="str">
        <f>"920856"</f>
        <v>920856</v>
      </c>
      <c r="B5439" t="s">
        <v>5796</v>
      </c>
      <c r="C5439">
        <v>9.73</v>
      </c>
      <c r="D5439">
        <v>6.88</v>
      </c>
      <c r="E5439">
        <v>4.73</v>
      </c>
      <c r="F5439">
        <v>0.95</v>
      </c>
      <c r="G5439">
        <v>0.53</v>
      </c>
      <c r="H5439">
        <v>5757</v>
      </c>
      <c r="I5439">
        <v>3.69</v>
      </c>
      <c r="J5439">
        <v>72.44</v>
      </c>
      <c r="K5439" t="s">
        <v>493</v>
      </c>
    </row>
    <row r="5440" spans="1:11">
      <c r="A5440" t="str">
        <f>"920857"</f>
        <v>920857</v>
      </c>
      <c r="B5440" t="s">
        <v>5797</v>
      </c>
      <c r="C5440">
        <v>22.99</v>
      </c>
      <c r="D5440">
        <v>5.16</v>
      </c>
      <c r="E5440">
        <v>3.72</v>
      </c>
      <c r="F5440">
        <v>0.74</v>
      </c>
      <c r="G5440">
        <v>0.74</v>
      </c>
      <c r="H5440">
        <v>5069</v>
      </c>
      <c r="I5440">
        <v>6.18</v>
      </c>
      <c r="J5440" t="s">
        <v>14</v>
      </c>
      <c r="K5440" t="s">
        <v>41</v>
      </c>
    </row>
    <row r="5441" spans="1:11">
      <c r="A5441" t="str">
        <f>"920866"</f>
        <v>920866</v>
      </c>
      <c r="B5441" t="s">
        <v>5798</v>
      </c>
      <c r="C5441">
        <v>8.1</v>
      </c>
      <c r="D5441">
        <v>10.3</v>
      </c>
      <c r="E5441">
        <v>7.58</v>
      </c>
      <c r="F5441">
        <v>1.8</v>
      </c>
      <c r="G5441">
        <v>0.94</v>
      </c>
      <c r="H5441">
        <v>8335</v>
      </c>
      <c r="I5441">
        <v>2.06</v>
      </c>
      <c r="J5441">
        <v>58.55</v>
      </c>
      <c r="K5441" t="s">
        <v>196</v>
      </c>
    </row>
    <row r="5442" spans="1:11">
      <c r="A5442" t="str">
        <f>"920870"</f>
        <v>920870</v>
      </c>
      <c r="B5442" t="s">
        <v>5799</v>
      </c>
      <c r="C5442">
        <v>12.78</v>
      </c>
      <c r="D5442">
        <v>5.14</v>
      </c>
      <c r="E5442">
        <v>4.46</v>
      </c>
      <c r="F5442">
        <v>1.34</v>
      </c>
      <c r="G5442">
        <v>0.66</v>
      </c>
      <c r="H5442">
        <v>8983</v>
      </c>
      <c r="I5442">
        <v>5.81</v>
      </c>
      <c r="J5442">
        <v>186.28</v>
      </c>
      <c r="K5442" t="s">
        <v>141</v>
      </c>
    </row>
    <row r="5443" spans="1:11">
      <c r="A5443" t="str">
        <f>"920871"</f>
        <v>920871</v>
      </c>
      <c r="B5443" t="s">
        <v>5800</v>
      </c>
      <c r="C5443">
        <v>7.29</v>
      </c>
      <c r="D5443">
        <v>3.18</v>
      </c>
      <c r="E5443">
        <v>2.64</v>
      </c>
      <c r="F5443">
        <v>0.85</v>
      </c>
      <c r="G5443">
        <v>0.45</v>
      </c>
      <c r="H5443">
        <v>5504</v>
      </c>
      <c r="I5443">
        <v>5.22</v>
      </c>
      <c r="J5443">
        <v>75.24</v>
      </c>
      <c r="K5443" t="s">
        <v>1113</v>
      </c>
    </row>
    <row r="5444" spans="1:11">
      <c r="A5444" t="str">
        <f>"920873"</f>
        <v>920873</v>
      </c>
      <c r="B5444" t="s">
        <v>5801</v>
      </c>
      <c r="C5444">
        <v>9.78</v>
      </c>
      <c r="D5444">
        <v>3.75</v>
      </c>
      <c r="E5444">
        <v>2.87</v>
      </c>
      <c r="F5444">
        <v>1.53</v>
      </c>
      <c r="G5444">
        <v>1.1</v>
      </c>
      <c r="H5444">
        <v>10484</v>
      </c>
      <c r="I5444">
        <v>4.74</v>
      </c>
      <c r="J5444" t="s">
        <v>14</v>
      </c>
      <c r="K5444" t="s">
        <v>428</v>
      </c>
    </row>
    <row r="5445" spans="1:11">
      <c r="A5445" t="str">
        <f>"920876"</f>
        <v>920876</v>
      </c>
      <c r="B5445" t="s">
        <v>5802</v>
      </c>
      <c r="C5445">
        <v>11.18</v>
      </c>
      <c r="D5445">
        <v>3.8</v>
      </c>
      <c r="E5445">
        <v>2.52</v>
      </c>
      <c r="F5445">
        <v>0.64</v>
      </c>
      <c r="G5445">
        <v>0.39</v>
      </c>
      <c r="H5445">
        <v>6368</v>
      </c>
      <c r="I5445">
        <v>7.39</v>
      </c>
      <c r="J5445">
        <v>614.13</v>
      </c>
      <c r="K5445" t="s">
        <v>41</v>
      </c>
    </row>
    <row r="5446" spans="1:11">
      <c r="A5446" t="str">
        <f>"920879"</f>
        <v>920879</v>
      </c>
      <c r="B5446" t="s">
        <v>5803</v>
      </c>
      <c r="C5446">
        <v>30.02</v>
      </c>
      <c r="D5446">
        <v>7.28</v>
      </c>
      <c r="E5446">
        <v>5.97</v>
      </c>
      <c r="F5446">
        <v>1.67</v>
      </c>
      <c r="G5446">
        <v>1.31</v>
      </c>
      <c r="H5446">
        <v>8247</v>
      </c>
      <c r="I5446">
        <v>6.42</v>
      </c>
      <c r="J5446">
        <v>53.1</v>
      </c>
      <c r="K5446" t="s">
        <v>952</v>
      </c>
    </row>
    <row r="5447" spans="1:11">
      <c r="A5447" t="str">
        <f>"920885"</f>
        <v>920885</v>
      </c>
      <c r="B5447" t="s">
        <v>5804</v>
      </c>
      <c r="C5447">
        <v>23.23</v>
      </c>
      <c r="D5447">
        <v>5.9</v>
      </c>
      <c r="E5447">
        <v>3.99</v>
      </c>
      <c r="F5447">
        <v>1.71</v>
      </c>
      <c r="G5447">
        <v>0.87</v>
      </c>
      <c r="H5447">
        <v>9971</v>
      </c>
      <c r="I5447">
        <v>11.39</v>
      </c>
      <c r="J5447">
        <v>127.51</v>
      </c>
      <c r="K5447" t="s">
        <v>663</v>
      </c>
    </row>
    <row r="5448" spans="1:11">
      <c r="A5448" t="str">
        <f>"920892"</f>
        <v>920892</v>
      </c>
      <c r="B5448" t="s">
        <v>5805</v>
      </c>
      <c r="C5448">
        <v>28.03</v>
      </c>
      <c r="D5448">
        <v>8.43</v>
      </c>
      <c r="E5448">
        <v>3.88</v>
      </c>
      <c r="F5448">
        <v>1.7</v>
      </c>
      <c r="G5448">
        <v>1.48</v>
      </c>
      <c r="H5448">
        <v>4474</v>
      </c>
      <c r="I5448">
        <v>8.29</v>
      </c>
      <c r="J5448">
        <v>42.64</v>
      </c>
      <c r="K5448" t="s">
        <v>428</v>
      </c>
    </row>
    <row r="5449" spans="1:11">
      <c r="A5449" t="str">
        <f>"920895"</f>
        <v>920895</v>
      </c>
      <c r="B5449" t="s">
        <v>5806</v>
      </c>
      <c r="C5449">
        <v>6.47</v>
      </c>
      <c r="D5449">
        <v>2.3</v>
      </c>
      <c r="E5449">
        <v>1.99</v>
      </c>
      <c r="F5449">
        <v>0.57</v>
      </c>
      <c r="G5449">
        <v>0.29</v>
      </c>
      <c r="H5449">
        <v>3942</v>
      </c>
      <c r="I5449">
        <v>6.41</v>
      </c>
      <c r="J5449">
        <v>13730.43</v>
      </c>
      <c r="K5449" t="s">
        <v>1556</v>
      </c>
    </row>
    <row r="5450" spans="1:11">
      <c r="A5450" t="str">
        <f>"920896"</f>
        <v>920896</v>
      </c>
      <c r="B5450" t="s">
        <v>5807</v>
      </c>
      <c r="C5450">
        <v>9.71</v>
      </c>
      <c r="D5450">
        <v>5.92</v>
      </c>
      <c r="E5450">
        <v>4.29</v>
      </c>
      <c r="F5450">
        <v>1.01</v>
      </c>
      <c r="G5450">
        <v>0.44</v>
      </c>
      <c r="H5450">
        <v>5692</v>
      </c>
      <c r="I5450">
        <v>5.16</v>
      </c>
      <c r="J5450">
        <v>36.38</v>
      </c>
      <c r="K5450" t="s">
        <v>517</v>
      </c>
    </row>
    <row r="5451" spans="1:11">
      <c r="A5451" t="str">
        <f>"920906"</f>
        <v>920906</v>
      </c>
      <c r="B5451" t="s">
        <v>5808</v>
      </c>
      <c r="C5451">
        <v>10.15</v>
      </c>
      <c r="D5451">
        <v>13.15</v>
      </c>
      <c r="E5451">
        <v>5.82</v>
      </c>
      <c r="F5451">
        <v>0.65</v>
      </c>
      <c r="G5451">
        <v>0.33</v>
      </c>
      <c r="H5451">
        <v>5062</v>
      </c>
      <c r="I5451">
        <v>3.41</v>
      </c>
      <c r="J5451">
        <v>40.5</v>
      </c>
      <c r="K5451" t="s">
        <v>356</v>
      </c>
    </row>
    <row r="5452" spans="1:11">
      <c r="A5452" t="str">
        <f>"920914"</f>
        <v>920914</v>
      </c>
      <c r="B5452" t="s">
        <v>5809</v>
      </c>
      <c r="C5452">
        <v>29.96</v>
      </c>
      <c r="D5452">
        <v>13.09</v>
      </c>
      <c r="E5452">
        <v>9.55</v>
      </c>
      <c r="F5452">
        <v>1</v>
      </c>
      <c r="G5452">
        <v>1</v>
      </c>
      <c r="H5452">
        <v>7681</v>
      </c>
      <c r="I5452">
        <v>3.14</v>
      </c>
      <c r="J5452">
        <v>54.85</v>
      </c>
      <c r="K5452" t="s">
        <v>4921</v>
      </c>
    </row>
    <row r="5453" spans="1:11">
      <c r="A5453" t="str">
        <f>"920924"</f>
        <v>920924</v>
      </c>
      <c r="B5453" t="s">
        <v>5810</v>
      </c>
      <c r="C5453">
        <v>16.15</v>
      </c>
      <c r="D5453">
        <v>8.5</v>
      </c>
      <c r="E5453">
        <v>3.15</v>
      </c>
      <c r="F5453">
        <v>1.07</v>
      </c>
      <c r="G5453">
        <v>0.64</v>
      </c>
      <c r="H5453">
        <v>7765</v>
      </c>
      <c r="I5453">
        <v>8.54</v>
      </c>
      <c r="J5453">
        <v>141.07</v>
      </c>
      <c r="K5453" t="s">
        <v>1698</v>
      </c>
    </row>
    <row r="5454" spans="1:11">
      <c r="A5454" t="str">
        <f>"920925"</f>
        <v>920925</v>
      </c>
      <c r="B5454" t="s">
        <v>5811</v>
      </c>
      <c r="C5454">
        <v>14.43</v>
      </c>
      <c r="D5454">
        <v>4.98</v>
      </c>
      <c r="E5454">
        <v>3.73</v>
      </c>
      <c r="F5454">
        <v>0.98</v>
      </c>
      <c r="G5454">
        <v>0.55</v>
      </c>
      <c r="H5454">
        <v>3621</v>
      </c>
      <c r="I5454">
        <v>6.9</v>
      </c>
      <c r="J5454">
        <v>109.32</v>
      </c>
      <c r="K5454" t="s">
        <v>1836</v>
      </c>
    </row>
    <row r="5455" spans="1:11">
      <c r="A5455" t="str">
        <f>"920926"</f>
        <v>920926</v>
      </c>
      <c r="B5455" t="s">
        <v>5812</v>
      </c>
      <c r="C5455">
        <v>14.58</v>
      </c>
      <c r="D5455">
        <v>3.72</v>
      </c>
      <c r="E5455">
        <v>2.71</v>
      </c>
      <c r="F5455">
        <v>0.88</v>
      </c>
      <c r="G5455">
        <v>0.8</v>
      </c>
      <c r="H5455">
        <v>4643</v>
      </c>
      <c r="I5455">
        <v>5.93</v>
      </c>
      <c r="J5455">
        <v>57.84</v>
      </c>
      <c r="K5455" t="s">
        <v>660</v>
      </c>
    </row>
    <row r="5456" spans="1:11">
      <c r="A5456" t="str">
        <f>"920931"</f>
        <v>920931</v>
      </c>
      <c r="B5456" t="s">
        <v>5813</v>
      </c>
      <c r="C5456">
        <v>4.3</v>
      </c>
      <c r="D5456">
        <v>7.81</v>
      </c>
      <c r="E5456">
        <v>3.91</v>
      </c>
      <c r="F5456">
        <v>0.94</v>
      </c>
      <c r="G5456">
        <v>0.29</v>
      </c>
      <c r="H5456">
        <v>3203</v>
      </c>
      <c r="I5456">
        <v>3.59</v>
      </c>
      <c r="J5456">
        <v>113.5</v>
      </c>
      <c r="K5456" t="s">
        <v>491</v>
      </c>
    </row>
    <row r="5457" spans="1:11">
      <c r="A5457" t="str">
        <f>"920932"</f>
        <v>920932</v>
      </c>
      <c r="B5457" t="s">
        <v>5814</v>
      </c>
      <c r="C5457">
        <v>21.21</v>
      </c>
      <c r="D5457">
        <v>16.31</v>
      </c>
      <c r="E5457">
        <v>6.98</v>
      </c>
      <c r="F5457">
        <v>1.05</v>
      </c>
      <c r="G5457">
        <v>0.87</v>
      </c>
      <c r="H5457">
        <v>10178</v>
      </c>
      <c r="I5457">
        <v>3.69</v>
      </c>
      <c r="J5457">
        <v>865.29</v>
      </c>
      <c r="K5457" t="s">
        <v>117</v>
      </c>
    </row>
    <row r="5458" spans="1:11">
      <c r="A5458" t="str">
        <f>"920942"</f>
        <v>920942</v>
      </c>
      <c r="B5458" t="s">
        <v>5815</v>
      </c>
      <c r="C5458">
        <v>14.04</v>
      </c>
      <c r="D5458">
        <v>6.46</v>
      </c>
      <c r="E5458">
        <v>5</v>
      </c>
      <c r="F5458">
        <v>0.61</v>
      </c>
      <c r="G5458">
        <v>0.41</v>
      </c>
      <c r="H5458">
        <v>7304</v>
      </c>
      <c r="I5458">
        <v>4.16</v>
      </c>
      <c r="J5458">
        <v>73.82</v>
      </c>
      <c r="K5458" t="s">
        <v>641</v>
      </c>
    </row>
    <row r="5459" spans="1:11">
      <c r="A5459" t="str">
        <f>"920943"</f>
        <v>920943</v>
      </c>
      <c r="B5459" t="s">
        <v>5816</v>
      </c>
      <c r="C5459">
        <v>14.64</v>
      </c>
      <c r="D5459">
        <v>15.14</v>
      </c>
      <c r="E5459">
        <v>6.44</v>
      </c>
      <c r="F5459">
        <v>1.02</v>
      </c>
      <c r="G5459">
        <v>0.52</v>
      </c>
      <c r="H5459">
        <v>4983</v>
      </c>
      <c r="I5459">
        <v>4.5</v>
      </c>
      <c r="J5459">
        <v>43.1</v>
      </c>
      <c r="K5459" t="s">
        <v>424</v>
      </c>
    </row>
    <row r="5460" spans="1:11">
      <c r="A5460" t="str">
        <f>"920946"</f>
        <v>920946</v>
      </c>
      <c r="B5460" t="s">
        <v>5817</v>
      </c>
      <c r="C5460">
        <v>49.21</v>
      </c>
      <c r="D5460">
        <v>14.02</v>
      </c>
      <c r="E5460">
        <v>12.39</v>
      </c>
      <c r="F5460">
        <v>4.27</v>
      </c>
      <c r="G5460">
        <v>4.27</v>
      </c>
      <c r="H5460">
        <v>11158</v>
      </c>
      <c r="I5460">
        <v>3.97</v>
      </c>
      <c r="J5460">
        <v>35.62</v>
      </c>
      <c r="K5460" t="s">
        <v>404</v>
      </c>
    </row>
    <row r="5461" spans="1:11">
      <c r="A5461" t="str">
        <f>"920950"</f>
        <v>920950</v>
      </c>
      <c r="B5461" t="s">
        <v>5818</v>
      </c>
      <c r="C5461">
        <v>7.04</v>
      </c>
      <c r="D5461">
        <v>3.74</v>
      </c>
      <c r="E5461">
        <v>3.07</v>
      </c>
      <c r="F5461">
        <v>0.73</v>
      </c>
      <c r="G5461">
        <v>0.36</v>
      </c>
      <c r="H5461">
        <v>4439</v>
      </c>
      <c r="I5461">
        <v>4.71</v>
      </c>
      <c r="J5461">
        <v>34.95</v>
      </c>
      <c r="K5461" t="s">
        <v>82</v>
      </c>
    </row>
    <row r="5462" spans="1:11">
      <c r="A5462" t="str">
        <f>"920953"</f>
        <v>920953</v>
      </c>
      <c r="B5462" t="s">
        <v>5819</v>
      </c>
      <c r="C5462">
        <v>26.5</v>
      </c>
      <c r="D5462">
        <v>6.46</v>
      </c>
      <c r="E5462">
        <v>5.67</v>
      </c>
      <c r="F5462">
        <v>1.28</v>
      </c>
      <c r="G5462">
        <v>0.6</v>
      </c>
      <c r="H5462">
        <v>7514</v>
      </c>
      <c r="I5462">
        <v>10</v>
      </c>
      <c r="J5462">
        <v>126.16</v>
      </c>
      <c r="K5462" t="s">
        <v>117</v>
      </c>
    </row>
    <row r="5463" spans="1:11">
      <c r="A5463" t="str">
        <f>"920957"</f>
        <v>920957</v>
      </c>
      <c r="B5463" t="s">
        <v>5820</v>
      </c>
      <c r="C5463">
        <v>5.74</v>
      </c>
      <c r="D5463">
        <v>6.77</v>
      </c>
      <c r="E5463">
        <v>3.9</v>
      </c>
      <c r="F5463">
        <v>1.07</v>
      </c>
      <c r="G5463">
        <v>0.43</v>
      </c>
      <c r="H5463">
        <v>3722</v>
      </c>
      <c r="I5463">
        <v>3.7</v>
      </c>
      <c r="J5463">
        <v>508.34</v>
      </c>
      <c r="K5463" t="s">
        <v>511</v>
      </c>
    </row>
    <row r="5464" spans="1:11">
      <c r="A5464" t="str">
        <f>"920961"</f>
        <v>920961</v>
      </c>
      <c r="B5464" t="s">
        <v>5821</v>
      </c>
      <c r="C5464">
        <v>32.52</v>
      </c>
      <c r="D5464">
        <v>13.22</v>
      </c>
      <c r="E5464">
        <v>7.69</v>
      </c>
      <c r="F5464">
        <v>1.43</v>
      </c>
      <c r="G5464">
        <v>1.02</v>
      </c>
      <c r="H5464">
        <v>12087</v>
      </c>
      <c r="I5464">
        <v>5.94</v>
      </c>
      <c r="J5464">
        <v>855.63</v>
      </c>
      <c r="K5464" t="s">
        <v>952</v>
      </c>
    </row>
    <row r="5465" spans="1:11">
      <c r="A5465" t="str">
        <f>"920964"</f>
        <v>920964</v>
      </c>
      <c r="B5465" t="s">
        <v>5822</v>
      </c>
      <c r="C5465">
        <v>9.54</v>
      </c>
      <c r="D5465">
        <v>13.7</v>
      </c>
      <c r="E5465">
        <v>8.78</v>
      </c>
      <c r="F5465">
        <v>2.61</v>
      </c>
      <c r="G5465">
        <v>1.32</v>
      </c>
      <c r="H5465">
        <v>10843</v>
      </c>
      <c r="I5465">
        <v>2.15</v>
      </c>
      <c r="J5465" t="s">
        <v>14</v>
      </c>
      <c r="K5465" t="s">
        <v>55</v>
      </c>
    </row>
    <row r="5466" spans="1:11">
      <c r="A5466" t="str">
        <f>"920970"</f>
        <v>920970</v>
      </c>
      <c r="B5466" t="s">
        <v>5823</v>
      </c>
      <c r="C5466">
        <v>5.82</v>
      </c>
      <c r="D5466">
        <v>4.56</v>
      </c>
      <c r="E5466">
        <v>2.83</v>
      </c>
      <c r="F5466">
        <v>1.11</v>
      </c>
      <c r="G5466">
        <v>0.7</v>
      </c>
      <c r="H5466">
        <v>5762</v>
      </c>
      <c r="I5466">
        <v>3.27</v>
      </c>
      <c r="J5466" t="s">
        <v>14</v>
      </c>
      <c r="K5466" t="s">
        <v>359</v>
      </c>
    </row>
    <row r="5467" spans="1:11">
      <c r="A5467" t="str">
        <f>"920971"</f>
        <v>920971</v>
      </c>
      <c r="B5467" t="s">
        <v>5824</v>
      </c>
      <c r="C5467">
        <v>27.68</v>
      </c>
      <c r="D5467">
        <v>5.59</v>
      </c>
      <c r="E5467">
        <v>4.46</v>
      </c>
      <c r="F5467">
        <v>1.05</v>
      </c>
      <c r="G5467">
        <v>0.86</v>
      </c>
      <c r="H5467">
        <v>11216</v>
      </c>
      <c r="I5467">
        <v>7.61</v>
      </c>
      <c r="J5467">
        <v>237.86</v>
      </c>
      <c r="K5467" t="s">
        <v>682</v>
      </c>
    </row>
    <row r="5468" spans="1:11">
      <c r="A5468" t="str">
        <f>"920974"</f>
        <v>920974</v>
      </c>
      <c r="B5468" t="s">
        <v>5825</v>
      </c>
      <c r="C5468">
        <v>11.09</v>
      </c>
      <c r="D5468">
        <v>8.49</v>
      </c>
      <c r="E5468">
        <v>6.48</v>
      </c>
      <c r="F5468">
        <v>1.64</v>
      </c>
      <c r="G5468">
        <v>1.28</v>
      </c>
      <c r="H5468">
        <v>4868</v>
      </c>
      <c r="I5468">
        <v>2.18</v>
      </c>
      <c r="J5468">
        <v>41.27</v>
      </c>
      <c r="K5468" t="s">
        <v>511</v>
      </c>
    </row>
    <row r="5469" spans="1:11">
      <c r="A5469" t="str">
        <f>"920976"</f>
        <v>920976</v>
      </c>
      <c r="B5469" t="s">
        <v>5826</v>
      </c>
      <c r="C5469">
        <v>13.47</v>
      </c>
      <c r="D5469">
        <v>3.5</v>
      </c>
      <c r="E5469">
        <v>2.77</v>
      </c>
      <c r="F5469">
        <v>0.71</v>
      </c>
      <c r="G5469">
        <v>0.44</v>
      </c>
      <c r="H5469">
        <v>4284</v>
      </c>
      <c r="I5469">
        <v>7.81</v>
      </c>
      <c r="J5469">
        <v>36.71</v>
      </c>
      <c r="K5469" t="s">
        <v>82</v>
      </c>
    </row>
    <row r="5470" spans="1:11">
      <c r="A5470" t="str">
        <f>"920978"</f>
        <v>920978</v>
      </c>
      <c r="B5470" t="s">
        <v>5827</v>
      </c>
      <c r="C5470">
        <v>36.57</v>
      </c>
      <c r="D5470">
        <v>12.77</v>
      </c>
      <c r="E5470">
        <v>7.51</v>
      </c>
      <c r="F5470">
        <v>1.8</v>
      </c>
      <c r="G5470">
        <v>1.01</v>
      </c>
      <c r="H5470">
        <v>5420</v>
      </c>
      <c r="I5470">
        <v>8.67</v>
      </c>
      <c r="J5470">
        <v>37.54</v>
      </c>
      <c r="K5470" t="s">
        <v>530</v>
      </c>
    </row>
    <row r="5471" spans="1:11">
      <c r="A5471" t="str">
        <f>"920981"</f>
        <v>920981</v>
      </c>
      <c r="B5471" t="s">
        <v>5828</v>
      </c>
      <c r="C5471">
        <v>12.85</v>
      </c>
      <c r="D5471">
        <v>8.31</v>
      </c>
      <c r="E5471">
        <v>5.07</v>
      </c>
      <c r="F5471">
        <v>0.76</v>
      </c>
      <c r="G5471">
        <v>0.37</v>
      </c>
      <c r="H5471">
        <v>7887</v>
      </c>
      <c r="I5471">
        <v>5.19</v>
      </c>
      <c r="J5471">
        <v>248.09</v>
      </c>
      <c r="K5471" t="s">
        <v>310</v>
      </c>
    </row>
    <row r="5472" spans="1:11">
      <c r="A5472" t="str">
        <f>"920982"</f>
        <v>920982</v>
      </c>
      <c r="B5472" t="s">
        <v>5829</v>
      </c>
      <c r="C5472">
        <v>144.72</v>
      </c>
      <c r="D5472">
        <v>24.62</v>
      </c>
      <c r="E5472">
        <v>18.42</v>
      </c>
      <c r="F5472">
        <v>1.15</v>
      </c>
      <c r="G5472">
        <v>0.61</v>
      </c>
      <c r="H5472">
        <v>9807</v>
      </c>
      <c r="I5472">
        <v>14.9</v>
      </c>
      <c r="J5472">
        <v>36.23</v>
      </c>
      <c r="K5472" t="s">
        <v>2669</v>
      </c>
    </row>
    <row r="5473" spans="1:11">
      <c r="A5473" t="str">
        <f>"920985"</f>
        <v>920985</v>
      </c>
      <c r="B5473" t="s">
        <v>5830</v>
      </c>
      <c r="C5473">
        <v>17.48</v>
      </c>
      <c r="D5473">
        <v>53.94</v>
      </c>
      <c r="E5473">
        <v>10.93</v>
      </c>
      <c r="F5473">
        <v>3.09</v>
      </c>
      <c r="G5473">
        <v>2.19</v>
      </c>
      <c r="H5473">
        <v>11017</v>
      </c>
      <c r="I5473">
        <v>2.26</v>
      </c>
      <c r="J5473" t="s">
        <v>14</v>
      </c>
      <c r="K5473" t="s">
        <v>815</v>
      </c>
    </row>
    <row r="5474" spans="1:11">
      <c r="A5474" t="str">
        <f>"920992"</f>
        <v>920992</v>
      </c>
      <c r="B5474" t="s">
        <v>5831</v>
      </c>
      <c r="C5474">
        <v>9.37</v>
      </c>
      <c r="D5474">
        <v>7.27</v>
      </c>
      <c r="E5474">
        <v>6.18</v>
      </c>
      <c r="F5474">
        <v>0.97</v>
      </c>
      <c r="G5474">
        <v>0.47</v>
      </c>
      <c r="H5474">
        <v>5496</v>
      </c>
      <c r="I5474">
        <v>3.09</v>
      </c>
      <c r="J5474">
        <v>112.44</v>
      </c>
      <c r="K5474" t="s">
        <v>1836</v>
      </c>
    </row>
    <row r="5475" spans="1:11">
      <c r="A5475" t="str">
        <f>"920050"</f>
        <v>920050</v>
      </c>
      <c r="B5475" t="s">
        <v>5832</v>
      </c>
      <c r="C5475" t="s">
        <v>14</v>
      </c>
      <c r="D5475">
        <v>12.79</v>
      </c>
      <c r="E5475">
        <v>8.12</v>
      </c>
      <c r="F5475" t="s">
        <v>14</v>
      </c>
      <c r="G5475" t="s">
        <v>14</v>
      </c>
      <c r="H5475">
        <v>0</v>
      </c>
      <c r="I5475" t="s">
        <v>14</v>
      </c>
      <c r="J5475" t="s">
        <v>14</v>
      </c>
      <c r="K5475" t="s">
        <v>1173</v>
      </c>
    </row>
    <row r="5476" spans="1:11">
      <c r="A5476" t="str">
        <f>"920086"</f>
        <v>920086</v>
      </c>
      <c r="B5476" t="s">
        <v>5833</v>
      </c>
      <c r="C5476" t="s">
        <v>14</v>
      </c>
      <c r="D5476">
        <v>6.9</v>
      </c>
      <c r="E5476">
        <v>6.26</v>
      </c>
      <c r="F5476" t="s">
        <v>14</v>
      </c>
      <c r="G5476" t="s">
        <v>14</v>
      </c>
      <c r="H5476">
        <v>0</v>
      </c>
      <c r="I5476" t="s">
        <v>14</v>
      </c>
      <c r="J5476" t="s">
        <v>14</v>
      </c>
      <c r="K5476" t="s">
        <v>51</v>
      </c>
    </row>
    <row r="5477" spans="1:11">
      <c r="A5477" t="s">
        <v>5834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全部Ａ股20260114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安然</cp:lastModifiedBy>
  <dcterms:created xsi:type="dcterms:W3CDTF">2026-01-14T13:59:26Z</dcterms:created>
  <dcterms:modified xsi:type="dcterms:W3CDTF">2026-01-14T14:01:41Z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36530E9323DF4DF7875CA6DA7F538148_13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